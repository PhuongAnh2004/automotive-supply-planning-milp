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G_PLAN" sheetId="1" r:id="rId4"/>
    <sheet state="visible" name="L1_PLAN" sheetId="2" r:id="rId5"/>
    <sheet state="visible" name="L2_PLAN" sheetId="3" r:id="rId6"/>
    <sheet state="visible" name="COST_SUMMARY" sheetId="4" r:id="rId7"/>
    <sheet state="visible" name="COST_DETAIL" sheetId="5" r:id="rId8"/>
  </sheets>
  <definedNames/>
  <calcPr/>
</workbook>
</file>

<file path=xl/sharedStrings.xml><?xml version="1.0" encoding="utf-8"?>
<sst xmlns="http://schemas.openxmlformats.org/spreadsheetml/2006/main" count="42" uniqueCount="27">
  <si>
    <t>month</t>
  </si>
  <si>
    <t>fg_code</t>
  </si>
  <si>
    <t>opening_inv_fg</t>
  </si>
  <si>
    <t>produce_qty</t>
  </si>
  <si>
    <t>demand_qty</t>
  </si>
  <si>
    <t>ending_inv_fg</t>
  </si>
  <si>
    <t>l1_code</t>
  </si>
  <si>
    <t>opening_inv_l1</t>
  </si>
  <si>
    <t>buy_qty</t>
  </si>
  <si>
    <t>containers_booked</t>
  </si>
  <si>
    <t>unused_container_capacity_qty</t>
  </si>
  <si>
    <t>make_qty</t>
  </si>
  <si>
    <t>consumption_l1</t>
  </si>
  <si>
    <t>ending_inv_l1</t>
  </si>
  <si>
    <t>l2_code</t>
  </si>
  <si>
    <t>opening_inv_l2</t>
  </si>
  <si>
    <t>consumption_l2</t>
  </si>
  <si>
    <t>ending_inv_l2</t>
  </si>
  <si>
    <t>cargo_value</t>
  </si>
  <si>
    <t>logistics_cost</t>
  </si>
  <si>
    <t>purchase_total_cost</t>
  </si>
  <si>
    <t>holding_cost</t>
  </si>
  <si>
    <t>grand_total_cost</t>
  </si>
  <si>
    <t>TOTAL</t>
  </si>
  <si>
    <t>level</t>
  </si>
  <si>
    <t>item_code</t>
  </si>
  <si>
    <t>tax_multiplier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</si>
</sst>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2" fontId="3" numFmtId="164" xfId="0" applyAlignment="1" applyFill="1" applyFont="1" applyNumberForma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FG_P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1_P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2_P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ST_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ST_DETAI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9" displayName="FG_PLAN" name="FG_PLAN" id="1">
  <tableColumns count="6">
    <tableColumn name="month" id="1"/>
    <tableColumn name="fg_code" id="2"/>
    <tableColumn name="opening_inv_fg" id="3"/>
    <tableColumn name="produce_qty" id="4"/>
    <tableColumn name="demand_qty" id="5"/>
    <tableColumn name="ending_inv_fg" id="6"/>
  </tableColumns>
  <tableStyleInfo name="FG_PLAN-style" showColumnStripes="0" showFirstColumn="1" showLastColumn="1" showRowStripes="1"/>
</table>
</file>

<file path=xl/tables/table2.xml><?xml version="1.0" encoding="utf-8"?>
<table xmlns="http://schemas.openxmlformats.org/spreadsheetml/2006/main" ref="A1:I241" displayName="L1_PLAN" name="L1_PLAN" id="2">
  <tableColumns count="9">
    <tableColumn name="month" id="1"/>
    <tableColumn name="l1_code" id="2"/>
    <tableColumn name="opening_inv_l1" id="3"/>
    <tableColumn name="buy_qty" id="4"/>
    <tableColumn name="containers_booked" id="5"/>
    <tableColumn name="unused_container_capacity_qty" id="6"/>
    <tableColumn name="make_qty" id="7"/>
    <tableColumn name="consumption_l1" id="8"/>
    <tableColumn name="ending_inv_l1" id="9"/>
  </tableColumns>
  <tableStyleInfo name="L1_PLAN-style" showColumnStripes="0" showFirstColumn="1" showLastColumn="1" showRowStripes="1"/>
</table>
</file>

<file path=xl/tables/table3.xml><?xml version="1.0" encoding="utf-8"?>
<table xmlns="http://schemas.openxmlformats.org/spreadsheetml/2006/main" ref="A1:H481" displayName="L2_PLAN" name="L2_PLAN" id="3">
  <tableColumns count="8">
    <tableColumn name="month" id="1"/>
    <tableColumn name="l2_code" id="2"/>
    <tableColumn name="opening_inv_l2" id="3"/>
    <tableColumn name="buy_qty" id="4"/>
    <tableColumn name="containers_booked" id="5"/>
    <tableColumn name="unused_container_capacity_qty" id="6"/>
    <tableColumn name="consumption_l2" id="7"/>
    <tableColumn name="ending_inv_l2" id="8"/>
  </tableColumns>
  <tableStyleInfo name="L2_PLAN-style" showColumnStripes="0" showFirstColumn="1" showLastColumn="1" showRowStripes="1"/>
</table>
</file>

<file path=xl/tables/table4.xml><?xml version="1.0" encoding="utf-8"?>
<table xmlns="http://schemas.openxmlformats.org/spreadsheetml/2006/main" ref="A1:G14" displayName="COST_SUMMARY" name="COST_SUMMARY" id="4">
  <tableColumns count="7">
    <tableColumn name="month" id="1"/>
    <tableColumn name="cargo_value" id="2"/>
    <tableColumn name="logistics_cost" id="3"/>
    <tableColumn name="purchase_total_cost" id="4"/>
    <tableColumn name="holding_cost" id="5"/>
    <tableColumn name="grand_total_cost" id="6"/>
    <tableColumn name="containers_booked" id="7"/>
  </tableColumns>
  <tableStyleInfo name="COST_SUMMARY-style" showColumnStripes="0" showFirstColumn="1" showLastColumn="1" showRowStripes="1"/>
</table>
</file>

<file path=xl/tables/table5.xml><?xml version="1.0" encoding="utf-8"?>
<table xmlns="http://schemas.openxmlformats.org/spreadsheetml/2006/main" ref="A1:K721" displayName="COST_DETAIL" name="COST_DETAIL" id="5">
  <tableColumns count="11">
    <tableColumn name="level" id="1"/>
    <tableColumn name="month" id="2"/>
    <tableColumn name="item_code" id="3"/>
    <tableColumn name="buy_qty" id="4"/>
    <tableColumn name="containers_booked" id="5"/>
    <tableColumn name="cargo_value" id="6"/>
    <tableColumn name="logistics_cost" id="7"/>
    <tableColumn name="tax_multiplier" id="8"/>
    <tableColumn name="purchase_total_cost" id="9"/>
    <tableColumn name="holding_cost" id="10"/>
    <tableColumn name="grand_total_cost" id="11"/>
  </tableColumns>
  <tableStyleInfo name="COST_DETAI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13"/>
    <col customWidth="1" min="3" max="3" width="16.63"/>
    <col customWidth="1" min="4" max="5" width="14.63"/>
    <col customWidth="1" min="6" max="6" width="1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tr">
        <f>IFERROR(__xludf.DUMMYFUNCTION("IMPORTRANGE(""https://docs.google.com/spreadsheets/d/1cuUEDJt1Vm931IMxiPU4Nr4m2KtD68iuWoRbEMiJusk/edit?usp=sharing"",""FG_PLAN!A2:Z10000"")"),"2026-01")</f>
        <v>2026-01</v>
      </c>
      <c r="B2" s="2" t="str">
        <f>IFERROR(__xludf.DUMMYFUNCTION("""COMPUTED_VALUE"""),"SEDAN_001")</f>
        <v>SEDAN_001</v>
      </c>
      <c r="C2" s="2">
        <f>IFERROR(__xludf.DUMMYFUNCTION("""COMPUTED_VALUE"""),0.0)</f>
        <v>0</v>
      </c>
      <c r="D2" s="2">
        <f>IFERROR(__xludf.DUMMYFUNCTION("""COMPUTED_VALUE"""),591.0)</f>
        <v>591</v>
      </c>
      <c r="E2" s="2">
        <f>IFERROR(__xludf.DUMMYFUNCTION("""COMPUTED_VALUE"""),591.0)</f>
        <v>591</v>
      </c>
      <c r="F2" s="2">
        <f>IFERROR(__xludf.DUMMYFUNCTION("""COMPUTED_VALUE"""),0.0)</f>
        <v>0</v>
      </c>
    </row>
    <row r="3" ht="22.5" customHeight="1">
      <c r="A3" s="2" t="str">
        <f>IFERROR(__xludf.DUMMYFUNCTION("""COMPUTED_VALUE"""),"2026-02")</f>
        <v>2026-02</v>
      </c>
      <c r="B3" s="2" t="str">
        <f>IFERROR(__xludf.DUMMYFUNCTION("""COMPUTED_VALUE"""),"SEDAN_001")</f>
        <v>SEDAN_001</v>
      </c>
      <c r="C3" s="2">
        <f>IFERROR(__xludf.DUMMYFUNCTION("""COMPUTED_VALUE"""),0.0)</f>
        <v>0</v>
      </c>
      <c r="D3" s="2">
        <f>IFERROR(__xludf.DUMMYFUNCTION("""COMPUTED_VALUE"""),702.0)</f>
        <v>702</v>
      </c>
      <c r="E3" s="2">
        <f>IFERROR(__xludf.DUMMYFUNCTION("""COMPUTED_VALUE"""),548.0)</f>
        <v>548</v>
      </c>
      <c r="F3" s="2">
        <f>IFERROR(__xludf.DUMMYFUNCTION("""COMPUTED_VALUE"""),154.0)</f>
        <v>154</v>
      </c>
    </row>
    <row r="4" ht="22.5" customHeight="1">
      <c r="A4" s="2" t="str">
        <f>IFERROR(__xludf.DUMMYFUNCTION("""COMPUTED_VALUE"""),"2026-03")</f>
        <v>2026-03</v>
      </c>
      <c r="B4" s="2" t="str">
        <f>IFERROR(__xludf.DUMMYFUNCTION("""COMPUTED_VALUE"""),"SEDAN_001")</f>
        <v>SEDAN_001</v>
      </c>
      <c r="C4" s="2">
        <f>IFERROR(__xludf.DUMMYFUNCTION("""COMPUTED_VALUE"""),154.0)</f>
        <v>154</v>
      </c>
      <c r="D4" s="2">
        <f>IFERROR(__xludf.DUMMYFUNCTION("""COMPUTED_VALUE"""),750.0)</f>
        <v>750</v>
      </c>
      <c r="E4" s="2">
        <f>IFERROR(__xludf.DUMMYFUNCTION("""COMPUTED_VALUE"""),601.0)</f>
        <v>601</v>
      </c>
      <c r="F4" s="2">
        <f>IFERROR(__xludf.DUMMYFUNCTION("""COMPUTED_VALUE"""),303.0)</f>
        <v>303</v>
      </c>
    </row>
    <row r="5" ht="22.5" customHeight="1">
      <c r="A5" s="2" t="str">
        <f>IFERROR(__xludf.DUMMYFUNCTION("""COMPUTED_VALUE"""),"2026-04")</f>
        <v>2026-04</v>
      </c>
      <c r="B5" s="2" t="str">
        <f>IFERROR(__xludf.DUMMYFUNCTION("""COMPUTED_VALUE"""),"SEDAN_001")</f>
        <v>SEDAN_001</v>
      </c>
      <c r="C5" s="2">
        <f>IFERROR(__xludf.DUMMYFUNCTION("""COMPUTED_VALUE"""),303.0)</f>
        <v>303</v>
      </c>
      <c r="D5" s="2">
        <f>IFERROR(__xludf.DUMMYFUNCTION("""COMPUTED_VALUE"""),750.0)</f>
        <v>750</v>
      </c>
      <c r="E5" s="2">
        <f>IFERROR(__xludf.DUMMYFUNCTION("""COMPUTED_VALUE"""),662.0)</f>
        <v>662</v>
      </c>
      <c r="F5" s="2">
        <f>IFERROR(__xludf.DUMMYFUNCTION("""COMPUTED_VALUE"""),391.0)</f>
        <v>391</v>
      </c>
    </row>
    <row r="6" ht="22.5" customHeight="1">
      <c r="A6" s="2" t="str">
        <f>IFERROR(__xludf.DUMMYFUNCTION("""COMPUTED_VALUE"""),"2026-05")</f>
        <v>2026-05</v>
      </c>
      <c r="B6" s="2" t="str">
        <f>IFERROR(__xludf.DUMMYFUNCTION("""COMPUTED_VALUE"""),"SEDAN_001")</f>
        <v>SEDAN_001</v>
      </c>
      <c r="C6" s="2">
        <f>IFERROR(__xludf.DUMMYFUNCTION("""COMPUTED_VALUE"""),391.0)</f>
        <v>391</v>
      </c>
      <c r="D6" s="2">
        <f>IFERROR(__xludf.DUMMYFUNCTION("""COMPUTED_VALUE"""),750.0)</f>
        <v>750</v>
      </c>
      <c r="E6" s="2">
        <f>IFERROR(__xludf.DUMMYFUNCTION("""COMPUTED_VALUE"""),742.0)</f>
        <v>742</v>
      </c>
      <c r="F6" s="2">
        <f>IFERROR(__xludf.DUMMYFUNCTION("""COMPUTED_VALUE"""),399.0)</f>
        <v>399</v>
      </c>
    </row>
    <row r="7" ht="22.5" customHeight="1">
      <c r="A7" s="2" t="str">
        <f>IFERROR(__xludf.DUMMYFUNCTION("""COMPUTED_VALUE"""),"2026-06")</f>
        <v>2026-06</v>
      </c>
      <c r="B7" s="2" t="str">
        <f>IFERROR(__xludf.DUMMYFUNCTION("""COMPUTED_VALUE"""),"SEDAN_001")</f>
        <v>SEDAN_001</v>
      </c>
      <c r="C7" s="2">
        <f>IFERROR(__xludf.DUMMYFUNCTION("""COMPUTED_VALUE"""),399.0)</f>
        <v>399</v>
      </c>
      <c r="D7" s="2">
        <f>IFERROR(__xludf.DUMMYFUNCTION("""COMPUTED_VALUE"""),750.0)</f>
        <v>750</v>
      </c>
      <c r="E7" s="2">
        <f>IFERROR(__xludf.DUMMYFUNCTION("""COMPUTED_VALUE"""),828.0)</f>
        <v>828</v>
      </c>
      <c r="F7" s="2">
        <f>IFERROR(__xludf.DUMMYFUNCTION("""COMPUTED_VALUE"""),321.0)</f>
        <v>321</v>
      </c>
    </row>
    <row r="8" ht="22.5" customHeight="1">
      <c r="A8" s="2" t="str">
        <f>IFERROR(__xludf.DUMMYFUNCTION("""COMPUTED_VALUE"""),"2026-07")</f>
        <v>2026-07</v>
      </c>
      <c r="B8" s="2" t="str">
        <f>IFERROR(__xludf.DUMMYFUNCTION("""COMPUTED_VALUE"""),"SEDAN_001")</f>
        <v>SEDAN_001</v>
      </c>
      <c r="C8" s="2">
        <f>IFERROR(__xludf.DUMMYFUNCTION("""COMPUTED_VALUE"""),321.0)</f>
        <v>321</v>
      </c>
      <c r="D8" s="2">
        <f>IFERROR(__xludf.DUMMYFUNCTION("""COMPUTED_VALUE"""),750.0)</f>
        <v>750</v>
      </c>
      <c r="E8" s="2">
        <f>IFERROR(__xludf.DUMMYFUNCTION("""COMPUTED_VALUE"""),841.0)</f>
        <v>841</v>
      </c>
      <c r="F8" s="2">
        <f>IFERROR(__xludf.DUMMYFUNCTION("""COMPUTED_VALUE"""),230.0)</f>
        <v>230</v>
      </c>
    </row>
    <row r="9" ht="22.5" customHeight="1">
      <c r="A9" s="2" t="str">
        <f>IFERROR(__xludf.DUMMYFUNCTION("""COMPUTED_VALUE"""),"2026-08")</f>
        <v>2026-08</v>
      </c>
      <c r="B9" s="2" t="str">
        <f>IFERROR(__xludf.DUMMYFUNCTION("""COMPUTED_VALUE"""),"SEDAN_001")</f>
        <v>SEDAN_001</v>
      </c>
      <c r="C9" s="2">
        <f>IFERROR(__xludf.DUMMYFUNCTION("""COMPUTED_VALUE"""),230.0)</f>
        <v>230</v>
      </c>
      <c r="D9" s="2">
        <f>IFERROR(__xludf.DUMMYFUNCTION("""COMPUTED_VALUE"""),750.0)</f>
        <v>750</v>
      </c>
      <c r="E9" s="2">
        <f>IFERROR(__xludf.DUMMYFUNCTION("""COMPUTED_VALUE"""),812.0)</f>
        <v>812</v>
      </c>
      <c r="F9" s="2">
        <f>IFERROR(__xludf.DUMMYFUNCTION("""COMPUTED_VALUE"""),168.0)</f>
        <v>168</v>
      </c>
    </row>
    <row r="10" ht="22.5" customHeight="1">
      <c r="A10" s="2" t="str">
        <f>IFERROR(__xludf.DUMMYFUNCTION("""COMPUTED_VALUE"""),"2026-09")</f>
        <v>2026-09</v>
      </c>
      <c r="B10" s="2" t="str">
        <f>IFERROR(__xludf.DUMMYFUNCTION("""COMPUTED_VALUE"""),"SEDAN_001")</f>
        <v>SEDAN_001</v>
      </c>
      <c r="C10" s="2">
        <f>IFERROR(__xludf.DUMMYFUNCTION("""COMPUTED_VALUE"""),168.0)</f>
        <v>168</v>
      </c>
      <c r="D10" s="2">
        <f>IFERROR(__xludf.DUMMYFUNCTION("""COMPUTED_VALUE"""),750.0)</f>
        <v>750</v>
      </c>
      <c r="E10" s="2">
        <f>IFERROR(__xludf.DUMMYFUNCTION("""COMPUTED_VALUE"""),732.0)</f>
        <v>732</v>
      </c>
      <c r="F10" s="2">
        <f>IFERROR(__xludf.DUMMYFUNCTION("""COMPUTED_VALUE"""),186.0)</f>
        <v>186</v>
      </c>
    </row>
    <row r="11" ht="22.5" customHeight="1">
      <c r="A11" s="2" t="str">
        <f>IFERROR(__xludf.DUMMYFUNCTION("""COMPUTED_VALUE"""),"2026-10")</f>
        <v>2026-10</v>
      </c>
      <c r="B11" s="2" t="str">
        <f>IFERROR(__xludf.DUMMYFUNCTION("""COMPUTED_VALUE"""),"SEDAN_001")</f>
        <v>SEDAN_001</v>
      </c>
      <c r="C11" s="2">
        <f>IFERROR(__xludf.DUMMYFUNCTION("""COMPUTED_VALUE"""),186.0)</f>
        <v>186</v>
      </c>
      <c r="D11" s="2">
        <f>IFERROR(__xludf.DUMMYFUNCTION("""COMPUTED_VALUE"""),750.0)</f>
        <v>750</v>
      </c>
      <c r="E11" s="2">
        <f>IFERROR(__xludf.DUMMYFUNCTION("""COMPUTED_VALUE"""),698.0)</f>
        <v>698</v>
      </c>
      <c r="F11" s="2">
        <f>IFERROR(__xludf.DUMMYFUNCTION("""COMPUTED_VALUE"""),238.0)</f>
        <v>238</v>
      </c>
    </row>
    <row r="12" ht="22.5" customHeight="1">
      <c r="A12" s="2" t="str">
        <f>IFERROR(__xludf.DUMMYFUNCTION("""COMPUTED_VALUE"""),"2026-11")</f>
        <v>2026-11</v>
      </c>
      <c r="B12" s="2" t="str">
        <f>IFERROR(__xludf.DUMMYFUNCTION("""COMPUTED_VALUE"""),"SEDAN_001")</f>
        <v>SEDAN_001</v>
      </c>
      <c r="C12" s="2">
        <f>IFERROR(__xludf.DUMMYFUNCTION("""COMPUTED_VALUE"""),238.0)</f>
        <v>238</v>
      </c>
      <c r="D12" s="2">
        <f>IFERROR(__xludf.DUMMYFUNCTION("""COMPUTED_VALUE"""),750.0)</f>
        <v>750</v>
      </c>
      <c r="E12" s="2">
        <f>IFERROR(__xludf.DUMMYFUNCTION("""COMPUTED_VALUE"""),779.0)</f>
        <v>779</v>
      </c>
      <c r="F12" s="2">
        <f>IFERROR(__xludf.DUMMYFUNCTION("""COMPUTED_VALUE"""),209.0)</f>
        <v>209</v>
      </c>
    </row>
    <row r="13" ht="22.5" customHeight="1">
      <c r="A13" s="2" t="str">
        <f>IFERROR(__xludf.DUMMYFUNCTION("""COMPUTED_VALUE"""),"2026-12")</f>
        <v>2026-12</v>
      </c>
      <c r="B13" s="2" t="str">
        <f>IFERROR(__xludf.DUMMYFUNCTION("""COMPUTED_VALUE"""),"SEDAN_001")</f>
        <v>SEDAN_001</v>
      </c>
      <c r="C13" s="2">
        <f>IFERROR(__xludf.DUMMYFUNCTION("""COMPUTED_VALUE"""),209.0)</f>
        <v>209</v>
      </c>
      <c r="D13" s="2">
        <f>IFERROR(__xludf.DUMMYFUNCTION("""COMPUTED_VALUE"""),750.0)</f>
        <v>750</v>
      </c>
      <c r="E13" s="2">
        <f>IFERROR(__xludf.DUMMYFUNCTION("""COMPUTED_VALUE"""),959.0)</f>
        <v>959</v>
      </c>
      <c r="F13" s="2">
        <f>IFERROR(__xludf.DUMMYFUNCTION("""COMPUTED_VALUE"""),0.0)</f>
        <v>0</v>
      </c>
    </row>
    <row r="14" ht="22.5" customHeight="1">
      <c r="A14" s="2" t="str">
        <f>IFERROR(__xludf.DUMMYFUNCTION("""COMPUTED_VALUE"""),"2026-01")</f>
        <v>2026-01</v>
      </c>
      <c r="B14" s="2" t="str">
        <f>IFERROR(__xludf.DUMMYFUNCTION("""COMPUTED_VALUE"""),"SEDAN_LUXURY_001")</f>
        <v>SEDAN_LUXURY_001</v>
      </c>
      <c r="C14" s="2">
        <f>IFERROR(__xludf.DUMMYFUNCTION("""COMPUTED_VALUE"""),0.0)</f>
        <v>0</v>
      </c>
      <c r="D14" s="2">
        <f>IFERROR(__xludf.DUMMYFUNCTION("""COMPUTED_VALUE"""),401.0)</f>
        <v>401</v>
      </c>
      <c r="E14" s="2">
        <f>IFERROR(__xludf.DUMMYFUNCTION("""COMPUTED_VALUE"""),401.0)</f>
        <v>401</v>
      </c>
      <c r="F14" s="2">
        <f>IFERROR(__xludf.DUMMYFUNCTION("""COMPUTED_VALUE"""),0.0)</f>
        <v>0</v>
      </c>
    </row>
    <row r="15" ht="22.5" customHeight="1">
      <c r="A15" s="2" t="str">
        <f>IFERROR(__xludf.DUMMYFUNCTION("""COMPUTED_VALUE"""),"2026-02")</f>
        <v>2026-02</v>
      </c>
      <c r="B15" s="2" t="str">
        <f>IFERROR(__xludf.DUMMYFUNCTION("""COMPUTED_VALUE"""),"SEDAN_LUXURY_001")</f>
        <v>SEDAN_LUXURY_001</v>
      </c>
      <c r="C15" s="2">
        <f>IFERROR(__xludf.DUMMYFUNCTION("""COMPUTED_VALUE"""),0.0)</f>
        <v>0</v>
      </c>
      <c r="D15" s="2">
        <f>IFERROR(__xludf.DUMMYFUNCTION("""COMPUTED_VALUE"""),456.0)</f>
        <v>456</v>
      </c>
      <c r="E15" s="2">
        <f>IFERROR(__xludf.DUMMYFUNCTION("""COMPUTED_VALUE"""),363.0)</f>
        <v>363</v>
      </c>
      <c r="F15" s="2">
        <f>IFERROR(__xludf.DUMMYFUNCTION("""COMPUTED_VALUE"""),93.0)</f>
        <v>93</v>
      </c>
    </row>
    <row r="16" ht="22.5" customHeight="1">
      <c r="A16" s="2" t="str">
        <f>IFERROR(__xludf.DUMMYFUNCTION("""COMPUTED_VALUE"""),"2026-03")</f>
        <v>2026-03</v>
      </c>
      <c r="B16" s="2" t="str">
        <f>IFERROR(__xludf.DUMMYFUNCTION("""COMPUTED_VALUE"""),"SEDAN_LUXURY_001")</f>
        <v>SEDAN_LUXURY_001</v>
      </c>
      <c r="C16" s="2">
        <f>IFERROR(__xludf.DUMMYFUNCTION("""COMPUTED_VALUE"""),93.0)</f>
        <v>93</v>
      </c>
      <c r="D16" s="2">
        <f>IFERROR(__xludf.DUMMYFUNCTION("""COMPUTED_VALUE"""),499.0)</f>
        <v>499</v>
      </c>
      <c r="E16" s="2">
        <f>IFERROR(__xludf.DUMMYFUNCTION("""COMPUTED_VALUE"""),387.0)</f>
        <v>387</v>
      </c>
      <c r="F16" s="2">
        <f>IFERROR(__xludf.DUMMYFUNCTION("""COMPUTED_VALUE"""),205.0)</f>
        <v>205</v>
      </c>
    </row>
    <row r="17" ht="22.5" customHeight="1">
      <c r="A17" s="2" t="str">
        <f>IFERROR(__xludf.DUMMYFUNCTION("""COMPUTED_VALUE"""),"2026-04")</f>
        <v>2026-04</v>
      </c>
      <c r="B17" s="2" t="str">
        <f>IFERROR(__xludf.DUMMYFUNCTION("""COMPUTED_VALUE"""),"SEDAN_LUXURY_001")</f>
        <v>SEDAN_LUXURY_001</v>
      </c>
      <c r="C17" s="2">
        <f>IFERROR(__xludf.DUMMYFUNCTION("""COMPUTED_VALUE"""),205.0)</f>
        <v>205</v>
      </c>
      <c r="D17" s="2">
        <f>IFERROR(__xludf.DUMMYFUNCTION("""COMPUTED_VALUE"""),499.0)</f>
        <v>499</v>
      </c>
      <c r="E17" s="2">
        <f>IFERROR(__xludf.DUMMYFUNCTION("""COMPUTED_VALUE"""),451.0)</f>
        <v>451</v>
      </c>
      <c r="F17" s="2">
        <f>IFERROR(__xludf.DUMMYFUNCTION("""COMPUTED_VALUE"""),253.0)</f>
        <v>253</v>
      </c>
    </row>
    <row r="18" ht="22.5" customHeight="1">
      <c r="A18" s="2" t="str">
        <f>IFERROR(__xludf.DUMMYFUNCTION("""COMPUTED_VALUE"""),"2026-05")</f>
        <v>2026-05</v>
      </c>
      <c r="B18" s="2" t="str">
        <f>IFERROR(__xludf.DUMMYFUNCTION("""COMPUTED_VALUE"""),"SEDAN_LUXURY_001")</f>
        <v>SEDAN_LUXURY_001</v>
      </c>
      <c r="C18" s="2">
        <f>IFERROR(__xludf.DUMMYFUNCTION("""COMPUTED_VALUE"""),253.0)</f>
        <v>253</v>
      </c>
      <c r="D18" s="2">
        <f>IFERROR(__xludf.DUMMYFUNCTION("""COMPUTED_VALUE"""),499.0)</f>
        <v>499</v>
      </c>
      <c r="E18" s="2">
        <f>IFERROR(__xludf.DUMMYFUNCTION("""COMPUTED_VALUE"""),476.0)</f>
        <v>476</v>
      </c>
      <c r="F18" s="2">
        <f>IFERROR(__xludf.DUMMYFUNCTION("""COMPUTED_VALUE"""),276.0)</f>
        <v>276</v>
      </c>
    </row>
    <row r="19" ht="22.5" customHeight="1">
      <c r="A19" s="2" t="str">
        <f>IFERROR(__xludf.DUMMYFUNCTION("""COMPUTED_VALUE"""),"2026-06")</f>
        <v>2026-06</v>
      </c>
      <c r="B19" s="2" t="str">
        <f>IFERROR(__xludf.DUMMYFUNCTION("""COMPUTED_VALUE"""),"SEDAN_LUXURY_001")</f>
        <v>SEDAN_LUXURY_001</v>
      </c>
      <c r="C19" s="2">
        <f>IFERROR(__xludf.DUMMYFUNCTION("""COMPUTED_VALUE"""),276.0)</f>
        <v>276</v>
      </c>
      <c r="D19" s="2">
        <f>IFERROR(__xludf.DUMMYFUNCTION("""COMPUTED_VALUE"""),499.0)</f>
        <v>499</v>
      </c>
      <c r="E19" s="2">
        <f>IFERROR(__xludf.DUMMYFUNCTION("""COMPUTED_VALUE"""),543.0)</f>
        <v>543</v>
      </c>
      <c r="F19" s="2">
        <f>IFERROR(__xludf.DUMMYFUNCTION("""COMPUTED_VALUE"""),232.0)</f>
        <v>232</v>
      </c>
    </row>
    <row r="20" ht="22.5" customHeight="1">
      <c r="A20" s="2" t="str">
        <f>IFERROR(__xludf.DUMMYFUNCTION("""COMPUTED_VALUE"""),"2026-07")</f>
        <v>2026-07</v>
      </c>
      <c r="B20" s="2" t="str">
        <f>IFERROR(__xludf.DUMMYFUNCTION("""COMPUTED_VALUE"""),"SEDAN_LUXURY_001")</f>
        <v>SEDAN_LUXURY_001</v>
      </c>
      <c r="C20" s="2">
        <f>IFERROR(__xludf.DUMMYFUNCTION("""COMPUTED_VALUE"""),232.0)</f>
        <v>232</v>
      </c>
      <c r="D20" s="2">
        <f>IFERROR(__xludf.DUMMYFUNCTION("""COMPUTED_VALUE"""),499.0)</f>
        <v>499</v>
      </c>
      <c r="E20" s="2">
        <f>IFERROR(__xludf.DUMMYFUNCTION("""COMPUTED_VALUE"""),571.0)</f>
        <v>571</v>
      </c>
      <c r="F20" s="2">
        <f>IFERROR(__xludf.DUMMYFUNCTION("""COMPUTED_VALUE"""),160.0)</f>
        <v>160</v>
      </c>
    </row>
    <row r="21" ht="22.5" customHeight="1">
      <c r="A21" s="2" t="str">
        <f>IFERROR(__xludf.DUMMYFUNCTION("""COMPUTED_VALUE"""),"2026-08")</f>
        <v>2026-08</v>
      </c>
      <c r="B21" s="2" t="str">
        <f>IFERROR(__xludf.DUMMYFUNCTION("""COMPUTED_VALUE"""),"SEDAN_LUXURY_001")</f>
        <v>SEDAN_LUXURY_001</v>
      </c>
      <c r="C21" s="2">
        <f>IFERROR(__xludf.DUMMYFUNCTION("""COMPUTED_VALUE"""),160.0)</f>
        <v>160</v>
      </c>
      <c r="D21" s="2">
        <f>IFERROR(__xludf.DUMMYFUNCTION("""COMPUTED_VALUE"""),499.0)</f>
        <v>499</v>
      </c>
      <c r="E21" s="2">
        <f>IFERROR(__xludf.DUMMYFUNCTION("""COMPUTED_VALUE"""),557.0)</f>
        <v>557</v>
      </c>
      <c r="F21" s="2">
        <f>IFERROR(__xludf.DUMMYFUNCTION("""COMPUTED_VALUE"""),102.0)</f>
        <v>102</v>
      </c>
    </row>
    <row r="22" ht="22.5" customHeight="1">
      <c r="A22" s="2" t="str">
        <f>IFERROR(__xludf.DUMMYFUNCTION("""COMPUTED_VALUE"""),"2026-09")</f>
        <v>2026-09</v>
      </c>
      <c r="B22" s="2" t="str">
        <f>IFERROR(__xludf.DUMMYFUNCTION("""COMPUTED_VALUE"""),"SEDAN_LUXURY_001")</f>
        <v>SEDAN_LUXURY_001</v>
      </c>
      <c r="C22" s="2">
        <f>IFERROR(__xludf.DUMMYFUNCTION("""COMPUTED_VALUE"""),102.0)</f>
        <v>102</v>
      </c>
      <c r="D22" s="2">
        <f>IFERROR(__xludf.DUMMYFUNCTION("""COMPUTED_VALUE"""),499.0)</f>
        <v>499</v>
      </c>
      <c r="E22" s="2">
        <f>IFERROR(__xludf.DUMMYFUNCTION("""COMPUTED_VALUE"""),476.0)</f>
        <v>476</v>
      </c>
      <c r="F22" s="2">
        <f>IFERROR(__xludf.DUMMYFUNCTION("""COMPUTED_VALUE"""),125.0)</f>
        <v>125</v>
      </c>
    </row>
    <row r="23" ht="22.5" customHeight="1">
      <c r="A23" s="2" t="str">
        <f>IFERROR(__xludf.DUMMYFUNCTION("""COMPUTED_VALUE"""),"2026-10")</f>
        <v>2026-10</v>
      </c>
      <c r="B23" s="2" t="str">
        <f>IFERROR(__xludf.DUMMYFUNCTION("""COMPUTED_VALUE"""),"SEDAN_LUXURY_001")</f>
        <v>SEDAN_LUXURY_001</v>
      </c>
      <c r="C23" s="2">
        <f>IFERROR(__xludf.DUMMYFUNCTION("""COMPUTED_VALUE"""),125.0)</f>
        <v>125</v>
      </c>
      <c r="D23" s="2">
        <f>IFERROR(__xludf.DUMMYFUNCTION("""COMPUTED_VALUE"""),499.0)</f>
        <v>499</v>
      </c>
      <c r="E23" s="2">
        <f>IFERROR(__xludf.DUMMYFUNCTION("""COMPUTED_VALUE"""),472.0)</f>
        <v>472</v>
      </c>
      <c r="F23" s="2">
        <f>IFERROR(__xludf.DUMMYFUNCTION("""COMPUTED_VALUE"""),152.0)</f>
        <v>152</v>
      </c>
    </row>
    <row r="24" ht="22.5" customHeight="1">
      <c r="A24" s="2" t="str">
        <f>IFERROR(__xludf.DUMMYFUNCTION("""COMPUTED_VALUE"""),"2026-11")</f>
        <v>2026-11</v>
      </c>
      <c r="B24" s="2" t="str">
        <f>IFERROR(__xludf.DUMMYFUNCTION("""COMPUTED_VALUE"""),"SEDAN_LUXURY_001")</f>
        <v>SEDAN_LUXURY_001</v>
      </c>
      <c r="C24" s="2">
        <f>IFERROR(__xludf.DUMMYFUNCTION("""COMPUTED_VALUE"""),152.0)</f>
        <v>152</v>
      </c>
      <c r="D24" s="2">
        <f>IFERROR(__xludf.DUMMYFUNCTION("""COMPUTED_VALUE"""),499.0)</f>
        <v>499</v>
      </c>
      <c r="E24" s="2">
        <f>IFERROR(__xludf.DUMMYFUNCTION("""COMPUTED_VALUE"""),529.0)</f>
        <v>529</v>
      </c>
      <c r="F24" s="2">
        <f>IFERROR(__xludf.DUMMYFUNCTION("""COMPUTED_VALUE"""),122.0)</f>
        <v>122</v>
      </c>
    </row>
    <row r="25" ht="22.5" customHeight="1">
      <c r="A25" s="2" t="str">
        <f>IFERROR(__xludf.DUMMYFUNCTION("""COMPUTED_VALUE"""),"2026-12")</f>
        <v>2026-12</v>
      </c>
      <c r="B25" s="2" t="str">
        <f>IFERROR(__xludf.DUMMYFUNCTION("""COMPUTED_VALUE"""),"SEDAN_LUXURY_001")</f>
        <v>SEDAN_LUXURY_001</v>
      </c>
      <c r="C25" s="2">
        <f>IFERROR(__xludf.DUMMYFUNCTION("""COMPUTED_VALUE"""),122.0)</f>
        <v>122</v>
      </c>
      <c r="D25" s="2">
        <f>IFERROR(__xludf.DUMMYFUNCTION("""COMPUTED_VALUE"""),499.0)</f>
        <v>499</v>
      </c>
      <c r="E25" s="2">
        <f>IFERROR(__xludf.DUMMYFUNCTION("""COMPUTED_VALUE"""),621.0)</f>
        <v>621</v>
      </c>
      <c r="F25" s="2">
        <f>IFERROR(__xludf.DUMMYFUNCTION("""COMPUTED_VALUE"""),0.0)</f>
        <v>0</v>
      </c>
    </row>
    <row r="26" ht="22.5" customHeight="1">
      <c r="A26" s="2" t="str">
        <f>IFERROR(__xludf.DUMMYFUNCTION("""COMPUTED_VALUE"""),"2026-01")</f>
        <v>2026-01</v>
      </c>
      <c r="B26" s="2" t="str">
        <f>IFERROR(__xludf.DUMMYFUNCTION("""COMPUTED_VALUE"""),"SUV_001")</f>
        <v>SUV_001</v>
      </c>
      <c r="C26" s="2">
        <f>IFERROR(__xludf.DUMMYFUNCTION("""COMPUTED_VALUE"""),0.0)</f>
        <v>0</v>
      </c>
      <c r="D26" s="2">
        <f>IFERROR(__xludf.DUMMYFUNCTION("""COMPUTED_VALUE"""),627.0)</f>
        <v>627</v>
      </c>
      <c r="E26" s="2">
        <f>IFERROR(__xludf.DUMMYFUNCTION("""COMPUTED_VALUE"""),574.0)</f>
        <v>574</v>
      </c>
      <c r="F26" s="2">
        <f>IFERROR(__xludf.DUMMYFUNCTION("""COMPUTED_VALUE"""),53.0)</f>
        <v>53</v>
      </c>
    </row>
    <row r="27" ht="22.5" customHeight="1">
      <c r="A27" s="2" t="str">
        <f>IFERROR(__xludf.DUMMYFUNCTION("""COMPUTED_VALUE"""),"2026-02")</f>
        <v>2026-02</v>
      </c>
      <c r="B27" s="2" t="str">
        <f>IFERROR(__xludf.DUMMYFUNCTION("""COMPUTED_VALUE"""),"SUV_001")</f>
        <v>SUV_001</v>
      </c>
      <c r="C27" s="2">
        <f>IFERROR(__xludf.DUMMYFUNCTION("""COMPUTED_VALUE"""),53.0)</f>
        <v>53</v>
      </c>
      <c r="D27" s="2">
        <f>IFERROR(__xludf.DUMMYFUNCTION("""COMPUTED_VALUE"""),740.0)</f>
        <v>740</v>
      </c>
      <c r="E27" s="2">
        <f>IFERROR(__xludf.DUMMYFUNCTION("""COMPUTED_VALUE"""),544.0)</f>
        <v>544</v>
      </c>
      <c r="F27" s="2">
        <f>IFERROR(__xludf.DUMMYFUNCTION("""COMPUTED_VALUE"""),249.0)</f>
        <v>249</v>
      </c>
    </row>
    <row r="28" ht="22.5" customHeight="1">
      <c r="A28" s="2" t="str">
        <f>IFERROR(__xludf.DUMMYFUNCTION("""COMPUTED_VALUE"""),"2026-03")</f>
        <v>2026-03</v>
      </c>
      <c r="B28" s="2" t="str">
        <f>IFERROR(__xludf.DUMMYFUNCTION("""COMPUTED_VALUE"""),"SUV_001")</f>
        <v>SUV_001</v>
      </c>
      <c r="C28" s="2">
        <f>IFERROR(__xludf.DUMMYFUNCTION("""COMPUTED_VALUE"""),249.0)</f>
        <v>249</v>
      </c>
      <c r="D28" s="2">
        <f>IFERROR(__xludf.DUMMYFUNCTION("""COMPUTED_VALUE"""),740.0)</f>
        <v>740</v>
      </c>
      <c r="E28" s="2">
        <f>IFERROR(__xludf.DUMMYFUNCTION("""COMPUTED_VALUE"""),613.0)</f>
        <v>613</v>
      </c>
      <c r="F28" s="2">
        <f>IFERROR(__xludf.DUMMYFUNCTION("""COMPUTED_VALUE"""),376.0)</f>
        <v>376</v>
      </c>
    </row>
    <row r="29" ht="22.5" customHeight="1">
      <c r="A29" s="2" t="str">
        <f>IFERROR(__xludf.DUMMYFUNCTION("""COMPUTED_VALUE"""),"2026-04")</f>
        <v>2026-04</v>
      </c>
      <c r="B29" s="2" t="str">
        <f>IFERROR(__xludf.DUMMYFUNCTION("""COMPUTED_VALUE"""),"SUV_001")</f>
        <v>SUV_001</v>
      </c>
      <c r="C29" s="2">
        <f>IFERROR(__xludf.DUMMYFUNCTION("""COMPUTED_VALUE"""),376.0)</f>
        <v>376</v>
      </c>
      <c r="D29" s="2">
        <f>IFERROR(__xludf.DUMMYFUNCTION("""COMPUTED_VALUE"""),740.0)</f>
        <v>740</v>
      </c>
      <c r="E29" s="2">
        <f>IFERROR(__xludf.DUMMYFUNCTION("""COMPUTED_VALUE"""),682.0)</f>
        <v>682</v>
      </c>
      <c r="F29" s="2">
        <f>IFERROR(__xludf.DUMMYFUNCTION("""COMPUTED_VALUE"""),434.0)</f>
        <v>434</v>
      </c>
    </row>
    <row r="30" ht="22.5" customHeight="1">
      <c r="A30" s="2" t="str">
        <f>IFERROR(__xludf.DUMMYFUNCTION("""COMPUTED_VALUE"""),"2026-05")</f>
        <v>2026-05</v>
      </c>
      <c r="B30" s="2" t="str">
        <f>IFERROR(__xludf.DUMMYFUNCTION("""COMPUTED_VALUE"""),"SUV_001")</f>
        <v>SUV_001</v>
      </c>
      <c r="C30" s="2">
        <f>IFERROR(__xludf.DUMMYFUNCTION("""COMPUTED_VALUE"""),434.0)</f>
        <v>434</v>
      </c>
      <c r="D30" s="2">
        <f>IFERROR(__xludf.DUMMYFUNCTION("""COMPUTED_VALUE"""),740.0)</f>
        <v>740</v>
      </c>
      <c r="E30" s="2">
        <f>IFERROR(__xludf.DUMMYFUNCTION("""COMPUTED_VALUE"""),737.0)</f>
        <v>737</v>
      </c>
      <c r="F30" s="2">
        <f>IFERROR(__xludf.DUMMYFUNCTION("""COMPUTED_VALUE"""),437.0)</f>
        <v>437</v>
      </c>
    </row>
    <row r="31" ht="22.5" customHeight="1">
      <c r="A31" s="2" t="str">
        <f>IFERROR(__xludf.DUMMYFUNCTION("""COMPUTED_VALUE"""),"2026-06")</f>
        <v>2026-06</v>
      </c>
      <c r="B31" s="2" t="str">
        <f>IFERROR(__xludf.DUMMYFUNCTION("""COMPUTED_VALUE"""),"SUV_001")</f>
        <v>SUV_001</v>
      </c>
      <c r="C31" s="2">
        <f>IFERROR(__xludf.DUMMYFUNCTION("""COMPUTED_VALUE"""),437.0)</f>
        <v>437</v>
      </c>
      <c r="D31" s="2">
        <f>IFERROR(__xludf.DUMMYFUNCTION("""COMPUTED_VALUE"""),740.0)</f>
        <v>740</v>
      </c>
      <c r="E31" s="2">
        <f>IFERROR(__xludf.DUMMYFUNCTION("""COMPUTED_VALUE"""),804.0)</f>
        <v>804</v>
      </c>
      <c r="F31" s="2">
        <f>IFERROR(__xludf.DUMMYFUNCTION("""COMPUTED_VALUE"""),373.0)</f>
        <v>373</v>
      </c>
    </row>
    <row r="32" ht="22.5" customHeight="1">
      <c r="A32" s="2" t="str">
        <f>IFERROR(__xludf.DUMMYFUNCTION("""COMPUTED_VALUE"""),"2026-07")</f>
        <v>2026-07</v>
      </c>
      <c r="B32" s="2" t="str">
        <f>IFERROR(__xludf.DUMMYFUNCTION("""COMPUTED_VALUE"""),"SUV_001")</f>
        <v>SUV_001</v>
      </c>
      <c r="C32" s="2">
        <f>IFERROR(__xludf.DUMMYFUNCTION("""COMPUTED_VALUE"""),373.0)</f>
        <v>373</v>
      </c>
      <c r="D32" s="2">
        <f>IFERROR(__xludf.DUMMYFUNCTION("""COMPUTED_VALUE"""),740.0)</f>
        <v>740</v>
      </c>
      <c r="E32" s="2">
        <f>IFERROR(__xludf.DUMMYFUNCTION("""COMPUTED_VALUE"""),825.0)</f>
        <v>825</v>
      </c>
      <c r="F32" s="2">
        <f>IFERROR(__xludf.DUMMYFUNCTION("""COMPUTED_VALUE"""),288.0)</f>
        <v>288</v>
      </c>
    </row>
    <row r="33" ht="22.5" customHeight="1">
      <c r="A33" s="2" t="str">
        <f>IFERROR(__xludf.DUMMYFUNCTION("""COMPUTED_VALUE"""),"2026-08")</f>
        <v>2026-08</v>
      </c>
      <c r="B33" s="2" t="str">
        <f>IFERROR(__xludf.DUMMYFUNCTION("""COMPUTED_VALUE"""),"SUV_001")</f>
        <v>SUV_001</v>
      </c>
      <c r="C33" s="2">
        <f>IFERROR(__xludf.DUMMYFUNCTION("""COMPUTED_VALUE"""),288.0)</f>
        <v>288</v>
      </c>
      <c r="D33" s="2">
        <f>IFERROR(__xludf.DUMMYFUNCTION("""COMPUTED_VALUE"""),740.0)</f>
        <v>740</v>
      </c>
      <c r="E33" s="2">
        <f>IFERROR(__xludf.DUMMYFUNCTION("""COMPUTED_VALUE"""),826.0)</f>
        <v>826</v>
      </c>
      <c r="F33" s="2">
        <f>IFERROR(__xludf.DUMMYFUNCTION("""COMPUTED_VALUE"""),202.0)</f>
        <v>202</v>
      </c>
    </row>
    <row r="34" ht="22.5" customHeight="1">
      <c r="A34" s="2" t="str">
        <f>IFERROR(__xludf.DUMMYFUNCTION("""COMPUTED_VALUE"""),"2026-09")</f>
        <v>2026-09</v>
      </c>
      <c r="B34" s="2" t="str">
        <f>IFERROR(__xludf.DUMMYFUNCTION("""COMPUTED_VALUE"""),"SUV_001")</f>
        <v>SUV_001</v>
      </c>
      <c r="C34" s="2">
        <f>IFERROR(__xludf.DUMMYFUNCTION("""COMPUTED_VALUE"""),202.0)</f>
        <v>202</v>
      </c>
      <c r="D34" s="2">
        <f>IFERROR(__xludf.DUMMYFUNCTION("""COMPUTED_VALUE"""),740.0)</f>
        <v>740</v>
      </c>
      <c r="E34" s="2">
        <f>IFERROR(__xludf.DUMMYFUNCTION("""COMPUTED_VALUE"""),728.0)</f>
        <v>728</v>
      </c>
      <c r="F34" s="2">
        <f>IFERROR(__xludf.DUMMYFUNCTION("""COMPUTED_VALUE"""),214.0)</f>
        <v>214</v>
      </c>
    </row>
    <row r="35" ht="22.5" customHeight="1">
      <c r="A35" s="2" t="str">
        <f>IFERROR(__xludf.DUMMYFUNCTION("""COMPUTED_VALUE"""),"2026-10")</f>
        <v>2026-10</v>
      </c>
      <c r="B35" s="2" t="str">
        <f>IFERROR(__xludf.DUMMYFUNCTION("""COMPUTED_VALUE"""),"SUV_001")</f>
        <v>SUV_001</v>
      </c>
      <c r="C35" s="2">
        <f>IFERROR(__xludf.DUMMYFUNCTION("""COMPUTED_VALUE"""),214.0)</f>
        <v>214</v>
      </c>
      <c r="D35" s="2">
        <f>IFERROR(__xludf.DUMMYFUNCTION("""COMPUTED_VALUE"""),740.0)</f>
        <v>740</v>
      </c>
      <c r="E35" s="2">
        <f>IFERROR(__xludf.DUMMYFUNCTION("""COMPUTED_VALUE"""),708.0)</f>
        <v>708</v>
      </c>
      <c r="F35" s="2">
        <f>IFERROR(__xludf.DUMMYFUNCTION("""COMPUTED_VALUE"""),246.0)</f>
        <v>246</v>
      </c>
    </row>
    <row r="36" ht="22.5" customHeight="1">
      <c r="A36" s="2" t="str">
        <f>IFERROR(__xludf.DUMMYFUNCTION("""COMPUTED_VALUE"""),"2026-11")</f>
        <v>2026-11</v>
      </c>
      <c r="B36" s="2" t="str">
        <f>IFERROR(__xludf.DUMMYFUNCTION("""COMPUTED_VALUE"""),"SUV_001")</f>
        <v>SUV_001</v>
      </c>
      <c r="C36" s="2">
        <f>IFERROR(__xludf.DUMMYFUNCTION("""COMPUTED_VALUE"""),246.0)</f>
        <v>246</v>
      </c>
      <c r="D36" s="2">
        <f>IFERROR(__xludf.DUMMYFUNCTION("""COMPUTED_VALUE"""),740.0)</f>
        <v>740</v>
      </c>
      <c r="E36" s="2">
        <f>IFERROR(__xludf.DUMMYFUNCTION("""COMPUTED_VALUE"""),764.0)</f>
        <v>764</v>
      </c>
      <c r="F36" s="2">
        <f>IFERROR(__xludf.DUMMYFUNCTION("""COMPUTED_VALUE"""),222.0)</f>
        <v>222</v>
      </c>
    </row>
    <row r="37" ht="22.5" customHeight="1">
      <c r="A37" s="2" t="str">
        <f>IFERROR(__xludf.DUMMYFUNCTION("""COMPUTED_VALUE"""),"2026-12")</f>
        <v>2026-12</v>
      </c>
      <c r="B37" s="2" t="str">
        <f>IFERROR(__xludf.DUMMYFUNCTION("""COMPUTED_VALUE"""),"SUV_001")</f>
        <v>SUV_001</v>
      </c>
      <c r="C37" s="2">
        <f>IFERROR(__xludf.DUMMYFUNCTION("""COMPUTED_VALUE"""),222.0)</f>
        <v>222</v>
      </c>
      <c r="D37" s="2">
        <f>IFERROR(__xludf.DUMMYFUNCTION("""COMPUTED_VALUE"""),740.0)</f>
        <v>740</v>
      </c>
      <c r="E37" s="2">
        <f>IFERROR(__xludf.DUMMYFUNCTION("""COMPUTED_VALUE"""),962.0)</f>
        <v>962</v>
      </c>
      <c r="F37" s="2">
        <f>IFERROR(__xludf.DUMMYFUNCTION("""COMPUTED_VALUE"""),0.0)</f>
        <v>0</v>
      </c>
    </row>
    <row r="38" ht="22.5" customHeight="1">
      <c r="A38" s="2" t="str">
        <f>IFERROR(__xludf.DUMMYFUNCTION("""COMPUTED_VALUE"""),"2026-01")</f>
        <v>2026-01</v>
      </c>
      <c r="B38" s="2" t="str">
        <f>IFERROR(__xludf.DUMMYFUNCTION("""COMPUTED_VALUE"""),"SUV_LUXURY_001")</f>
        <v>SUV_LUXURY_001</v>
      </c>
      <c r="C38" s="2">
        <f>IFERROR(__xludf.DUMMYFUNCTION("""COMPUTED_VALUE"""),0.0)</f>
        <v>0</v>
      </c>
      <c r="D38" s="2">
        <f>IFERROR(__xludf.DUMMYFUNCTION("""COMPUTED_VALUE"""),380.0)</f>
        <v>380</v>
      </c>
      <c r="E38" s="2">
        <f>IFERROR(__xludf.DUMMYFUNCTION("""COMPUTED_VALUE"""),379.0)</f>
        <v>379</v>
      </c>
      <c r="F38" s="2">
        <f>IFERROR(__xludf.DUMMYFUNCTION("""COMPUTED_VALUE"""),1.0)</f>
        <v>1</v>
      </c>
    </row>
    <row r="39" ht="22.5" customHeight="1">
      <c r="A39" s="2" t="str">
        <f>IFERROR(__xludf.DUMMYFUNCTION("""COMPUTED_VALUE"""),"2026-02")</f>
        <v>2026-02</v>
      </c>
      <c r="B39" s="2" t="str">
        <f>IFERROR(__xludf.DUMMYFUNCTION("""COMPUTED_VALUE"""),"SUV_LUXURY_001")</f>
        <v>SUV_LUXURY_001</v>
      </c>
      <c r="C39" s="2">
        <f>IFERROR(__xludf.DUMMYFUNCTION("""COMPUTED_VALUE"""),1.0)</f>
        <v>1</v>
      </c>
      <c r="D39" s="2">
        <f>IFERROR(__xludf.DUMMYFUNCTION("""COMPUTED_VALUE"""),492.0)</f>
        <v>492</v>
      </c>
      <c r="E39" s="2">
        <f>IFERROR(__xludf.DUMMYFUNCTION("""COMPUTED_VALUE"""),343.0)</f>
        <v>343</v>
      </c>
      <c r="F39" s="2">
        <f>IFERROR(__xludf.DUMMYFUNCTION("""COMPUTED_VALUE"""),150.0)</f>
        <v>150</v>
      </c>
    </row>
    <row r="40" ht="22.5" customHeight="1">
      <c r="A40" s="2" t="str">
        <f>IFERROR(__xludf.DUMMYFUNCTION("""COMPUTED_VALUE"""),"2026-03")</f>
        <v>2026-03</v>
      </c>
      <c r="B40" s="2" t="str">
        <f>IFERROR(__xludf.DUMMYFUNCTION("""COMPUTED_VALUE"""),"SUV_LUXURY_001")</f>
        <v>SUV_LUXURY_001</v>
      </c>
      <c r="C40" s="2">
        <f>IFERROR(__xludf.DUMMYFUNCTION("""COMPUTED_VALUE"""),150.0)</f>
        <v>150</v>
      </c>
      <c r="D40" s="2">
        <f>IFERROR(__xludf.DUMMYFUNCTION("""COMPUTED_VALUE"""),492.0)</f>
        <v>492</v>
      </c>
      <c r="E40" s="2">
        <f>IFERROR(__xludf.DUMMYFUNCTION("""COMPUTED_VALUE"""),409.0)</f>
        <v>409</v>
      </c>
      <c r="F40" s="2">
        <f>IFERROR(__xludf.DUMMYFUNCTION("""COMPUTED_VALUE"""),233.0)</f>
        <v>233</v>
      </c>
    </row>
    <row r="41" ht="22.5" customHeight="1">
      <c r="A41" s="2" t="str">
        <f>IFERROR(__xludf.DUMMYFUNCTION("""COMPUTED_VALUE"""),"2026-04")</f>
        <v>2026-04</v>
      </c>
      <c r="B41" s="2" t="str">
        <f>IFERROR(__xludf.DUMMYFUNCTION("""COMPUTED_VALUE"""),"SUV_LUXURY_001")</f>
        <v>SUV_LUXURY_001</v>
      </c>
      <c r="C41" s="2">
        <f>IFERROR(__xludf.DUMMYFUNCTION("""COMPUTED_VALUE"""),233.0)</f>
        <v>233</v>
      </c>
      <c r="D41" s="2">
        <f>IFERROR(__xludf.DUMMYFUNCTION("""COMPUTED_VALUE"""),492.0)</f>
        <v>492</v>
      </c>
      <c r="E41" s="2">
        <f>IFERROR(__xludf.DUMMYFUNCTION("""COMPUTED_VALUE"""),443.0)</f>
        <v>443</v>
      </c>
      <c r="F41" s="2">
        <f>IFERROR(__xludf.DUMMYFUNCTION("""COMPUTED_VALUE"""),282.0)</f>
        <v>282</v>
      </c>
    </row>
    <row r="42" ht="22.5" customHeight="1">
      <c r="A42" s="2" t="str">
        <f>IFERROR(__xludf.DUMMYFUNCTION("""COMPUTED_VALUE"""),"2026-05")</f>
        <v>2026-05</v>
      </c>
      <c r="B42" s="2" t="str">
        <f>IFERROR(__xludf.DUMMYFUNCTION("""COMPUTED_VALUE"""),"SUV_LUXURY_001")</f>
        <v>SUV_LUXURY_001</v>
      </c>
      <c r="C42" s="2">
        <f>IFERROR(__xludf.DUMMYFUNCTION("""COMPUTED_VALUE"""),282.0)</f>
        <v>282</v>
      </c>
      <c r="D42" s="2">
        <f>IFERROR(__xludf.DUMMYFUNCTION("""COMPUTED_VALUE"""),492.0)</f>
        <v>492</v>
      </c>
      <c r="E42" s="2">
        <f>IFERROR(__xludf.DUMMYFUNCTION("""COMPUTED_VALUE"""),483.0)</f>
        <v>483</v>
      </c>
      <c r="F42" s="2">
        <f>IFERROR(__xludf.DUMMYFUNCTION("""COMPUTED_VALUE"""),291.0)</f>
        <v>291</v>
      </c>
    </row>
    <row r="43" ht="22.5" customHeight="1">
      <c r="A43" s="2" t="str">
        <f>IFERROR(__xludf.DUMMYFUNCTION("""COMPUTED_VALUE"""),"2026-06")</f>
        <v>2026-06</v>
      </c>
      <c r="B43" s="2" t="str">
        <f>IFERROR(__xludf.DUMMYFUNCTION("""COMPUTED_VALUE"""),"SUV_LUXURY_001")</f>
        <v>SUV_LUXURY_001</v>
      </c>
      <c r="C43" s="2">
        <f>IFERROR(__xludf.DUMMYFUNCTION("""COMPUTED_VALUE"""),291.0)</f>
        <v>291</v>
      </c>
      <c r="D43" s="2">
        <f>IFERROR(__xludf.DUMMYFUNCTION("""COMPUTED_VALUE"""),492.0)</f>
        <v>492</v>
      </c>
      <c r="E43" s="2">
        <f>IFERROR(__xludf.DUMMYFUNCTION("""COMPUTED_VALUE"""),545.0)</f>
        <v>545</v>
      </c>
      <c r="F43" s="2">
        <f>IFERROR(__xludf.DUMMYFUNCTION("""COMPUTED_VALUE"""),238.0)</f>
        <v>238</v>
      </c>
    </row>
    <row r="44" ht="22.5" customHeight="1">
      <c r="A44" s="2" t="str">
        <f>IFERROR(__xludf.DUMMYFUNCTION("""COMPUTED_VALUE"""),"2026-07")</f>
        <v>2026-07</v>
      </c>
      <c r="B44" s="2" t="str">
        <f>IFERROR(__xludf.DUMMYFUNCTION("""COMPUTED_VALUE"""),"SUV_LUXURY_001")</f>
        <v>SUV_LUXURY_001</v>
      </c>
      <c r="C44" s="2">
        <f>IFERROR(__xludf.DUMMYFUNCTION("""COMPUTED_VALUE"""),238.0)</f>
        <v>238</v>
      </c>
      <c r="D44" s="2">
        <f>IFERROR(__xludf.DUMMYFUNCTION("""COMPUTED_VALUE"""),492.0)</f>
        <v>492</v>
      </c>
      <c r="E44" s="2">
        <f>IFERROR(__xludf.DUMMYFUNCTION("""COMPUTED_VALUE"""),543.0)</f>
        <v>543</v>
      </c>
      <c r="F44" s="2">
        <f>IFERROR(__xludf.DUMMYFUNCTION("""COMPUTED_VALUE"""),187.0)</f>
        <v>187</v>
      </c>
    </row>
    <row r="45" ht="22.5" customHeight="1">
      <c r="A45" s="2" t="str">
        <f>IFERROR(__xludf.DUMMYFUNCTION("""COMPUTED_VALUE"""),"2026-08")</f>
        <v>2026-08</v>
      </c>
      <c r="B45" s="2" t="str">
        <f>IFERROR(__xludf.DUMMYFUNCTION("""COMPUTED_VALUE"""),"SUV_LUXURY_001")</f>
        <v>SUV_LUXURY_001</v>
      </c>
      <c r="C45" s="2">
        <f>IFERROR(__xludf.DUMMYFUNCTION("""COMPUTED_VALUE"""),187.0)</f>
        <v>187</v>
      </c>
      <c r="D45" s="2">
        <f>IFERROR(__xludf.DUMMYFUNCTION("""COMPUTED_VALUE"""),492.0)</f>
        <v>492</v>
      </c>
      <c r="E45" s="2">
        <f>IFERROR(__xludf.DUMMYFUNCTION("""COMPUTED_VALUE"""),539.0)</f>
        <v>539</v>
      </c>
      <c r="F45" s="2">
        <f>IFERROR(__xludf.DUMMYFUNCTION("""COMPUTED_VALUE"""),140.0)</f>
        <v>140</v>
      </c>
    </row>
    <row r="46" ht="22.5" customHeight="1">
      <c r="A46" s="2" t="str">
        <f>IFERROR(__xludf.DUMMYFUNCTION("""COMPUTED_VALUE"""),"2026-09")</f>
        <v>2026-09</v>
      </c>
      <c r="B46" s="2" t="str">
        <f>IFERROR(__xludf.DUMMYFUNCTION("""COMPUTED_VALUE"""),"SUV_LUXURY_001")</f>
        <v>SUV_LUXURY_001</v>
      </c>
      <c r="C46" s="2">
        <f>IFERROR(__xludf.DUMMYFUNCTION("""COMPUTED_VALUE"""),140.0)</f>
        <v>140</v>
      </c>
      <c r="D46" s="2">
        <f>IFERROR(__xludf.DUMMYFUNCTION("""COMPUTED_VALUE"""),492.0)</f>
        <v>492</v>
      </c>
      <c r="E46" s="2">
        <f>IFERROR(__xludf.DUMMYFUNCTION("""COMPUTED_VALUE"""),502.0)</f>
        <v>502</v>
      </c>
      <c r="F46" s="2">
        <f>IFERROR(__xludf.DUMMYFUNCTION("""COMPUTED_VALUE"""),130.0)</f>
        <v>130</v>
      </c>
    </row>
    <row r="47" ht="22.5" customHeight="1">
      <c r="A47" s="2" t="str">
        <f>IFERROR(__xludf.DUMMYFUNCTION("""COMPUTED_VALUE"""),"2026-10")</f>
        <v>2026-10</v>
      </c>
      <c r="B47" s="2" t="str">
        <f>IFERROR(__xludf.DUMMYFUNCTION("""COMPUTED_VALUE"""),"SUV_LUXURY_001")</f>
        <v>SUV_LUXURY_001</v>
      </c>
      <c r="C47" s="2">
        <f>IFERROR(__xludf.DUMMYFUNCTION("""COMPUTED_VALUE"""),130.0)</f>
        <v>130</v>
      </c>
      <c r="D47" s="2">
        <f>IFERROR(__xludf.DUMMYFUNCTION("""COMPUTED_VALUE"""),492.0)</f>
        <v>492</v>
      </c>
      <c r="E47" s="2">
        <f>IFERROR(__xludf.DUMMYFUNCTION("""COMPUTED_VALUE"""),458.0)</f>
        <v>458</v>
      </c>
      <c r="F47" s="2">
        <f>IFERROR(__xludf.DUMMYFUNCTION("""COMPUTED_VALUE"""),164.0)</f>
        <v>164</v>
      </c>
    </row>
    <row r="48" ht="22.5" customHeight="1">
      <c r="A48" s="2" t="str">
        <f>IFERROR(__xludf.DUMMYFUNCTION("""COMPUTED_VALUE"""),"2026-11")</f>
        <v>2026-11</v>
      </c>
      <c r="B48" s="2" t="str">
        <f>IFERROR(__xludf.DUMMYFUNCTION("""COMPUTED_VALUE"""),"SUV_LUXURY_001")</f>
        <v>SUV_LUXURY_001</v>
      </c>
      <c r="C48" s="2">
        <f>IFERROR(__xludf.DUMMYFUNCTION("""COMPUTED_VALUE"""),164.0)</f>
        <v>164</v>
      </c>
      <c r="D48" s="2">
        <f>IFERROR(__xludf.DUMMYFUNCTION("""COMPUTED_VALUE"""),492.0)</f>
        <v>492</v>
      </c>
      <c r="E48" s="2">
        <f>IFERROR(__xludf.DUMMYFUNCTION("""COMPUTED_VALUE"""),504.0)</f>
        <v>504</v>
      </c>
      <c r="F48" s="2">
        <f>IFERROR(__xludf.DUMMYFUNCTION("""COMPUTED_VALUE"""),152.0)</f>
        <v>152</v>
      </c>
    </row>
    <row r="49" ht="22.5" customHeight="1">
      <c r="A49" s="2" t="str">
        <f>IFERROR(__xludf.DUMMYFUNCTION("""COMPUTED_VALUE"""),"2026-12")</f>
        <v>2026-12</v>
      </c>
      <c r="B49" s="2" t="str">
        <f>IFERROR(__xludf.DUMMYFUNCTION("""COMPUTED_VALUE"""),"SUV_LUXURY_001")</f>
        <v>SUV_LUXURY_001</v>
      </c>
      <c r="C49" s="2">
        <f>IFERROR(__xludf.DUMMYFUNCTION("""COMPUTED_VALUE"""),152.0)</f>
        <v>152</v>
      </c>
      <c r="D49" s="2">
        <f>IFERROR(__xludf.DUMMYFUNCTION("""COMPUTED_VALUE"""),492.0)</f>
        <v>492</v>
      </c>
      <c r="E49" s="2">
        <f>IFERROR(__xludf.DUMMYFUNCTION("""COMPUTED_VALUE"""),644.0)</f>
        <v>644</v>
      </c>
      <c r="F49" s="2">
        <f>IFERROR(__xludf.DUMMYFUNCTION("""COMPUTED_VALUE"""),0.0)</f>
        <v>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63"/>
    <col customWidth="1" min="3" max="3" width="16.38"/>
    <col customWidth="1" min="5" max="5" width="19.63"/>
    <col customWidth="1" min="6" max="6" width="28.63"/>
    <col customWidth="1" min="8" max="8" width="17.38"/>
    <col customWidth="1" min="9" max="9" width="15.5"/>
  </cols>
  <sheetData>
    <row r="1" ht="22.5" customHeight="1">
      <c r="A1" s="3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</row>
    <row r="2" ht="22.5" customHeight="1">
      <c r="A2" s="2" t="str">
        <f>IFERROR(__xludf.DUMMYFUNCTION("IMPORTRANGE(""https://docs.google.com/spreadsheets/d/1cuUEDJt1Vm931IMxiPU4Nr4m2KtD68iuWoRbEMiJusk/edit?usp=sharing"",""L1_PLAN!A2:Z10000"")"),"2026-01")</f>
        <v>2026-01</v>
      </c>
      <c r="B2" s="2" t="str">
        <f>IFERROR(__xludf.DUMMYFUNCTION("""COMPUTED_VALUE"""),"LSCBDSD0004")</f>
        <v>LSCBDSD0004</v>
      </c>
      <c r="C2" s="2">
        <f>IFERROR(__xludf.DUMMYFUNCTION("""COMPUTED_VALUE"""),0.0)</f>
        <v>0</v>
      </c>
      <c r="D2" s="2">
        <f>IFERROR(__xludf.DUMMYFUNCTION("""COMPUTED_VALUE"""),0.0)</f>
        <v>0</v>
      </c>
      <c r="E2" s="2">
        <f>IFERROR(__xludf.DUMMYFUNCTION("""COMPUTED_VALUE"""),0.0)</f>
        <v>0</v>
      </c>
      <c r="F2" s="2">
        <f>IFERROR(__xludf.DUMMYFUNCTION("""COMPUTED_VALUE"""),0.0)</f>
        <v>0</v>
      </c>
      <c r="G2" s="2">
        <f>IFERROR(__xludf.DUMMYFUNCTION("""COMPUTED_VALUE"""),593.0)</f>
        <v>593</v>
      </c>
      <c r="H2" s="2">
        <f>IFERROR(__xludf.DUMMYFUNCTION("""COMPUTED_VALUE"""),591.0)</f>
        <v>591</v>
      </c>
      <c r="I2" s="2">
        <f>IFERROR(__xludf.DUMMYFUNCTION("""COMPUTED_VALUE"""),2.0)</f>
        <v>2</v>
      </c>
    </row>
    <row r="3" ht="22.5" customHeight="1">
      <c r="A3" s="2" t="str">
        <f>IFERROR(__xludf.DUMMYFUNCTION("""COMPUTED_VALUE"""),"2026-02")</f>
        <v>2026-02</v>
      </c>
      <c r="B3" s="2" t="str">
        <f>IFERROR(__xludf.DUMMYFUNCTION("""COMPUTED_VALUE"""),"LSCBDSD0004")</f>
        <v>LSCBDSD0004</v>
      </c>
      <c r="C3" s="2">
        <f>IFERROR(__xludf.DUMMYFUNCTION("""COMPUTED_VALUE"""),2.0)</f>
        <v>2</v>
      </c>
      <c r="D3" s="2">
        <f>IFERROR(__xludf.DUMMYFUNCTION("""COMPUTED_VALUE"""),0.0)</f>
        <v>0</v>
      </c>
      <c r="E3" s="2">
        <f>IFERROR(__xludf.DUMMYFUNCTION("""COMPUTED_VALUE"""),0.0)</f>
        <v>0</v>
      </c>
      <c r="F3" s="2">
        <f>IFERROR(__xludf.DUMMYFUNCTION("""COMPUTED_VALUE"""),0.0)</f>
        <v>0</v>
      </c>
      <c r="G3" s="2">
        <f>IFERROR(__xludf.DUMMYFUNCTION("""COMPUTED_VALUE"""),790.0)</f>
        <v>790</v>
      </c>
      <c r="H3" s="2">
        <f>IFERROR(__xludf.DUMMYFUNCTION("""COMPUTED_VALUE"""),702.0)</f>
        <v>702</v>
      </c>
      <c r="I3" s="2">
        <f>IFERROR(__xludf.DUMMYFUNCTION("""COMPUTED_VALUE"""),90.0)</f>
        <v>90</v>
      </c>
    </row>
    <row r="4" ht="22.5" customHeight="1">
      <c r="A4" s="2" t="str">
        <f>IFERROR(__xludf.DUMMYFUNCTION("""COMPUTED_VALUE"""),"2026-03")</f>
        <v>2026-03</v>
      </c>
      <c r="B4" s="2" t="str">
        <f>IFERROR(__xludf.DUMMYFUNCTION("""COMPUTED_VALUE"""),"LSCBDSD0004")</f>
        <v>LSCBDSD0004</v>
      </c>
      <c r="C4" s="2">
        <f>IFERROR(__xludf.DUMMYFUNCTION("""COMPUTED_VALUE"""),90.0)</f>
        <v>90</v>
      </c>
      <c r="D4" s="2">
        <f>IFERROR(__xludf.DUMMYFUNCTION("""COMPUTED_VALUE"""),660.0)</f>
        <v>660</v>
      </c>
      <c r="E4" s="2">
        <f>IFERROR(__xludf.DUMMYFUNCTION("""COMPUTED_VALUE"""),44.0)</f>
        <v>44</v>
      </c>
      <c r="F4" s="2">
        <f>IFERROR(__xludf.DUMMYFUNCTION("""COMPUTED_VALUE"""),0.0)</f>
        <v>0</v>
      </c>
      <c r="G4" s="2">
        <f>IFERROR(__xludf.DUMMYFUNCTION("""COMPUTED_VALUE"""),0.0)</f>
        <v>0</v>
      </c>
      <c r="H4" s="2">
        <f>IFERROR(__xludf.DUMMYFUNCTION("""COMPUTED_VALUE"""),750.0)</f>
        <v>750</v>
      </c>
      <c r="I4" s="2">
        <f>IFERROR(__xludf.DUMMYFUNCTION("""COMPUTED_VALUE"""),0.0)</f>
        <v>0</v>
      </c>
    </row>
    <row r="5" ht="22.5" customHeight="1">
      <c r="A5" s="2" t="str">
        <f>IFERROR(__xludf.DUMMYFUNCTION("""COMPUTED_VALUE"""),"2026-04")</f>
        <v>2026-04</v>
      </c>
      <c r="B5" s="2" t="str">
        <f>IFERROR(__xludf.DUMMYFUNCTION("""COMPUTED_VALUE"""),"LSCBDSD0004")</f>
        <v>LSCBDSD0004</v>
      </c>
      <c r="C5" s="2">
        <f>IFERROR(__xludf.DUMMYFUNCTION("""COMPUTED_VALUE"""),0.0)</f>
        <v>0</v>
      </c>
      <c r="D5" s="2">
        <f>IFERROR(__xludf.DUMMYFUNCTION("""COMPUTED_VALUE"""),750.0)</f>
        <v>750</v>
      </c>
      <c r="E5" s="2">
        <f>IFERROR(__xludf.DUMMYFUNCTION("""COMPUTED_VALUE"""),50.0)</f>
        <v>50</v>
      </c>
      <c r="F5" s="2">
        <f>IFERROR(__xludf.DUMMYFUNCTION("""COMPUTED_VALUE"""),0.0)</f>
        <v>0</v>
      </c>
      <c r="G5" s="2">
        <f>IFERROR(__xludf.DUMMYFUNCTION("""COMPUTED_VALUE"""),0.0)</f>
        <v>0</v>
      </c>
      <c r="H5" s="2">
        <f>IFERROR(__xludf.DUMMYFUNCTION("""COMPUTED_VALUE"""),750.0)</f>
        <v>750</v>
      </c>
      <c r="I5" s="2">
        <f>IFERROR(__xludf.DUMMYFUNCTION("""COMPUTED_VALUE"""),0.0)</f>
        <v>0</v>
      </c>
    </row>
    <row r="6" ht="22.5" customHeight="1">
      <c r="A6" s="2" t="str">
        <f>IFERROR(__xludf.DUMMYFUNCTION("""COMPUTED_VALUE"""),"2026-05")</f>
        <v>2026-05</v>
      </c>
      <c r="B6" s="2" t="str">
        <f>IFERROR(__xludf.DUMMYFUNCTION("""COMPUTED_VALUE"""),"LSCBDSD0004")</f>
        <v>LSCBDSD0004</v>
      </c>
      <c r="C6" s="2">
        <f>IFERROR(__xludf.DUMMYFUNCTION("""COMPUTED_VALUE"""),0.0)</f>
        <v>0</v>
      </c>
      <c r="D6" s="2">
        <f>IFERROR(__xludf.DUMMYFUNCTION("""COMPUTED_VALUE"""),750.0)</f>
        <v>750</v>
      </c>
      <c r="E6" s="2">
        <f>IFERROR(__xludf.DUMMYFUNCTION("""COMPUTED_VALUE"""),50.0)</f>
        <v>50</v>
      </c>
      <c r="F6" s="2">
        <f>IFERROR(__xludf.DUMMYFUNCTION("""COMPUTED_VALUE"""),0.0)</f>
        <v>0</v>
      </c>
      <c r="G6" s="2">
        <f>IFERROR(__xludf.DUMMYFUNCTION("""COMPUTED_VALUE"""),0.0)</f>
        <v>0</v>
      </c>
      <c r="H6" s="2">
        <f>IFERROR(__xludf.DUMMYFUNCTION("""COMPUTED_VALUE"""),750.0)</f>
        <v>750</v>
      </c>
      <c r="I6" s="2">
        <f>IFERROR(__xludf.DUMMYFUNCTION("""COMPUTED_VALUE"""),0.0)</f>
        <v>0</v>
      </c>
    </row>
    <row r="7" ht="22.5" customHeight="1">
      <c r="A7" s="2" t="str">
        <f>IFERROR(__xludf.DUMMYFUNCTION("""COMPUTED_VALUE"""),"2026-06")</f>
        <v>2026-06</v>
      </c>
      <c r="B7" s="2" t="str">
        <f>IFERROR(__xludf.DUMMYFUNCTION("""COMPUTED_VALUE"""),"LSCBDSD0004")</f>
        <v>LSCBDSD0004</v>
      </c>
      <c r="C7" s="2">
        <f>IFERROR(__xludf.DUMMYFUNCTION("""COMPUTED_VALUE"""),0.0)</f>
        <v>0</v>
      </c>
      <c r="D7" s="2">
        <f>IFERROR(__xludf.DUMMYFUNCTION("""COMPUTED_VALUE"""),750.0)</f>
        <v>750</v>
      </c>
      <c r="E7" s="2">
        <f>IFERROR(__xludf.DUMMYFUNCTION("""COMPUTED_VALUE"""),50.0)</f>
        <v>50</v>
      </c>
      <c r="F7" s="2">
        <f>IFERROR(__xludf.DUMMYFUNCTION("""COMPUTED_VALUE"""),0.0)</f>
        <v>0</v>
      </c>
      <c r="G7" s="2">
        <f>IFERROR(__xludf.DUMMYFUNCTION("""COMPUTED_VALUE"""),0.0)</f>
        <v>0</v>
      </c>
      <c r="H7" s="2">
        <f>IFERROR(__xludf.DUMMYFUNCTION("""COMPUTED_VALUE"""),750.0)</f>
        <v>750</v>
      </c>
      <c r="I7" s="2">
        <f>IFERROR(__xludf.DUMMYFUNCTION("""COMPUTED_VALUE"""),0.0)</f>
        <v>0</v>
      </c>
    </row>
    <row r="8" ht="22.5" customHeight="1">
      <c r="A8" s="2" t="str">
        <f>IFERROR(__xludf.DUMMYFUNCTION("""COMPUTED_VALUE"""),"2026-07")</f>
        <v>2026-07</v>
      </c>
      <c r="B8" s="2" t="str">
        <f>IFERROR(__xludf.DUMMYFUNCTION("""COMPUTED_VALUE"""),"LSCBDSD0004")</f>
        <v>LSCBDSD0004</v>
      </c>
      <c r="C8" s="2">
        <f>IFERROR(__xludf.DUMMYFUNCTION("""COMPUTED_VALUE"""),0.0)</f>
        <v>0</v>
      </c>
      <c r="D8" s="2">
        <f>IFERROR(__xludf.DUMMYFUNCTION("""COMPUTED_VALUE"""),750.0)</f>
        <v>750</v>
      </c>
      <c r="E8" s="2">
        <f>IFERROR(__xludf.DUMMYFUNCTION("""COMPUTED_VALUE"""),50.0)</f>
        <v>50</v>
      </c>
      <c r="F8" s="2">
        <f>IFERROR(__xludf.DUMMYFUNCTION("""COMPUTED_VALUE"""),0.0)</f>
        <v>0</v>
      </c>
      <c r="G8" s="2">
        <f>IFERROR(__xludf.DUMMYFUNCTION("""COMPUTED_VALUE"""),0.0)</f>
        <v>0</v>
      </c>
      <c r="H8" s="2">
        <f>IFERROR(__xludf.DUMMYFUNCTION("""COMPUTED_VALUE"""),750.0)</f>
        <v>750</v>
      </c>
      <c r="I8" s="2">
        <f>IFERROR(__xludf.DUMMYFUNCTION("""COMPUTED_VALUE"""),0.0)</f>
        <v>0</v>
      </c>
    </row>
    <row r="9" ht="22.5" customHeight="1">
      <c r="A9" s="2" t="str">
        <f>IFERROR(__xludf.DUMMYFUNCTION("""COMPUTED_VALUE"""),"2026-08")</f>
        <v>2026-08</v>
      </c>
      <c r="B9" s="2" t="str">
        <f>IFERROR(__xludf.DUMMYFUNCTION("""COMPUTED_VALUE"""),"LSCBDSD0004")</f>
        <v>LSCBDSD0004</v>
      </c>
      <c r="C9" s="2">
        <f>IFERROR(__xludf.DUMMYFUNCTION("""COMPUTED_VALUE"""),0.0)</f>
        <v>0</v>
      </c>
      <c r="D9" s="2">
        <f>IFERROR(__xludf.DUMMYFUNCTION("""COMPUTED_VALUE"""),750.0)</f>
        <v>750</v>
      </c>
      <c r="E9" s="2">
        <f>IFERROR(__xludf.DUMMYFUNCTION("""COMPUTED_VALUE"""),50.0)</f>
        <v>50</v>
      </c>
      <c r="F9" s="2">
        <f>IFERROR(__xludf.DUMMYFUNCTION("""COMPUTED_VALUE"""),0.0)</f>
        <v>0</v>
      </c>
      <c r="G9" s="2">
        <f>IFERROR(__xludf.DUMMYFUNCTION("""COMPUTED_VALUE"""),0.0)</f>
        <v>0</v>
      </c>
      <c r="H9" s="2">
        <f>IFERROR(__xludf.DUMMYFUNCTION("""COMPUTED_VALUE"""),750.0)</f>
        <v>750</v>
      </c>
      <c r="I9" s="2">
        <f>IFERROR(__xludf.DUMMYFUNCTION("""COMPUTED_VALUE"""),0.0)</f>
        <v>0</v>
      </c>
    </row>
    <row r="10" ht="22.5" customHeight="1">
      <c r="A10" s="2" t="str">
        <f>IFERROR(__xludf.DUMMYFUNCTION("""COMPUTED_VALUE"""),"2026-09")</f>
        <v>2026-09</v>
      </c>
      <c r="B10" s="2" t="str">
        <f>IFERROR(__xludf.DUMMYFUNCTION("""COMPUTED_VALUE"""),"LSCBDSD0004")</f>
        <v>LSCBDSD0004</v>
      </c>
      <c r="C10" s="2">
        <f>IFERROR(__xludf.DUMMYFUNCTION("""COMPUTED_VALUE"""),0.0)</f>
        <v>0</v>
      </c>
      <c r="D10" s="2">
        <f>IFERROR(__xludf.DUMMYFUNCTION("""COMPUTED_VALUE"""),750.0)</f>
        <v>750</v>
      </c>
      <c r="E10" s="2">
        <f>IFERROR(__xludf.DUMMYFUNCTION("""COMPUTED_VALUE"""),50.0)</f>
        <v>50</v>
      </c>
      <c r="F10" s="2">
        <f>IFERROR(__xludf.DUMMYFUNCTION("""COMPUTED_VALUE"""),0.0)</f>
        <v>0</v>
      </c>
      <c r="G10" s="2">
        <f>IFERROR(__xludf.DUMMYFUNCTION("""COMPUTED_VALUE"""),0.0)</f>
        <v>0</v>
      </c>
      <c r="H10" s="2">
        <f>IFERROR(__xludf.DUMMYFUNCTION("""COMPUTED_VALUE"""),750.0)</f>
        <v>750</v>
      </c>
      <c r="I10" s="2">
        <f>IFERROR(__xludf.DUMMYFUNCTION("""COMPUTED_VALUE"""),0.0)</f>
        <v>0</v>
      </c>
    </row>
    <row r="11" ht="22.5" customHeight="1">
      <c r="A11" s="2" t="str">
        <f>IFERROR(__xludf.DUMMYFUNCTION("""COMPUTED_VALUE"""),"2026-10")</f>
        <v>2026-10</v>
      </c>
      <c r="B11" s="2" t="str">
        <f>IFERROR(__xludf.DUMMYFUNCTION("""COMPUTED_VALUE"""),"LSCBDSD0004")</f>
        <v>LSCBDSD0004</v>
      </c>
      <c r="C11" s="2">
        <f>IFERROR(__xludf.DUMMYFUNCTION("""COMPUTED_VALUE"""),0.0)</f>
        <v>0</v>
      </c>
      <c r="D11" s="2">
        <f>IFERROR(__xludf.DUMMYFUNCTION("""COMPUTED_VALUE"""),750.0)</f>
        <v>750</v>
      </c>
      <c r="E11" s="2">
        <f>IFERROR(__xludf.DUMMYFUNCTION("""COMPUTED_VALUE"""),50.0)</f>
        <v>50</v>
      </c>
      <c r="F11" s="2">
        <f>IFERROR(__xludf.DUMMYFUNCTION("""COMPUTED_VALUE"""),0.0)</f>
        <v>0</v>
      </c>
      <c r="G11" s="2">
        <f>IFERROR(__xludf.DUMMYFUNCTION("""COMPUTED_VALUE"""),0.0)</f>
        <v>0</v>
      </c>
      <c r="H11" s="2">
        <f>IFERROR(__xludf.DUMMYFUNCTION("""COMPUTED_VALUE"""),750.0)</f>
        <v>750</v>
      </c>
      <c r="I11" s="2">
        <f>IFERROR(__xludf.DUMMYFUNCTION("""COMPUTED_VALUE"""),0.0)</f>
        <v>0</v>
      </c>
    </row>
    <row r="12" ht="22.5" customHeight="1">
      <c r="A12" s="2" t="str">
        <f>IFERROR(__xludf.DUMMYFUNCTION("""COMPUTED_VALUE"""),"2026-11")</f>
        <v>2026-11</v>
      </c>
      <c r="B12" s="2" t="str">
        <f>IFERROR(__xludf.DUMMYFUNCTION("""COMPUTED_VALUE"""),"LSCBDSD0004")</f>
        <v>LSCBDSD0004</v>
      </c>
      <c r="C12" s="2">
        <f>IFERROR(__xludf.DUMMYFUNCTION("""COMPUTED_VALUE"""),0.0)</f>
        <v>0</v>
      </c>
      <c r="D12" s="2">
        <f>IFERROR(__xludf.DUMMYFUNCTION("""COMPUTED_VALUE"""),750.0)</f>
        <v>750</v>
      </c>
      <c r="E12" s="2">
        <f>IFERROR(__xludf.DUMMYFUNCTION("""COMPUTED_VALUE"""),50.0)</f>
        <v>50</v>
      </c>
      <c r="F12" s="2">
        <f>IFERROR(__xludf.DUMMYFUNCTION("""COMPUTED_VALUE"""),0.0)</f>
        <v>0</v>
      </c>
      <c r="G12" s="2">
        <f>IFERROR(__xludf.DUMMYFUNCTION("""COMPUTED_VALUE"""),0.0)</f>
        <v>0</v>
      </c>
      <c r="H12" s="2">
        <f>IFERROR(__xludf.DUMMYFUNCTION("""COMPUTED_VALUE"""),750.0)</f>
        <v>750</v>
      </c>
      <c r="I12" s="2">
        <f>IFERROR(__xludf.DUMMYFUNCTION("""COMPUTED_VALUE"""),0.0)</f>
        <v>0</v>
      </c>
    </row>
    <row r="13" ht="22.5" customHeight="1">
      <c r="A13" s="2" t="str">
        <f>IFERROR(__xludf.DUMMYFUNCTION("""COMPUTED_VALUE"""),"2026-12")</f>
        <v>2026-12</v>
      </c>
      <c r="B13" s="2" t="str">
        <f>IFERROR(__xludf.DUMMYFUNCTION("""COMPUTED_VALUE"""),"LSCBDSD0004")</f>
        <v>LSCBDSD0004</v>
      </c>
      <c r="C13" s="2">
        <f>IFERROR(__xludf.DUMMYFUNCTION("""COMPUTED_VALUE"""),0.0)</f>
        <v>0</v>
      </c>
      <c r="D13" s="2">
        <f>IFERROR(__xludf.DUMMYFUNCTION("""COMPUTED_VALUE"""),750.0)</f>
        <v>750</v>
      </c>
      <c r="E13" s="2">
        <f>IFERROR(__xludf.DUMMYFUNCTION("""COMPUTED_VALUE"""),50.0)</f>
        <v>50</v>
      </c>
      <c r="F13" s="2">
        <f>IFERROR(__xludf.DUMMYFUNCTION("""COMPUTED_VALUE"""),0.0)</f>
        <v>0</v>
      </c>
      <c r="G13" s="2">
        <f>IFERROR(__xludf.DUMMYFUNCTION("""COMPUTED_VALUE"""),0.0)</f>
        <v>0</v>
      </c>
      <c r="H13" s="2">
        <f>IFERROR(__xludf.DUMMYFUNCTION("""COMPUTED_VALUE"""),750.0)</f>
        <v>750</v>
      </c>
      <c r="I13" s="2">
        <f>IFERROR(__xludf.DUMMYFUNCTION("""COMPUTED_VALUE"""),9.1295292E-13)</f>
        <v>0</v>
      </c>
    </row>
    <row r="14" ht="22.5" customHeight="1">
      <c r="A14" s="2" t="str">
        <f>IFERROR(__xludf.DUMMYFUNCTION("""COMPUTED_VALUE"""),"2026-01")</f>
        <v>2026-01</v>
      </c>
      <c r="B14" s="2" t="str">
        <f>IFERROR(__xludf.DUMMYFUNCTION("""COMPUTED_VALUE"""),"LSCBDSD0004-LX")</f>
        <v>LSCBDSD0004-LX</v>
      </c>
      <c r="C14" s="2">
        <f>IFERROR(__xludf.DUMMYFUNCTION("""COMPUTED_VALUE"""),0.0)</f>
        <v>0</v>
      </c>
      <c r="D14" s="2">
        <f>IFERROR(__xludf.DUMMYFUNCTION("""COMPUTED_VALUE"""),316.0)</f>
        <v>316</v>
      </c>
      <c r="E14" s="2">
        <f>IFERROR(__xludf.DUMMYFUNCTION("""COMPUTED_VALUE"""),32.0)</f>
        <v>32</v>
      </c>
      <c r="F14" s="2">
        <f>IFERROR(__xludf.DUMMYFUNCTION("""COMPUTED_VALUE"""),4.0)</f>
        <v>4</v>
      </c>
      <c r="G14" s="2">
        <f>IFERROR(__xludf.DUMMYFUNCTION("""COMPUTED_VALUE"""),89.0)</f>
        <v>89</v>
      </c>
      <c r="H14" s="2">
        <f>IFERROR(__xludf.DUMMYFUNCTION("""COMPUTED_VALUE"""),401.0)</f>
        <v>401</v>
      </c>
      <c r="I14" s="2">
        <f>IFERROR(__xludf.DUMMYFUNCTION("""COMPUTED_VALUE"""),4.0)</f>
        <v>4</v>
      </c>
    </row>
    <row r="15" ht="22.5" customHeight="1">
      <c r="A15" s="2" t="str">
        <f>IFERROR(__xludf.DUMMYFUNCTION("""COMPUTED_VALUE"""),"2026-02")</f>
        <v>2026-02</v>
      </c>
      <c r="B15" s="2" t="str">
        <f>IFERROR(__xludf.DUMMYFUNCTION("""COMPUTED_VALUE"""),"LSCBDSD0004-LX")</f>
        <v>LSCBDSD0004-LX</v>
      </c>
      <c r="C15" s="2">
        <f>IFERROR(__xludf.DUMMYFUNCTION("""COMPUTED_VALUE"""),4.0)</f>
        <v>4</v>
      </c>
      <c r="D15" s="2">
        <f>IFERROR(__xludf.DUMMYFUNCTION("""COMPUTED_VALUE"""),451.0)</f>
        <v>451</v>
      </c>
      <c r="E15" s="2">
        <f>IFERROR(__xludf.DUMMYFUNCTION("""COMPUTED_VALUE"""),46.0)</f>
        <v>46</v>
      </c>
      <c r="F15" s="2">
        <f>IFERROR(__xludf.DUMMYFUNCTION("""COMPUTED_VALUE"""),9.0)</f>
        <v>9</v>
      </c>
      <c r="G15" s="2">
        <f>IFERROR(__xludf.DUMMYFUNCTION("""COMPUTED_VALUE"""),2.0)</f>
        <v>2</v>
      </c>
      <c r="H15" s="2">
        <f>IFERROR(__xludf.DUMMYFUNCTION("""COMPUTED_VALUE"""),456.0)</f>
        <v>456</v>
      </c>
      <c r="I15" s="2">
        <f>IFERROR(__xludf.DUMMYFUNCTION("""COMPUTED_VALUE"""),1.0)</f>
        <v>1</v>
      </c>
    </row>
    <row r="16" ht="22.5" customHeight="1">
      <c r="A16" s="2" t="str">
        <f>IFERROR(__xludf.DUMMYFUNCTION("""COMPUTED_VALUE"""),"2026-03")</f>
        <v>2026-03</v>
      </c>
      <c r="B16" s="2" t="str">
        <f>IFERROR(__xludf.DUMMYFUNCTION("""COMPUTED_VALUE"""),"LSCBDSD0004-LX")</f>
        <v>LSCBDSD0004-LX</v>
      </c>
      <c r="C16" s="2">
        <f>IFERROR(__xludf.DUMMYFUNCTION("""COMPUTED_VALUE"""),1.0)</f>
        <v>1</v>
      </c>
      <c r="D16" s="2">
        <f>IFERROR(__xludf.DUMMYFUNCTION("""COMPUTED_VALUE"""),500.0)</f>
        <v>500</v>
      </c>
      <c r="E16" s="2">
        <f>IFERROR(__xludf.DUMMYFUNCTION("""COMPUTED_VALUE"""),50.0)</f>
        <v>50</v>
      </c>
      <c r="F16" s="2">
        <f>IFERROR(__xludf.DUMMYFUNCTION("""COMPUTED_VALUE"""),0.0)</f>
        <v>0</v>
      </c>
      <c r="G16" s="2">
        <f>IFERROR(__xludf.DUMMYFUNCTION("""COMPUTED_VALUE"""),0.0)</f>
        <v>0</v>
      </c>
      <c r="H16" s="2">
        <f>IFERROR(__xludf.DUMMYFUNCTION("""COMPUTED_VALUE"""),499.0)</f>
        <v>499</v>
      </c>
      <c r="I16" s="2">
        <f>IFERROR(__xludf.DUMMYFUNCTION("""COMPUTED_VALUE"""),2.0)</f>
        <v>2</v>
      </c>
    </row>
    <row r="17" ht="22.5" customHeight="1">
      <c r="A17" s="2" t="str">
        <f>IFERROR(__xludf.DUMMYFUNCTION("""COMPUTED_VALUE"""),"2026-04")</f>
        <v>2026-04</v>
      </c>
      <c r="B17" s="2" t="str">
        <f>IFERROR(__xludf.DUMMYFUNCTION("""COMPUTED_VALUE"""),"LSCBDSD0004-LX")</f>
        <v>LSCBDSD0004-LX</v>
      </c>
      <c r="C17" s="2">
        <f>IFERROR(__xludf.DUMMYFUNCTION("""COMPUTED_VALUE"""),2.0)</f>
        <v>2</v>
      </c>
      <c r="D17" s="2">
        <f>IFERROR(__xludf.DUMMYFUNCTION("""COMPUTED_VALUE"""),498.0)</f>
        <v>498</v>
      </c>
      <c r="E17" s="2">
        <f>IFERROR(__xludf.DUMMYFUNCTION("""COMPUTED_VALUE"""),50.0)</f>
        <v>50</v>
      </c>
      <c r="F17" s="2">
        <f>IFERROR(__xludf.DUMMYFUNCTION("""COMPUTED_VALUE"""),2.0)</f>
        <v>2</v>
      </c>
      <c r="G17" s="2">
        <f>IFERROR(__xludf.DUMMYFUNCTION("""COMPUTED_VALUE"""),0.0)</f>
        <v>0</v>
      </c>
      <c r="H17" s="2">
        <f>IFERROR(__xludf.DUMMYFUNCTION("""COMPUTED_VALUE"""),499.0)</f>
        <v>499</v>
      </c>
      <c r="I17" s="2">
        <f>IFERROR(__xludf.DUMMYFUNCTION("""COMPUTED_VALUE"""),1.0)</f>
        <v>1</v>
      </c>
    </row>
    <row r="18" ht="22.5" customHeight="1">
      <c r="A18" s="2" t="str">
        <f>IFERROR(__xludf.DUMMYFUNCTION("""COMPUTED_VALUE"""),"2026-05")</f>
        <v>2026-05</v>
      </c>
      <c r="B18" s="2" t="str">
        <f>IFERROR(__xludf.DUMMYFUNCTION("""COMPUTED_VALUE"""),"LSCBDSD0004-LX")</f>
        <v>LSCBDSD0004-LX</v>
      </c>
      <c r="C18" s="2">
        <f>IFERROR(__xludf.DUMMYFUNCTION("""COMPUTED_VALUE"""),1.0)</f>
        <v>1</v>
      </c>
      <c r="D18" s="2">
        <f>IFERROR(__xludf.DUMMYFUNCTION("""COMPUTED_VALUE"""),498.0)</f>
        <v>498</v>
      </c>
      <c r="E18" s="2">
        <f>IFERROR(__xludf.DUMMYFUNCTION("""COMPUTED_VALUE"""),50.0)</f>
        <v>50</v>
      </c>
      <c r="F18" s="2">
        <f>IFERROR(__xludf.DUMMYFUNCTION("""COMPUTED_VALUE"""),2.0)</f>
        <v>2</v>
      </c>
      <c r="G18" s="2">
        <f>IFERROR(__xludf.DUMMYFUNCTION("""COMPUTED_VALUE"""),0.0)</f>
        <v>0</v>
      </c>
      <c r="H18" s="2">
        <f>IFERROR(__xludf.DUMMYFUNCTION("""COMPUTED_VALUE"""),499.0)</f>
        <v>499</v>
      </c>
      <c r="I18" s="2">
        <f>IFERROR(__xludf.DUMMYFUNCTION("""COMPUTED_VALUE"""),0.0)</f>
        <v>0</v>
      </c>
    </row>
    <row r="19" ht="22.5" customHeight="1">
      <c r="A19" s="2" t="str">
        <f>IFERROR(__xludf.DUMMYFUNCTION("""COMPUTED_VALUE"""),"2026-06")</f>
        <v>2026-06</v>
      </c>
      <c r="B19" s="2" t="str">
        <f>IFERROR(__xludf.DUMMYFUNCTION("""COMPUTED_VALUE"""),"LSCBDSD0004-LX")</f>
        <v>LSCBDSD0004-LX</v>
      </c>
      <c r="C19" s="2">
        <f>IFERROR(__xludf.DUMMYFUNCTION("""COMPUTED_VALUE"""),0.0)</f>
        <v>0</v>
      </c>
      <c r="D19" s="2">
        <f>IFERROR(__xludf.DUMMYFUNCTION("""COMPUTED_VALUE"""),499.0)</f>
        <v>499</v>
      </c>
      <c r="E19" s="2">
        <f>IFERROR(__xludf.DUMMYFUNCTION("""COMPUTED_VALUE"""),50.0)</f>
        <v>50</v>
      </c>
      <c r="F19" s="2">
        <f>IFERROR(__xludf.DUMMYFUNCTION("""COMPUTED_VALUE"""),1.0)</f>
        <v>1</v>
      </c>
      <c r="G19" s="2">
        <f>IFERROR(__xludf.DUMMYFUNCTION("""COMPUTED_VALUE"""),0.0)</f>
        <v>0</v>
      </c>
      <c r="H19" s="2">
        <f>IFERROR(__xludf.DUMMYFUNCTION("""COMPUTED_VALUE"""),499.0)</f>
        <v>499</v>
      </c>
      <c r="I19" s="2">
        <f>IFERROR(__xludf.DUMMYFUNCTION("""COMPUTED_VALUE"""),0.0)</f>
        <v>0</v>
      </c>
    </row>
    <row r="20" ht="22.5" customHeight="1">
      <c r="A20" s="2" t="str">
        <f>IFERROR(__xludf.DUMMYFUNCTION("""COMPUTED_VALUE"""),"2026-07")</f>
        <v>2026-07</v>
      </c>
      <c r="B20" s="2" t="str">
        <f>IFERROR(__xludf.DUMMYFUNCTION("""COMPUTED_VALUE"""),"LSCBDSD0004-LX")</f>
        <v>LSCBDSD0004-LX</v>
      </c>
      <c r="C20" s="2">
        <f>IFERROR(__xludf.DUMMYFUNCTION("""COMPUTED_VALUE"""),0.0)</f>
        <v>0</v>
      </c>
      <c r="D20" s="2">
        <f>IFERROR(__xludf.DUMMYFUNCTION("""COMPUTED_VALUE"""),499.0)</f>
        <v>499</v>
      </c>
      <c r="E20" s="2">
        <f>IFERROR(__xludf.DUMMYFUNCTION("""COMPUTED_VALUE"""),50.0)</f>
        <v>50</v>
      </c>
      <c r="F20" s="2">
        <f>IFERROR(__xludf.DUMMYFUNCTION("""COMPUTED_VALUE"""),1.0)</f>
        <v>1</v>
      </c>
      <c r="G20" s="2">
        <f>IFERROR(__xludf.DUMMYFUNCTION("""COMPUTED_VALUE"""),0.0)</f>
        <v>0</v>
      </c>
      <c r="H20" s="2">
        <f>IFERROR(__xludf.DUMMYFUNCTION("""COMPUTED_VALUE"""),499.0)</f>
        <v>499</v>
      </c>
      <c r="I20" s="2">
        <f>IFERROR(__xludf.DUMMYFUNCTION("""COMPUTED_VALUE"""),0.0)</f>
        <v>0</v>
      </c>
    </row>
    <row r="21" ht="22.5" customHeight="1">
      <c r="A21" s="2" t="str">
        <f>IFERROR(__xludf.DUMMYFUNCTION("""COMPUTED_VALUE"""),"2026-08")</f>
        <v>2026-08</v>
      </c>
      <c r="B21" s="2" t="str">
        <f>IFERROR(__xludf.DUMMYFUNCTION("""COMPUTED_VALUE"""),"LSCBDSD0004-LX")</f>
        <v>LSCBDSD0004-LX</v>
      </c>
      <c r="C21" s="2">
        <f>IFERROR(__xludf.DUMMYFUNCTION("""COMPUTED_VALUE"""),0.0)</f>
        <v>0</v>
      </c>
      <c r="D21" s="2">
        <f>IFERROR(__xludf.DUMMYFUNCTION("""COMPUTED_VALUE"""),499.0)</f>
        <v>499</v>
      </c>
      <c r="E21" s="2">
        <f>IFERROR(__xludf.DUMMYFUNCTION("""COMPUTED_VALUE"""),50.0)</f>
        <v>50</v>
      </c>
      <c r="F21" s="2">
        <f>IFERROR(__xludf.DUMMYFUNCTION("""COMPUTED_VALUE"""),1.0)</f>
        <v>1</v>
      </c>
      <c r="G21" s="2">
        <f>IFERROR(__xludf.DUMMYFUNCTION("""COMPUTED_VALUE"""),0.0)</f>
        <v>0</v>
      </c>
      <c r="H21" s="2">
        <f>IFERROR(__xludf.DUMMYFUNCTION("""COMPUTED_VALUE"""),499.0)</f>
        <v>499</v>
      </c>
      <c r="I21" s="2">
        <f>IFERROR(__xludf.DUMMYFUNCTION("""COMPUTED_VALUE"""),0.0)</f>
        <v>0</v>
      </c>
    </row>
    <row r="22" ht="22.5" customHeight="1">
      <c r="A22" s="2" t="str">
        <f>IFERROR(__xludf.DUMMYFUNCTION("""COMPUTED_VALUE"""),"2026-09")</f>
        <v>2026-09</v>
      </c>
      <c r="B22" s="2" t="str">
        <f>IFERROR(__xludf.DUMMYFUNCTION("""COMPUTED_VALUE"""),"LSCBDSD0004-LX")</f>
        <v>LSCBDSD0004-LX</v>
      </c>
      <c r="C22" s="2">
        <f>IFERROR(__xludf.DUMMYFUNCTION("""COMPUTED_VALUE"""),0.0)</f>
        <v>0</v>
      </c>
      <c r="D22" s="2">
        <f>IFERROR(__xludf.DUMMYFUNCTION("""COMPUTED_VALUE"""),499.0)</f>
        <v>499</v>
      </c>
      <c r="E22" s="2">
        <f>IFERROR(__xludf.DUMMYFUNCTION("""COMPUTED_VALUE"""),50.0)</f>
        <v>50</v>
      </c>
      <c r="F22" s="2">
        <f>IFERROR(__xludf.DUMMYFUNCTION("""COMPUTED_VALUE"""),1.0)</f>
        <v>1</v>
      </c>
      <c r="G22" s="2">
        <f>IFERROR(__xludf.DUMMYFUNCTION("""COMPUTED_VALUE"""),0.0)</f>
        <v>0</v>
      </c>
      <c r="H22" s="2">
        <f>IFERROR(__xludf.DUMMYFUNCTION("""COMPUTED_VALUE"""),499.0)</f>
        <v>499</v>
      </c>
      <c r="I22" s="2">
        <f>IFERROR(__xludf.DUMMYFUNCTION("""COMPUTED_VALUE"""),0.0)</f>
        <v>0</v>
      </c>
    </row>
    <row r="23" ht="22.5" customHeight="1">
      <c r="A23" s="2" t="str">
        <f>IFERROR(__xludf.DUMMYFUNCTION("""COMPUTED_VALUE"""),"2026-10")</f>
        <v>2026-10</v>
      </c>
      <c r="B23" s="2" t="str">
        <f>IFERROR(__xludf.DUMMYFUNCTION("""COMPUTED_VALUE"""),"LSCBDSD0004-LX")</f>
        <v>LSCBDSD0004-LX</v>
      </c>
      <c r="C23" s="2">
        <f>IFERROR(__xludf.DUMMYFUNCTION("""COMPUTED_VALUE"""),0.0)</f>
        <v>0</v>
      </c>
      <c r="D23" s="2">
        <f>IFERROR(__xludf.DUMMYFUNCTION("""COMPUTED_VALUE"""),507.0)</f>
        <v>507</v>
      </c>
      <c r="E23" s="2">
        <f>IFERROR(__xludf.DUMMYFUNCTION("""COMPUTED_VALUE"""),51.0)</f>
        <v>51</v>
      </c>
      <c r="F23" s="2">
        <f>IFERROR(__xludf.DUMMYFUNCTION("""COMPUTED_VALUE"""),3.0)</f>
        <v>3</v>
      </c>
      <c r="G23" s="2">
        <f>IFERROR(__xludf.DUMMYFUNCTION("""COMPUTED_VALUE"""),0.0)</f>
        <v>0</v>
      </c>
      <c r="H23" s="2">
        <f>IFERROR(__xludf.DUMMYFUNCTION("""COMPUTED_VALUE"""),499.0)</f>
        <v>499</v>
      </c>
      <c r="I23" s="2">
        <f>IFERROR(__xludf.DUMMYFUNCTION("""COMPUTED_VALUE"""),8.0)</f>
        <v>8</v>
      </c>
    </row>
    <row r="24" ht="22.5" customHeight="1">
      <c r="A24" s="2" t="str">
        <f>IFERROR(__xludf.DUMMYFUNCTION("""COMPUTED_VALUE"""),"2026-11")</f>
        <v>2026-11</v>
      </c>
      <c r="B24" s="2" t="str">
        <f>IFERROR(__xludf.DUMMYFUNCTION("""COMPUTED_VALUE"""),"LSCBDSD0004-LX")</f>
        <v>LSCBDSD0004-LX</v>
      </c>
      <c r="C24" s="2">
        <f>IFERROR(__xludf.DUMMYFUNCTION("""COMPUTED_VALUE"""),8.0)</f>
        <v>8</v>
      </c>
      <c r="D24" s="2">
        <f>IFERROR(__xludf.DUMMYFUNCTION("""COMPUTED_VALUE"""),500.0)</f>
        <v>500</v>
      </c>
      <c r="E24" s="2">
        <f>IFERROR(__xludf.DUMMYFUNCTION("""COMPUTED_VALUE"""),50.0)</f>
        <v>50</v>
      </c>
      <c r="F24" s="2">
        <f>IFERROR(__xludf.DUMMYFUNCTION("""COMPUTED_VALUE"""),0.0)</f>
        <v>0</v>
      </c>
      <c r="G24" s="2">
        <f>IFERROR(__xludf.DUMMYFUNCTION("""COMPUTED_VALUE"""),0.0)</f>
        <v>0</v>
      </c>
      <c r="H24" s="2">
        <f>IFERROR(__xludf.DUMMYFUNCTION("""COMPUTED_VALUE"""),499.0)</f>
        <v>499</v>
      </c>
      <c r="I24" s="2">
        <f>IFERROR(__xludf.DUMMYFUNCTION("""COMPUTED_VALUE"""),9.0)</f>
        <v>9</v>
      </c>
    </row>
    <row r="25" ht="22.5" customHeight="1">
      <c r="A25" s="2" t="str">
        <f>IFERROR(__xludf.DUMMYFUNCTION("""COMPUTED_VALUE"""),"2026-12")</f>
        <v>2026-12</v>
      </c>
      <c r="B25" s="2" t="str">
        <f>IFERROR(__xludf.DUMMYFUNCTION("""COMPUTED_VALUE"""),"LSCBDSD0004-LX")</f>
        <v>LSCBDSD0004-LX</v>
      </c>
      <c r="C25" s="2">
        <f>IFERROR(__xludf.DUMMYFUNCTION("""COMPUTED_VALUE"""),9.0)</f>
        <v>9</v>
      </c>
      <c r="D25" s="2">
        <f>IFERROR(__xludf.DUMMYFUNCTION("""COMPUTED_VALUE"""),490.0)</f>
        <v>490</v>
      </c>
      <c r="E25" s="2">
        <f>IFERROR(__xludf.DUMMYFUNCTION("""COMPUTED_VALUE"""),49.0)</f>
        <v>49</v>
      </c>
      <c r="F25" s="2">
        <f>IFERROR(__xludf.DUMMYFUNCTION("""COMPUTED_VALUE"""),0.0)</f>
        <v>0</v>
      </c>
      <c r="G25" s="2">
        <f>IFERROR(__xludf.DUMMYFUNCTION("""COMPUTED_VALUE"""),0.0)</f>
        <v>0</v>
      </c>
      <c r="H25" s="2">
        <f>IFERROR(__xludf.DUMMYFUNCTION("""COMPUTED_VALUE"""),499.0)</f>
        <v>499</v>
      </c>
      <c r="I25" s="2">
        <f>IFERROR(__xludf.DUMMYFUNCTION("""COMPUTED_VALUE"""),0.0)</f>
        <v>0</v>
      </c>
    </row>
    <row r="26" ht="22.5" customHeight="1">
      <c r="A26" s="2" t="str">
        <f>IFERROR(__xludf.DUMMYFUNCTION("""COMPUTED_VALUE"""),"2026-01")</f>
        <v>2026-01</v>
      </c>
      <c r="B26" s="2" t="str">
        <f>IFERROR(__xludf.DUMMYFUNCTION("""COMPUTED_VALUE"""),"LSCBDSV0009")</f>
        <v>LSCBDSV0009</v>
      </c>
      <c r="C26" s="2">
        <f>IFERROR(__xludf.DUMMYFUNCTION("""COMPUTED_VALUE"""),0.0)</f>
        <v>0</v>
      </c>
      <c r="D26" s="2">
        <f>IFERROR(__xludf.DUMMYFUNCTION("""COMPUTED_VALUE"""),409.0)</f>
        <v>409</v>
      </c>
      <c r="E26" s="2">
        <f>IFERROR(__xludf.DUMMYFUNCTION("""COMPUTED_VALUE"""),28.0)</f>
        <v>28</v>
      </c>
      <c r="F26" s="2">
        <f>IFERROR(__xludf.DUMMYFUNCTION("""COMPUTED_VALUE"""),11.0)</f>
        <v>11</v>
      </c>
      <c r="G26" s="2">
        <f>IFERROR(__xludf.DUMMYFUNCTION("""COMPUTED_VALUE"""),245.0)</f>
        <v>245</v>
      </c>
      <c r="H26" s="2">
        <f>IFERROR(__xludf.DUMMYFUNCTION("""COMPUTED_VALUE"""),627.0)</f>
        <v>627</v>
      </c>
      <c r="I26" s="2">
        <f>IFERROR(__xludf.DUMMYFUNCTION("""COMPUTED_VALUE"""),27.0)</f>
        <v>27</v>
      </c>
    </row>
    <row r="27" ht="22.5" customHeight="1">
      <c r="A27" s="2" t="str">
        <f>IFERROR(__xludf.DUMMYFUNCTION("""COMPUTED_VALUE"""),"2026-02")</f>
        <v>2026-02</v>
      </c>
      <c r="B27" s="2" t="str">
        <f>IFERROR(__xludf.DUMMYFUNCTION("""COMPUTED_VALUE"""),"LSCBDSV0009")</f>
        <v>LSCBDSV0009</v>
      </c>
      <c r="C27" s="2">
        <f>IFERROR(__xludf.DUMMYFUNCTION("""COMPUTED_VALUE"""),27.0)</f>
        <v>27</v>
      </c>
      <c r="D27" s="2">
        <f>IFERROR(__xludf.DUMMYFUNCTION("""COMPUTED_VALUE"""),764.0)</f>
        <v>764</v>
      </c>
      <c r="E27" s="2">
        <f>IFERROR(__xludf.DUMMYFUNCTION("""COMPUTED_VALUE"""),51.0)</f>
        <v>51</v>
      </c>
      <c r="F27" s="2">
        <f>IFERROR(__xludf.DUMMYFUNCTION("""COMPUTED_VALUE"""),1.0)</f>
        <v>1</v>
      </c>
      <c r="G27" s="2">
        <f>IFERROR(__xludf.DUMMYFUNCTION("""COMPUTED_VALUE"""),1.0)</f>
        <v>1</v>
      </c>
      <c r="H27" s="2">
        <f>IFERROR(__xludf.DUMMYFUNCTION("""COMPUTED_VALUE"""),740.0)</f>
        <v>740</v>
      </c>
      <c r="I27" s="2">
        <f>IFERROR(__xludf.DUMMYFUNCTION("""COMPUTED_VALUE"""),52.0)</f>
        <v>52</v>
      </c>
    </row>
    <row r="28" ht="22.5" customHeight="1">
      <c r="A28" s="2" t="str">
        <f>IFERROR(__xludf.DUMMYFUNCTION("""COMPUTED_VALUE"""),"2026-03")</f>
        <v>2026-03</v>
      </c>
      <c r="B28" s="2" t="str">
        <f>IFERROR(__xludf.DUMMYFUNCTION("""COMPUTED_VALUE"""),"LSCBDSV0009")</f>
        <v>LSCBDSV0009</v>
      </c>
      <c r="C28" s="2">
        <f>IFERROR(__xludf.DUMMYFUNCTION("""COMPUTED_VALUE"""),52.0)</f>
        <v>52</v>
      </c>
      <c r="D28" s="2">
        <f>IFERROR(__xludf.DUMMYFUNCTION("""COMPUTED_VALUE"""),735.0)</f>
        <v>735</v>
      </c>
      <c r="E28" s="2">
        <f>IFERROR(__xludf.DUMMYFUNCTION("""COMPUTED_VALUE"""),49.0)</f>
        <v>49</v>
      </c>
      <c r="F28" s="2">
        <f>IFERROR(__xludf.DUMMYFUNCTION("""COMPUTED_VALUE"""),0.0)</f>
        <v>0</v>
      </c>
      <c r="G28" s="2">
        <f>IFERROR(__xludf.DUMMYFUNCTION("""COMPUTED_VALUE"""),0.0)</f>
        <v>0</v>
      </c>
      <c r="H28" s="2">
        <f>IFERROR(__xludf.DUMMYFUNCTION("""COMPUTED_VALUE"""),740.0)</f>
        <v>740</v>
      </c>
      <c r="I28" s="2">
        <f>IFERROR(__xludf.DUMMYFUNCTION("""COMPUTED_VALUE"""),47.0)</f>
        <v>47</v>
      </c>
    </row>
    <row r="29" ht="22.5" customHeight="1">
      <c r="A29" s="2" t="str">
        <f>IFERROR(__xludf.DUMMYFUNCTION("""COMPUTED_VALUE"""),"2026-04")</f>
        <v>2026-04</v>
      </c>
      <c r="B29" s="2" t="str">
        <f>IFERROR(__xludf.DUMMYFUNCTION("""COMPUTED_VALUE"""),"LSCBDSV0009")</f>
        <v>LSCBDSV0009</v>
      </c>
      <c r="C29" s="2">
        <f>IFERROR(__xludf.DUMMYFUNCTION("""COMPUTED_VALUE"""),47.0)</f>
        <v>47</v>
      </c>
      <c r="D29" s="2">
        <f>IFERROR(__xludf.DUMMYFUNCTION("""COMPUTED_VALUE"""),719.0)</f>
        <v>719</v>
      </c>
      <c r="E29" s="2">
        <f>IFERROR(__xludf.DUMMYFUNCTION("""COMPUTED_VALUE"""),48.0)</f>
        <v>48</v>
      </c>
      <c r="F29" s="2">
        <f>IFERROR(__xludf.DUMMYFUNCTION("""COMPUTED_VALUE"""),1.0)</f>
        <v>1</v>
      </c>
      <c r="G29" s="2">
        <f>IFERROR(__xludf.DUMMYFUNCTION("""COMPUTED_VALUE"""),0.0)</f>
        <v>0</v>
      </c>
      <c r="H29" s="2">
        <f>IFERROR(__xludf.DUMMYFUNCTION("""COMPUTED_VALUE"""),740.0)</f>
        <v>740</v>
      </c>
      <c r="I29" s="2">
        <f>IFERROR(__xludf.DUMMYFUNCTION("""COMPUTED_VALUE"""),26.0)</f>
        <v>26</v>
      </c>
    </row>
    <row r="30" ht="22.5" customHeight="1">
      <c r="A30" s="2" t="str">
        <f>IFERROR(__xludf.DUMMYFUNCTION("""COMPUTED_VALUE"""),"2026-05")</f>
        <v>2026-05</v>
      </c>
      <c r="B30" s="2" t="str">
        <f>IFERROR(__xludf.DUMMYFUNCTION("""COMPUTED_VALUE"""),"LSCBDSV0009")</f>
        <v>LSCBDSV0009</v>
      </c>
      <c r="C30" s="2">
        <f>IFERROR(__xludf.DUMMYFUNCTION("""COMPUTED_VALUE"""),26.0)</f>
        <v>26</v>
      </c>
      <c r="D30" s="2">
        <f>IFERROR(__xludf.DUMMYFUNCTION("""COMPUTED_VALUE"""),734.0)</f>
        <v>734</v>
      </c>
      <c r="E30" s="2">
        <f>IFERROR(__xludf.DUMMYFUNCTION("""COMPUTED_VALUE"""),49.0)</f>
        <v>49</v>
      </c>
      <c r="F30" s="2">
        <f>IFERROR(__xludf.DUMMYFUNCTION("""COMPUTED_VALUE"""),1.0)</f>
        <v>1</v>
      </c>
      <c r="G30" s="2">
        <f>IFERROR(__xludf.DUMMYFUNCTION("""COMPUTED_VALUE"""),0.0)</f>
        <v>0</v>
      </c>
      <c r="H30" s="2">
        <f>IFERROR(__xludf.DUMMYFUNCTION("""COMPUTED_VALUE"""),740.0)</f>
        <v>740</v>
      </c>
      <c r="I30" s="2">
        <f>IFERROR(__xludf.DUMMYFUNCTION("""COMPUTED_VALUE"""),20.0)</f>
        <v>20</v>
      </c>
    </row>
    <row r="31" ht="22.5" customHeight="1">
      <c r="A31" s="2" t="str">
        <f>IFERROR(__xludf.DUMMYFUNCTION("""COMPUTED_VALUE"""),"2026-06")</f>
        <v>2026-06</v>
      </c>
      <c r="B31" s="2" t="str">
        <f>IFERROR(__xludf.DUMMYFUNCTION("""COMPUTED_VALUE"""),"LSCBDSV0009")</f>
        <v>LSCBDSV0009</v>
      </c>
      <c r="C31" s="2">
        <f>IFERROR(__xludf.DUMMYFUNCTION("""COMPUTED_VALUE"""),20.0)</f>
        <v>20</v>
      </c>
      <c r="D31" s="2">
        <f>IFERROR(__xludf.DUMMYFUNCTION("""COMPUTED_VALUE"""),735.0)</f>
        <v>735</v>
      </c>
      <c r="E31" s="2">
        <f>IFERROR(__xludf.DUMMYFUNCTION("""COMPUTED_VALUE"""),49.0)</f>
        <v>49</v>
      </c>
      <c r="F31" s="2">
        <f>IFERROR(__xludf.DUMMYFUNCTION("""COMPUTED_VALUE"""),0.0)</f>
        <v>0</v>
      </c>
      <c r="G31" s="2">
        <f>IFERROR(__xludf.DUMMYFUNCTION("""COMPUTED_VALUE"""),0.0)</f>
        <v>0</v>
      </c>
      <c r="H31" s="2">
        <f>IFERROR(__xludf.DUMMYFUNCTION("""COMPUTED_VALUE"""),740.0)</f>
        <v>740</v>
      </c>
      <c r="I31" s="2">
        <f>IFERROR(__xludf.DUMMYFUNCTION("""COMPUTED_VALUE"""),15.0)</f>
        <v>15</v>
      </c>
    </row>
    <row r="32" ht="22.5" customHeight="1">
      <c r="A32" s="2" t="str">
        <f>IFERROR(__xludf.DUMMYFUNCTION("""COMPUTED_VALUE"""),"2026-07")</f>
        <v>2026-07</v>
      </c>
      <c r="B32" s="2" t="str">
        <f>IFERROR(__xludf.DUMMYFUNCTION("""COMPUTED_VALUE"""),"LSCBDSV0009")</f>
        <v>LSCBDSV0009</v>
      </c>
      <c r="C32" s="2">
        <f>IFERROR(__xludf.DUMMYFUNCTION("""COMPUTED_VALUE"""),15.0)</f>
        <v>15</v>
      </c>
      <c r="D32" s="2">
        <f>IFERROR(__xludf.DUMMYFUNCTION("""COMPUTED_VALUE"""),735.0)</f>
        <v>735</v>
      </c>
      <c r="E32" s="2">
        <f>IFERROR(__xludf.DUMMYFUNCTION("""COMPUTED_VALUE"""),49.0)</f>
        <v>49</v>
      </c>
      <c r="F32" s="2">
        <f>IFERROR(__xludf.DUMMYFUNCTION("""COMPUTED_VALUE"""),0.0)</f>
        <v>0</v>
      </c>
      <c r="G32" s="2">
        <f>IFERROR(__xludf.DUMMYFUNCTION("""COMPUTED_VALUE"""),0.0)</f>
        <v>0</v>
      </c>
      <c r="H32" s="2">
        <f>IFERROR(__xludf.DUMMYFUNCTION("""COMPUTED_VALUE"""),740.0)</f>
        <v>740</v>
      </c>
      <c r="I32" s="2">
        <f>IFERROR(__xludf.DUMMYFUNCTION("""COMPUTED_VALUE"""),10.0)</f>
        <v>10</v>
      </c>
    </row>
    <row r="33" ht="22.5" customHeight="1">
      <c r="A33" s="2" t="str">
        <f>IFERROR(__xludf.DUMMYFUNCTION("""COMPUTED_VALUE"""),"2026-08")</f>
        <v>2026-08</v>
      </c>
      <c r="B33" s="2" t="str">
        <f>IFERROR(__xludf.DUMMYFUNCTION("""COMPUTED_VALUE"""),"LSCBDSV0009")</f>
        <v>LSCBDSV0009</v>
      </c>
      <c r="C33" s="2">
        <f>IFERROR(__xludf.DUMMYFUNCTION("""COMPUTED_VALUE"""),10.0)</f>
        <v>10</v>
      </c>
      <c r="D33" s="2">
        <f>IFERROR(__xludf.DUMMYFUNCTION("""COMPUTED_VALUE"""),735.0)</f>
        <v>735</v>
      </c>
      <c r="E33" s="2">
        <f>IFERROR(__xludf.DUMMYFUNCTION("""COMPUTED_VALUE"""),49.0)</f>
        <v>49</v>
      </c>
      <c r="F33" s="2">
        <f>IFERROR(__xludf.DUMMYFUNCTION("""COMPUTED_VALUE"""),0.0)</f>
        <v>0</v>
      </c>
      <c r="G33" s="2">
        <f>IFERROR(__xludf.DUMMYFUNCTION("""COMPUTED_VALUE"""),0.0)</f>
        <v>0</v>
      </c>
      <c r="H33" s="2">
        <f>IFERROR(__xludf.DUMMYFUNCTION("""COMPUTED_VALUE"""),740.0)</f>
        <v>740</v>
      </c>
      <c r="I33" s="2">
        <f>IFERROR(__xludf.DUMMYFUNCTION("""COMPUTED_VALUE"""),5.0)</f>
        <v>5</v>
      </c>
    </row>
    <row r="34" ht="22.5" customHeight="1">
      <c r="A34" s="2" t="str">
        <f>IFERROR(__xludf.DUMMYFUNCTION("""COMPUTED_VALUE"""),"2026-09")</f>
        <v>2026-09</v>
      </c>
      <c r="B34" s="2" t="str">
        <f>IFERROR(__xludf.DUMMYFUNCTION("""COMPUTED_VALUE"""),"LSCBDSV0009")</f>
        <v>LSCBDSV0009</v>
      </c>
      <c r="C34" s="2">
        <f>IFERROR(__xludf.DUMMYFUNCTION("""COMPUTED_VALUE"""),5.0)</f>
        <v>5</v>
      </c>
      <c r="D34" s="2">
        <f>IFERROR(__xludf.DUMMYFUNCTION("""COMPUTED_VALUE"""),735.0)</f>
        <v>735</v>
      </c>
      <c r="E34" s="2">
        <f>IFERROR(__xludf.DUMMYFUNCTION("""COMPUTED_VALUE"""),49.0)</f>
        <v>49</v>
      </c>
      <c r="F34" s="2">
        <f>IFERROR(__xludf.DUMMYFUNCTION("""COMPUTED_VALUE"""),0.0)</f>
        <v>0</v>
      </c>
      <c r="G34" s="2">
        <f>IFERROR(__xludf.DUMMYFUNCTION("""COMPUTED_VALUE"""),0.0)</f>
        <v>0</v>
      </c>
      <c r="H34" s="2">
        <f>IFERROR(__xludf.DUMMYFUNCTION("""COMPUTED_VALUE"""),740.0)</f>
        <v>740</v>
      </c>
      <c r="I34" s="2">
        <f>IFERROR(__xludf.DUMMYFUNCTION("""COMPUTED_VALUE"""),0.0)</f>
        <v>0</v>
      </c>
    </row>
    <row r="35" ht="22.5" customHeight="1">
      <c r="A35" s="2" t="str">
        <f>IFERROR(__xludf.DUMMYFUNCTION("""COMPUTED_VALUE"""),"2026-10")</f>
        <v>2026-10</v>
      </c>
      <c r="B35" s="2" t="str">
        <f>IFERROR(__xludf.DUMMYFUNCTION("""COMPUTED_VALUE"""),"LSCBDSV0009")</f>
        <v>LSCBDSV0009</v>
      </c>
      <c r="C35" s="2">
        <f>IFERROR(__xludf.DUMMYFUNCTION("""COMPUTED_VALUE"""),0.0)</f>
        <v>0</v>
      </c>
      <c r="D35" s="2">
        <f>IFERROR(__xludf.DUMMYFUNCTION("""COMPUTED_VALUE"""),750.0)</f>
        <v>750</v>
      </c>
      <c r="E35" s="2">
        <f>IFERROR(__xludf.DUMMYFUNCTION("""COMPUTED_VALUE"""),50.0)</f>
        <v>50</v>
      </c>
      <c r="F35" s="2">
        <f>IFERROR(__xludf.DUMMYFUNCTION("""COMPUTED_VALUE"""),0.0)</f>
        <v>0</v>
      </c>
      <c r="G35" s="2">
        <f>IFERROR(__xludf.DUMMYFUNCTION("""COMPUTED_VALUE"""),0.0)</f>
        <v>0</v>
      </c>
      <c r="H35" s="2">
        <f>IFERROR(__xludf.DUMMYFUNCTION("""COMPUTED_VALUE"""),740.0)</f>
        <v>740</v>
      </c>
      <c r="I35" s="2">
        <f>IFERROR(__xludf.DUMMYFUNCTION("""COMPUTED_VALUE"""),10.0)</f>
        <v>10</v>
      </c>
    </row>
    <row r="36" ht="22.5" customHeight="1">
      <c r="A36" s="2" t="str">
        <f>IFERROR(__xludf.DUMMYFUNCTION("""COMPUTED_VALUE"""),"2026-11")</f>
        <v>2026-11</v>
      </c>
      <c r="B36" s="2" t="str">
        <f>IFERROR(__xludf.DUMMYFUNCTION("""COMPUTED_VALUE"""),"LSCBDSV0009")</f>
        <v>LSCBDSV0009</v>
      </c>
      <c r="C36" s="2">
        <f>IFERROR(__xludf.DUMMYFUNCTION("""COMPUTED_VALUE"""),10.0)</f>
        <v>10</v>
      </c>
      <c r="D36" s="2">
        <f>IFERROR(__xludf.DUMMYFUNCTION("""COMPUTED_VALUE"""),750.0)</f>
        <v>750</v>
      </c>
      <c r="E36" s="2">
        <f>IFERROR(__xludf.DUMMYFUNCTION("""COMPUTED_VALUE"""),50.0)</f>
        <v>50</v>
      </c>
      <c r="F36" s="2">
        <f>IFERROR(__xludf.DUMMYFUNCTION("""COMPUTED_VALUE"""),0.0)</f>
        <v>0</v>
      </c>
      <c r="G36" s="2">
        <f>IFERROR(__xludf.DUMMYFUNCTION("""COMPUTED_VALUE"""),0.0)</f>
        <v>0</v>
      </c>
      <c r="H36" s="2">
        <f>IFERROR(__xludf.DUMMYFUNCTION("""COMPUTED_VALUE"""),740.0)</f>
        <v>740</v>
      </c>
      <c r="I36" s="2">
        <f>IFERROR(__xludf.DUMMYFUNCTION("""COMPUTED_VALUE"""),20.0)</f>
        <v>20</v>
      </c>
    </row>
    <row r="37" ht="22.5" customHeight="1">
      <c r="A37" s="2" t="str">
        <f>IFERROR(__xludf.DUMMYFUNCTION("""COMPUTED_VALUE"""),"2026-12")</f>
        <v>2026-12</v>
      </c>
      <c r="B37" s="2" t="str">
        <f>IFERROR(__xludf.DUMMYFUNCTION("""COMPUTED_VALUE"""),"LSCBDSV0009")</f>
        <v>LSCBDSV0009</v>
      </c>
      <c r="C37" s="2">
        <f>IFERROR(__xludf.DUMMYFUNCTION("""COMPUTED_VALUE"""),20.0)</f>
        <v>20</v>
      </c>
      <c r="D37" s="2">
        <f>IFERROR(__xludf.DUMMYFUNCTION("""COMPUTED_VALUE"""),720.0)</f>
        <v>720</v>
      </c>
      <c r="E37" s="2">
        <f>IFERROR(__xludf.DUMMYFUNCTION("""COMPUTED_VALUE"""),48.0)</f>
        <v>48</v>
      </c>
      <c r="F37" s="2">
        <f>IFERROR(__xludf.DUMMYFUNCTION("""COMPUTED_VALUE"""),0.0)</f>
        <v>0</v>
      </c>
      <c r="G37" s="2">
        <f>IFERROR(__xludf.DUMMYFUNCTION("""COMPUTED_VALUE"""),0.0)</f>
        <v>0</v>
      </c>
      <c r="H37" s="2">
        <f>IFERROR(__xludf.DUMMYFUNCTION("""COMPUTED_VALUE"""),740.0)</f>
        <v>740</v>
      </c>
      <c r="I37" s="2">
        <f>IFERROR(__xludf.DUMMYFUNCTION("""COMPUTED_VALUE"""),0.0)</f>
        <v>0</v>
      </c>
    </row>
    <row r="38" ht="22.5" customHeight="1">
      <c r="A38" s="2" t="str">
        <f>IFERROR(__xludf.DUMMYFUNCTION("""COMPUTED_VALUE"""),"2026-01")</f>
        <v>2026-01</v>
      </c>
      <c r="B38" s="2" t="str">
        <f>IFERROR(__xludf.DUMMYFUNCTION("""COMPUTED_VALUE"""),"LSCBDSV0009-LX")</f>
        <v>LSCBDSV0009-LX</v>
      </c>
      <c r="C38" s="2">
        <f>IFERROR(__xludf.DUMMYFUNCTION("""COMPUTED_VALUE"""),0.0)</f>
        <v>0</v>
      </c>
      <c r="D38" s="2">
        <f>IFERROR(__xludf.DUMMYFUNCTION("""COMPUTED_VALUE"""),188.0)</f>
        <v>188</v>
      </c>
      <c r="E38" s="2">
        <f>IFERROR(__xludf.DUMMYFUNCTION("""COMPUTED_VALUE"""),19.0)</f>
        <v>19</v>
      </c>
      <c r="F38" s="2">
        <f>IFERROR(__xludf.DUMMYFUNCTION("""COMPUTED_VALUE"""),2.0)</f>
        <v>2</v>
      </c>
      <c r="G38" s="2">
        <f>IFERROR(__xludf.DUMMYFUNCTION("""COMPUTED_VALUE"""),194.0)</f>
        <v>194</v>
      </c>
      <c r="H38" s="2">
        <f>IFERROR(__xludf.DUMMYFUNCTION("""COMPUTED_VALUE"""),380.0)</f>
        <v>380</v>
      </c>
      <c r="I38" s="2">
        <f>IFERROR(__xludf.DUMMYFUNCTION("""COMPUTED_VALUE"""),2.0)</f>
        <v>2</v>
      </c>
    </row>
    <row r="39" ht="22.5" customHeight="1">
      <c r="A39" s="2" t="str">
        <f>IFERROR(__xludf.DUMMYFUNCTION("""COMPUTED_VALUE"""),"2026-02")</f>
        <v>2026-02</v>
      </c>
      <c r="B39" s="2" t="str">
        <f>IFERROR(__xludf.DUMMYFUNCTION("""COMPUTED_VALUE"""),"LSCBDSV0009-LX")</f>
        <v>LSCBDSV0009-LX</v>
      </c>
      <c r="C39" s="2">
        <f>IFERROR(__xludf.DUMMYFUNCTION("""COMPUTED_VALUE"""),2.0)</f>
        <v>2</v>
      </c>
      <c r="D39" s="2">
        <f>IFERROR(__xludf.DUMMYFUNCTION("""COMPUTED_VALUE"""),266.0)</f>
        <v>266</v>
      </c>
      <c r="E39" s="2">
        <f>IFERROR(__xludf.DUMMYFUNCTION("""COMPUTED_VALUE"""),27.0)</f>
        <v>27</v>
      </c>
      <c r="F39" s="2">
        <f>IFERROR(__xludf.DUMMYFUNCTION("""COMPUTED_VALUE"""),4.0)</f>
        <v>4</v>
      </c>
      <c r="G39" s="2">
        <f>IFERROR(__xludf.DUMMYFUNCTION("""COMPUTED_VALUE"""),224.0)</f>
        <v>224</v>
      </c>
      <c r="H39" s="2">
        <f>IFERROR(__xludf.DUMMYFUNCTION("""COMPUTED_VALUE"""),492.0)</f>
        <v>492</v>
      </c>
      <c r="I39" s="2">
        <f>IFERROR(__xludf.DUMMYFUNCTION("""COMPUTED_VALUE"""),0.0)</f>
        <v>0</v>
      </c>
    </row>
    <row r="40" ht="22.5" customHeight="1">
      <c r="A40" s="2" t="str">
        <f>IFERROR(__xludf.DUMMYFUNCTION("""COMPUTED_VALUE"""),"2026-03")</f>
        <v>2026-03</v>
      </c>
      <c r="B40" s="2" t="str">
        <f>IFERROR(__xludf.DUMMYFUNCTION("""COMPUTED_VALUE"""),"LSCBDSV0009-LX")</f>
        <v>LSCBDSV0009-LX</v>
      </c>
      <c r="C40" s="2">
        <f>IFERROR(__xludf.DUMMYFUNCTION("""COMPUTED_VALUE"""),0.0)</f>
        <v>0</v>
      </c>
      <c r="D40" s="2">
        <f>IFERROR(__xludf.DUMMYFUNCTION("""COMPUTED_VALUE"""),500.0)</f>
        <v>500</v>
      </c>
      <c r="E40" s="2">
        <f>IFERROR(__xludf.DUMMYFUNCTION("""COMPUTED_VALUE"""),50.0)</f>
        <v>50</v>
      </c>
      <c r="F40" s="2">
        <f>IFERROR(__xludf.DUMMYFUNCTION("""COMPUTED_VALUE"""),0.0)</f>
        <v>0</v>
      </c>
      <c r="G40" s="2">
        <f>IFERROR(__xludf.DUMMYFUNCTION("""COMPUTED_VALUE"""),0.0)</f>
        <v>0</v>
      </c>
      <c r="H40" s="2">
        <f>IFERROR(__xludf.DUMMYFUNCTION("""COMPUTED_VALUE"""),492.0)</f>
        <v>492</v>
      </c>
      <c r="I40" s="2">
        <f>IFERROR(__xludf.DUMMYFUNCTION("""COMPUTED_VALUE"""),8.0)</f>
        <v>8</v>
      </c>
    </row>
    <row r="41" ht="22.5" customHeight="1">
      <c r="A41" s="2" t="str">
        <f>IFERROR(__xludf.DUMMYFUNCTION("""COMPUTED_VALUE"""),"2026-04")</f>
        <v>2026-04</v>
      </c>
      <c r="B41" s="2" t="str">
        <f>IFERROR(__xludf.DUMMYFUNCTION("""COMPUTED_VALUE"""),"LSCBDSV0009-LX")</f>
        <v>LSCBDSV0009-LX</v>
      </c>
      <c r="C41" s="2">
        <f>IFERROR(__xludf.DUMMYFUNCTION("""COMPUTED_VALUE"""),8.0)</f>
        <v>8</v>
      </c>
      <c r="D41" s="2">
        <f>IFERROR(__xludf.DUMMYFUNCTION("""COMPUTED_VALUE"""),490.0)</f>
        <v>490</v>
      </c>
      <c r="E41" s="2">
        <f>IFERROR(__xludf.DUMMYFUNCTION("""COMPUTED_VALUE"""),49.0)</f>
        <v>49</v>
      </c>
      <c r="F41" s="2">
        <f>IFERROR(__xludf.DUMMYFUNCTION("""COMPUTED_VALUE"""),0.0)</f>
        <v>0</v>
      </c>
      <c r="G41" s="2">
        <f>IFERROR(__xludf.DUMMYFUNCTION("""COMPUTED_VALUE"""),0.0)</f>
        <v>0</v>
      </c>
      <c r="H41" s="2">
        <f>IFERROR(__xludf.DUMMYFUNCTION("""COMPUTED_VALUE"""),492.0)</f>
        <v>492</v>
      </c>
      <c r="I41" s="2">
        <f>IFERROR(__xludf.DUMMYFUNCTION("""COMPUTED_VALUE"""),6.0)</f>
        <v>6</v>
      </c>
    </row>
    <row r="42" ht="22.5" customHeight="1">
      <c r="A42" s="2" t="str">
        <f>IFERROR(__xludf.DUMMYFUNCTION("""COMPUTED_VALUE"""),"2026-05")</f>
        <v>2026-05</v>
      </c>
      <c r="B42" s="2" t="str">
        <f>IFERROR(__xludf.DUMMYFUNCTION("""COMPUTED_VALUE"""),"LSCBDSV0009-LX")</f>
        <v>LSCBDSV0009-LX</v>
      </c>
      <c r="C42" s="2">
        <f>IFERROR(__xludf.DUMMYFUNCTION("""COMPUTED_VALUE"""),6.0)</f>
        <v>6</v>
      </c>
      <c r="D42" s="2">
        <f>IFERROR(__xludf.DUMMYFUNCTION("""COMPUTED_VALUE"""),490.0)</f>
        <v>490</v>
      </c>
      <c r="E42" s="2">
        <f>IFERROR(__xludf.DUMMYFUNCTION("""COMPUTED_VALUE"""),49.0)</f>
        <v>49</v>
      </c>
      <c r="F42" s="2">
        <f>IFERROR(__xludf.DUMMYFUNCTION("""COMPUTED_VALUE"""),0.0)</f>
        <v>0</v>
      </c>
      <c r="G42" s="2">
        <f>IFERROR(__xludf.DUMMYFUNCTION("""COMPUTED_VALUE"""),0.0)</f>
        <v>0</v>
      </c>
      <c r="H42" s="2">
        <f>IFERROR(__xludf.DUMMYFUNCTION("""COMPUTED_VALUE"""),492.0)</f>
        <v>492</v>
      </c>
      <c r="I42" s="2">
        <f>IFERROR(__xludf.DUMMYFUNCTION("""COMPUTED_VALUE"""),4.0)</f>
        <v>4</v>
      </c>
    </row>
    <row r="43" ht="22.5" customHeight="1">
      <c r="A43" s="2" t="str">
        <f>IFERROR(__xludf.DUMMYFUNCTION("""COMPUTED_VALUE"""),"2026-06")</f>
        <v>2026-06</v>
      </c>
      <c r="B43" s="2" t="str">
        <f>IFERROR(__xludf.DUMMYFUNCTION("""COMPUTED_VALUE"""),"LSCBDSV0009-LX")</f>
        <v>LSCBDSV0009-LX</v>
      </c>
      <c r="C43" s="2">
        <f>IFERROR(__xludf.DUMMYFUNCTION("""COMPUTED_VALUE"""),4.0)</f>
        <v>4</v>
      </c>
      <c r="D43" s="2">
        <f>IFERROR(__xludf.DUMMYFUNCTION("""COMPUTED_VALUE"""),490.0)</f>
        <v>490</v>
      </c>
      <c r="E43" s="2">
        <f>IFERROR(__xludf.DUMMYFUNCTION("""COMPUTED_VALUE"""),49.0)</f>
        <v>49</v>
      </c>
      <c r="F43" s="2">
        <f>IFERROR(__xludf.DUMMYFUNCTION("""COMPUTED_VALUE"""),0.0)</f>
        <v>0</v>
      </c>
      <c r="G43" s="2">
        <f>IFERROR(__xludf.DUMMYFUNCTION("""COMPUTED_VALUE"""),0.0)</f>
        <v>0</v>
      </c>
      <c r="H43" s="2">
        <f>IFERROR(__xludf.DUMMYFUNCTION("""COMPUTED_VALUE"""),492.0)</f>
        <v>492</v>
      </c>
      <c r="I43" s="2">
        <f>IFERROR(__xludf.DUMMYFUNCTION("""COMPUTED_VALUE"""),2.0)</f>
        <v>2</v>
      </c>
    </row>
    <row r="44" ht="22.5" customHeight="1">
      <c r="A44" s="2" t="str">
        <f>IFERROR(__xludf.DUMMYFUNCTION("""COMPUTED_VALUE"""),"2026-07")</f>
        <v>2026-07</v>
      </c>
      <c r="B44" s="2" t="str">
        <f>IFERROR(__xludf.DUMMYFUNCTION("""COMPUTED_VALUE"""),"LSCBDSV0009-LX")</f>
        <v>LSCBDSV0009-LX</v>
      </c>
      <c r="C44" s="2">
        <f>IFERROR(__xludf.DUMMYFUNCTION("""COMPUTED_VALUE"""),2.0)</f>
        <v>2</v>
      </c>
      <c r="D44" s="2">
        <f>IFERROR(__xludf.DUMMYFUNCTION("""COMPUTED_VALUE"""),610.0)</f>
        <v>610</v>
      </c>
      <c r="E44" s="2">
        <f>IFERROR(__xludf.DUMMYFUNCTION("""COMPUTED_VALUE"""),61.0)</f>
        <v>61</v>
      </c>
      <c r="F44" s="2">
        <f>IFERROR(__xludf.DUMMYFUNCTION("""COMPUTED_VALUE"""),0.0)</f>
        <v>0</v>
      </c>
      <c r="G44" s="2">
        <f>IFERROR(__xludf.DUMMYFUNCTION("""COMPUTED_VALUE"""),0.0)</f>
        <v>0</v>
      </c>
      <c r="H44" s="2">
        <f>IFERROR(__xludf.DUMMYFUNCTION("""COMPUTED_VALUE"""),492.0)</f>
        <v>492</v>
      </c>
      <c r="I44" s="2">
        <f>IFERROR(__xludf.DUMMYFUNCTION("""COMPUTED_VALUE"""),120.0)</f>
        <v>120</v>
      </c>
    </row>
    <row r="45" ht="22.5" customHeight="1">
      <c r="A45" s="2" t="str">
        <f>IFERROR(__xludf.DUMMYFUNCTION("""COMPUTED_VALUE"""),"2026-08")</f>
        <v>2026-08</v>
      </c>
      <c r="B45" s="2" t="str">
        <f>IFERROR(__xludf.DUMMYFUNCTION("""COMPUTED_VALUE"""),"LSCBDSV0009-LX")</f>
        <v>LSCBDSV0009-LX</v>
      </c>
      <c r="C45" s="2">
        <f>IFERROR(__xludf.DUMMYFUNCTION("""COMPUTED_VALUE"""),120.0)</f>
        <v>120</v>
      </c>
      <c r="D45" s="2">
        <f>IFERROR(__xludf.DUMMYFUNCTION("""COMPUTED_VALUE"""),470.0)</f>
        <v>470</v>
      </c>
      <c r="E45" s="2">
        <f>IFERROR(__xludf.DUMMYFUNCTION("""COMPUTED_VALUE"""),47.0)</f>
        <v>47</v>
      </c>
      <c r="F45" s="2">
        <f>IFERROR(__xludf.DUMMYFUNCTION("""COMPUTED_VALUE"""),0.0)</f>
        <v>0</v>
      </c>
      <c r="G45" s="2">
        <f>IFERROR(__xludf.DUMMYFUNCTION("""COMPUTED_VALUE"""),0.0)</f>
        <v>0</v>
      </c>
      <c r="H45" s="2">
        <f>IFERROR(__xludf.DUMMYFUNCTION("""COMPUTED_VALUE"""),492.0)</f>
        <v>492</v>
      </c>
      <c r="I45" s="2">
        <f>IFERROR(__xludf.DUMMYFUNCTION("""COMPUTED_VALUE"""),98.0)</f>
        <v>98</v>
      </c>
    </row>
    <row r="46" ht="22.5" customHeight="1">
      <c r="A46" s="2" t="str">
        <f>IFERROR(__xludf.DUMMYFUNCTION("""COMPUTED_VALUE"""),"2026-09")</f>
        <v>2026-09</v>
      </c>
      <c r="B46" s="2" t="str">
        <f>IFERROR(__xludf.DUMMYFUNCTION("""COMPUTED_VALUE"""),"LSCBDSV0009-LX")</f>
        <v>LSCBDSV0009-LX</v>
      </c>
      <c r="C46" s="2">
        <f>IFERROR(__xludf.DUMMYFUNCTION("""COMPUTED_VALUE"""),98.0)</f>
        <v>98</v>
      </c>
      <c r="D46" s="2">
        <f>IFERROR(__xludf.DUMMYFUNCTION("""COMPUTED_VALUE"""),400.0)</f>
        <v>400</v>
      </c>
      <c r="E46" s="2">
        <f>IFERROR(__xludf.DUMMYFUNCTION("""COMPUTED_VALUE"""),40.0)</f>
        <v>40</v>
      </c>
      <c r="F46" s="2">
        <f>IFERROR(__xludf.DUMMYFUNCTION("""COMPUTED_VALUE"""),0.0)</f>
        <v>0</v>
      </c>
      <c r="G46" s="2">
        <f>IFERROR(__xludf.DUMMYFUNCTION("""COMPUTED_VALUE"""),0.0)</f>
        <v>0</v>
      </c>
      <c r="H46" s="2">
        <f>IFERROR(__xludf.DUMMYFUNCTION("""COMPUTED_VALUE"""),492.0)</f>
        <v>492</v>
      </c>
      <c r="I46" s="2">
        <f>IFERROR(__xludf.DUMMYFUNCTION("""COMPUTED_VALUE"""),6.0)</f>
        <v>6</v>
      </c>
    </row>
    <row r="47" ht="22.5" customHeight="1">
      <c r="A47" s="2" t="str">
        <f>IFERROR(__xludf.DUMMYFUNCTION("""COMPUTED_VALUE"""),"2026-10")</f>
        <v>2026-10</v>
      </c>
      <c r="B47" s="2" t="str">
        <f>IFERROR(__xludf.DUMMYFUNCTION("""COMPUTED_VALUE"""),"LSCBDSV0009-LX")</f>
        <v>LSCBDSV0009-LX</v>
      </c>
      <c r="C47" s="2">
        <f>IFERROR(__xludf.DUMMYFUNCTION("""COMPUTED_VALUE"""),6.0)</f>
        <v>6</v>
      </c>
      <c r="D47" s="2">
        <f>IFERROR(__xludf.DUMMYFUNCTION("""COMPUTED_VALUE"""),490.0)</f>
        <v>490</v>
      </c>
      <c r="E47" s="2">
        <f>IFERROR(__xludf.DUMMYFUNCTION("""COMPUTED_VALUE"""),49.0)</f>
        <v>49</v>
      </c>
      <c r="F47" s="2">
        <f>IFERROR(__xludf.DUMMYFUNCTION("""COMPUTED_VALUE"""),0.0)</f>
        <v>0</v>
      </c>
      <c r="G47" s="2">
        <f>IFERROR(__xludf.DUMMYFUNCTION("""COMPUTED_VALUE"""),0.0)</f>
        <v>0</v>
      </c>
      <c r="H47" s="2">
        <f>IFERROR(__xludf.DUMMYFUNCTION("""COMPUTED_VALUE"""),492.0)</f>
        <v>492</v>
      </c>
      <c r="I47" s="2">
        <f>IFERROR(__xludf.DUMMYFUNCTION("""COMPUTED_VALUE"""),4.0)</f>
        <v>4</v>
      </c>
    </row>
    <row r="48" ht="22.5" customHeight="1">
      <c r="A48" s="2" t="str">
        <f>IFERROR(__xludf.DUMMYFUNCTION("""COMPUTED_VALUE"""),"2026-11")</f>
        <v>2026-11</v>
      </c>
      <c r="B48" s="2" t="str">
        <f>IFERROR(__xludf.DUMMYFUNCTION("""COMPUTED_VALUE"""),"LSCBDSV0009-LX")</f>
        <v>LSCBDSV0009-LX</v>
      </c>
      <c r="C48" s="2">
        <f>IFERROR(__xludf.DUMMYFUNCTION("""COMPUTED_VALUE"""),4.0)</f>
        <v>4</v>
      </c>
      <c r="D48" s="2">
        <f>IFERROR(__xludf.DUMMYFUNCTION("""COMPUTED_VALUE"""),490.0)</f>
        <v>490</v>
      </c>
      <c r="E48" s="2">
        <f>IFERROR(__xludf.DUMMYFUNCTION("""COMPUTED_VALUE"""),49.0)</f>
        <v>49</v>
      </c>
      <c r="F48" s="2">
        <f>IFERROR(__xludf.DUMMYFUNCTION("""COMPUTED_VALUE"""),0.0)</f>
        <v>0</v>
      </c>
      <c r="G48" s="2">
        <f>IFERROR(__xludf.DUMMYFUNCTION("""COMPUTED_VALUE"""),0.0)</f>
        <v>0</v>
      </c>
      <c r="H48" s="2">
        <f>IFERROR(__xludf.DUMMYFUNCTION("""COMPUTED_VALUE"""),492.0)</f>
        <v>492</v>
      </c>
      <c r="I48" s="2">
        <f>IFERROR(__xludf.DUMMYFUNCTION("""COMPUTED_VALUE"""),2.0)</f>
        <v>2</v>
      </c>
    </row>
    <row r="49" ht="22.5" customHeight="1">
      <c r="A49" s="2" t="str">
        <f>IFERROR(__xludf.DUMMYFUNCTION("""COMPUTED_VALUE"""),"2026-12")</f>
        <v>2026-12</v>
      </c>
      <c r="B49" s="2" t="str">
        <f>IFERROR(__xludf.DUMMYFUNCTION("""COMPUTED_VALUE"""),"LSCBDSV0009-LX")</f>
        <v>LSCBDSV0009-LX</v>
      </c>
      <c r="C49" s="2">
        <f>IFERROR(__xludf.DUMMYFUNCTION("""COMPUTED_VALUE"""),2.0)</f>
        <v>2</v>
      </c>
      <c r="D49" s="2">
        <f>IFERROR(__xludf.DUMMYFUNCTION("""COMPUTED_VALUE"""),490.0)</f>
        <v>490</v>
      </c>
      <c r="E49" s="2">
        <f>IFERROR(__xludf.DUMMYFUNCTION("""COMPUTED_VALUE"""),49.0)</f>
        <v>49</v>
      </c>
      <c r="F49" s="2">
        <f>IFERROR(__xludf.DUMMYFUNCTION("""COMPUTED_VALUE"""),0.0)</f>
        <v>0</v>
      </c>
      <c r="G49" s="2">
        <f>IFERROR(__xludf.DUMMYFUNCTION("""COMPUTED_VALUE"""),0.0)</f>
        <v>0</v>
      </c>
      <c r="H49" s="2">
        <f>IFERROR(__xludf.DUMMYFUNCTION("""COMPUTED_VALUE"""),492.0)</f>
        <v>492</v>
      </c>
      <c r="I49" s="2">
        <f>IFERROR(__xludf.DUMMYFUNCTION("""COMPUTED_VALUE"""),0.0)</f>
        <v>0</v>
      </c>
    </row>
    <row r="50" ht="22.5" customHeight="1">
      <c r="A50" s="2" t="str">
        <f>IFERROR(__xludf.DUMMYFUNCTION("""COMPUTED_VALUE"""),"2026-01")</f>
        <v>2026-01</v>
      </c>
      <c r="B50" s="2" t="str">
        <f>IFERROR(__xludf.DUMMYFUNCTION("""COMPUTED_VALUE"""),"LSCCHSD0003")</f>
        <v>LSCCHSD0003</v>
      </c>
      <c r="C50" s="2">
        <f>IFERROR(__xludf.DUMMYFUNCTION("""COMPUTED_VALUE"""),0.0)</f>
        <v>0</v>
      </c>
      <c r="D50" s="2">
        <f>IFERROR(__xludf.DUMMYFUNCTION("""COMPUTED_VALUE"""),0.0)</f>
        <v>0</v>
      </c>
      <c r="E50" s="2">
        <f>IFERROR(__xludf.DUMMYFUNCTION("""COMPUTED_VALUE"""),0.0)</f>
        <v>0</v>
      </c>
      <c r="F50" s="2">
        <f>IFERROR(__xludf.DUMMYFUNCTION("""COMPUTED_VALUE"""),0.0)</f>
        <v>0</v>
      </c>
      <c r="G50" s="2">
        <f>IFERROR(__xludf.DUMMYFUNCTION("""COMPUTED_VALUE"""),591.0)</f>
        <v>591</v>
      </c>
      <c r="H50" s="2">
        <f>IFERROR(__xludf.DUMMYFUNCTION("""COMPUTED_VALUE"""),591.0)</f>
        <v>591</v>
      </c>
      <c r="I50" s="2">
        <f>IFERROR(__xludf.DUMMYFUNCTION("""COMPUTED_VALUE"""),0.0)</f>
        <v>0</v>
      </c>
    </row>
    <row r="51" ht="22.5" customHeight="1">
      <c r="A51" s="2" t="str">
        <f>IFERROR(__xludf.DUMMYFUNCTION("""COMPUTED_VALUE"""),"2026-02")</f>
        <v>2026-02</v>
      </c>
      <c r="B51" s="2" t="str">
        <f>IFERROR(__xludf.DUMMYFUNCTION("""COMPUTED_VALUE"""),"LSCCHSD0003")</f>
        <v>LSCCHSD0003</v>
      </c>
      <c r="C51" s="2">
        <f>IFERROR(__xludf.DUMMYFUNCTION("""COMPUTED_VALUE"""),0.0)</f>
        <v>0</v>
      </c>
      <c r="D51" s="2">
        <f>IFERROR(__xludf.DUMMYFUNCTION("""COMPUTED_VALUE"""),393.0)</f>
        <v>393</v>
      </c>
      <c r="E51" s="2">
        <f>IFERROR(__xludf.DUMMYFUNCTION("""COMPUTED_VALUE"""),20.0)</f>
        <v>20</v>
      </c>
      <c r="F51" s="2">
        <f>IFERROR(__xludf.DUMMYFUNCTION("""COMPUTED_VALUE"""),7.0)</f>
        <v>7</v>
      </c>
      <c r="G51" s="2">
        <f>IFERROR(__xludf.DUMMYFUNCTION("""COMPUTED_VALUE"""),309.0)</f>
        <v>309</v>
      </c>
      <c r="H51" s="2">
        <f>IFERROR(__xludf.DUMMYFUNCTION("""COMPUTED_VALUE"""),702.0)</f>
        <v>702</v>
      </c>
      <c r="I51" s="2">
        <f>IFERROR(__xludf.DUMMYFUNCTION("""COMPUTED_VALUE"""),0.0)</f>
        <v>0</v>
      </c>
    </row>
    <row r="52" ht="22.5" customHeight="1">
      <c r="A52" s="2" t="str">
        <f>IFERROR(__xludf.DUMMYFUNCTION("""COMPUTED_VALUE"""),"2026-03")</f>
        <v>2026-03</v>
      </c>
      <c r="B52" s="2" t="str">
        <f>IFERROR(__xludf.DUMMYFUNCTION("""COMPUTED_VALUE"""),"LSCCHSD0003")</f>
        <v>LSCCHSD0003</v>
      </c>
      <c r="C52" s="2">
        <f>IFERROR(__xludf.DUMMYFUNCTION("""COMPUTED_VALUE"""),0.0)</f>
        <v>0</v>
      </c>
      <c r="D52" s="2">
        <f>IFERROR(__xludf.DUMMYFUNCTION("""COMPUTED_VALUE"""),760.0)</f>
        <v>760</v>
      </c>
      <c r="E52" s="2">
        <f>IFERROR(__xludf.DUMMYFUNCTION("""COMPUTED_VALUE"""),38.0)</f>
        <v>38</v>
      </c>
      <c r="F52" s="2">
        <f>IFERROR(__xludf.DUMMYFUNCTION("""COMPUTED_VALUE"""),0.0)</f>
        <v>0</v>
      </c>
      <c r="G52" s="2">
        <f>IFERROR(__xludf.DUMMYFUNCTION("""COMPUTED_VALUE"""),0.0)</f>
        <v>0</v>
      </c>
      <c r="H52" s="2">
        <f>IFERROR(__xludf.DUMMYFUNCTION("""COMPUTED_VALUE"""),750.0)</f>
        <v>750</v>
      </c>
      <c r="I52" s="2">
        <f>IFERROR(__xludf.DUMMYFUNCTION("""COMPUTED_VALUE"""),10.0)</f>
        <v>10</v>
      </c>
    </row>
    <row r="53" ht="22.5" customHeight="1">
      <c r="A53" s="2" t="str">
        <f>IFERROR(__xludf.DUMMYFUNCTION("""COMPUTED_VALUE"""),"2026-04")</f>
        <v>2026-04</v>
      </c>
      <c r="B53" s="2" t="str">
        <f>IFERROR(__xludf.DUMMYFUNCTION("""COMPUTED_VALUE"""),"LSCCHSD0003")</f>
        <v>LSCCHSD0003</v>
      </c>
      <c r="C53" s="2">
        <f>IFERROR(__xludf.DUMMYFUNCTION("""COMPUTED_VALUE"""),10.0)</f>
        <v>10</v>
      </c>
      <c r="D53" s="2">
        <f>IFERROR(__xludf.DUMMYFUNCTION("""COMPUTED_VALUE"""),740.0)</f>
        <v>740</v>
      </c>
      <c r="E53" s="2">
        <f>IFERROR(__xludf.DUMMYFUNCTION("""COMPUTED_VALUE"""),37.0)</f>
        <v>37</v>
      </c>
      <c r="F53" s="2">
        <f>IFERROR(__xludf.DUMMYFUNCTION("""COMPUTED_VALUE"""),0.0)</f>
        <v>0</v>
      </c>
      <c r="G53" s="2">
        <f>IFERROR(__xludf.DUMMYFUNCTION("""COMPUTED_VALUE"""),0.0)</f>
        <v>0</v>
      </c>
      <c r="H53" s="2">
        <f>IFERROR(__xludf.DUMMYFUNCTION("""COMPUTED_VALUE"""),750.0)</f>
        <v>750</v>
      </c>
      <c r="I53" s="2">
        <f>IFERROR(__xludf.DUMMYFUNCTION("""COMPUTED_VALUE"""),0.0)</f>
        <v>0</v>
      </c>
    </row>
    <row r="54" ht="22.5" customHeight="1">
      <c r="A54" s="2" t="str">
        <f>IFERROR(__xludf.DUMMYFUNCTION("""COMPUTED_VALUE"""),"2026-05")</f>
        <v>2026-05</v>
      </c>
      <c r="B54" s="2" t="str">
        <f>IFERROR(__xludf.DUMMYFUNCTION("""COMPUTED_VALUE"""),"LSCCHSD0003")</f>
        <v>LSCCHSD0003</v>
      </c>
      <c r="C54" s="2">
        <f>IFERROR(__xludf.DUMMYFUNCTION("""COMPUTED_VALUE"""),0.0)</f>
        <v>0</v>
      </c>
      <c r="D54" s="2">
        <f>IFERROR(__xludf.DUMMYFUNCTION("""COMPUTED_VALUE"""),760.0)</f>
        <v>760</v>
      </c>
      <c r="E54" s="2">
        <f>IFERROR(__xludf.DUMMYFUNCTION("""COMPUTED_VALUE"""),38.0)</f>
        <v>38</v>
      </c>
      <c r="F54" s="2">
        <f>IFERROR(__xludf.DUMMYFUNCTION("""COMPUTED_VALUE"""),0.0)</f>
        <v>0</v>
      </c>
      <c r="G54" s="2">
        <f>IFERROR(__xludf.DUMMYFUNCTION("""COMPUTED_VALUE"""),0.0)</f>
        <v>0</v>
      </c>
      <c r="H54" s="2">
        <f>IFERROR(__xludf.DUMMYFUNCTION("""COMPUTED_VALUE"""),750.0)</f>
        <v>750</v>
      </c>
      <c r="I54" s="2">
        <f>IFERROR(__xludf.DUMMYFUNCTION("""COMPUTED_VALUE"""),10.0)</f>
        <v>10</v>
      </c>
    </row>
    <row r="55" ht="22.5" customHeight="1">
      <c r="A55" s="2" t="str">
        <f>IFERROR(__xludf.DUMMYFUNCTION("""COMPUTED_VALUE"""),"2026-06")</f>
        <v>2026-06</v>
      </c>
      <c r="B55" s="2" t="str">
        <f>IFERROR(__xludf.DUMMYFUNCTION("""COMPUTED_VALUE"""),"LSCCHSD0003")</f>
        <v>LSCCHSD0003</v>
      </c>
      <c r="C55" s="2">
        <f>IFERROR(__xludf.DUMMYFUNCTION("""COMPUTED_VALUE"""),10.0)</f>
        <v>10</v>
      </c>
      <c r="D55" s="2">
        <f>IFERROR(__xludf.DUMMYFUNCTION("""COMPUTED_VALUE"""),740.0)</f>
        <v>740</v>
      </c>
      <c r="E55" s="2">
        <f>IFERROR(__xludf.DUMMYFUNCTION("""COMPUTED_VALUE"""),37.0)</f>
        <v>37</v>
      </c>
      <c r="F55" s="2">
        <f>IFERROR(__xludf.DUMMYFUNCTION("""COMPUTED_VALUE"""),0.0)</f>
        <v>0</v>
      </c>
      <c r="G55" s="2">
        <f>IFERROR(__xludf.DUMMYFUNCTION("""COMPUTED_VALUE"""),0.0)</f>
        <v>0</v>
      </c>
      <c r="H55" s="2">
        <f>IFERROR(__xludf.DUMMYFUNCTION("""COMPUTED_VALUE"""),750.0)</f>
        <v>750</v>
      </c>
      <c r="I55" s="2">
        <f>IFERROR(__xludf.DUMMYFUNCTION("""COMPUTED_VALUE"""),0.0)</f>
        <v>0</v>
      </c>
    </row>
    <row r="56" ht="22.5" customHeight="1">
      <c r="A56" s="2" t="str">
        <f>IFERROR(__xludf.DUMMYFUNCTION("""COMPUTED_VALUE"""),"2026-07")</f>
        <v>2026-07</v>
      </c>
      <c r="B56" s="2" t="str">
        <f>IFERROR(__xludf.DUMMYFUNCTION("""COMPUTED_VALUE"""),"LSCCHSD0003")</f>
        <v>LSCCHSD0003</v>
      </c>
      <c r="C56" s="2">
        <f>IFERROR(__xludf.DUMMYFUNCTION("""COMPUTED_VALUE"""),0.0)</f>
        <v>0</v>
      </c>
      <c r="D56" s="2">
        <f>IFERROR(__xludf.DUMMYFUNCTION("""COMPUTED_VALUE"""),760.0)</f>
        <v>760</v>
      </c>
      <c r="E56" s="2">
        <f>IFERROR(__xludf.DUMMYFUNCTION("""COMPUTED_VALUE"""),38.0)</f>
        <v>38</v>
      </c>
      <c r="F56" s="2">
        <f>IFERROR(__xludf.DUMMYFUNCTION("""COMPUTED_VALUE"""),0.0)</f>
        <v>0</v>
      </c>
      <c r="G56" s="2">
        <f>IFERROR(__xludf.DUMMYFUNCTION("""COMPUTED_VALUE"""),0.0)</f>
        <v>0</v>
      </c>
      <c r="H56" s="2">
        <f>IFERROR(__xludf.DUMMYFUNCTION("""COMPUTED_VALUE"""),750.0)</f>
        <v>750</v>
      </c>
      <c r="I56" s="2">
        <f>IFERROR(__xludf.DUMMYFUNCTION("""COMPUTED_VALUE"""),10.0)</f>
        <v>10</v>
      </c>
    </row>
    <row r="57" ht="22.5" customHeight="1">
      <c r="A57" s="2" t="str">
        <f>IFERROR(__xludf.DUMMYFUNCTION("""COMPUTED_VALUE"""),"2026-08")</f>
        <v>2026-08</v>
      </c>
      <c r="B57" s="2" t="str">
        <f>IFERROR(__xludf.DUMMYFUNCTION("""COMPUTED_VALUE"""),"LSCCHSD0003")</f>
        <v>LSCCHSD0003</v>
      </c>
      <c r="C57" s="2">
        <f>IFERROR(__xludf.DUMMYFUNCTION("""COMPUTED_VALUE"""),10.0)</f>
        <v>10</v>
      </c>
      <c r="D57" s="2">
        <f>IFERROR(__xludf.DUMMYFUNCTION("""COMPUTED_VALUE"""),760.0)</f>
        <v>760</v>
      </c>
      <c r="E57" s="2">
        <f>IFERROR(__xludf.DUMMYFUNCTION("""COMPUTED_VALUE"""),38.0)</f>
        <v>38</v>
      </c>
      <c r="F57" s="2">
        <f>IFERROR(__xludf.DUMMYFUNCTION("""COMPUTED_VALUE"""),0.0)</f>
        <v>0</v>
      </c>
      <c r="G57" s="2">
        <f>IFERROR(__xludf.DUMMYFUNCTION("""COMPUTED_VALUE"""),0.0)</f>
        <v>0</v>
      </c>
      <c r="H57" s="2">
        <f>IFERROR(__xludf.DUMMYFUNCTION("""COMPUTED_VALUE"""),750.0)</f>
        <v>750</v>
      </c>
      <c r="I57" s="2">
        <f>IFERROR(__xludf.DUMMYFUNCTION("""COMPUTED_VALUE"""),20.0)</f>
        <v>20</v>
      </c>
    </row>
    <row r="58" ht="22.5" customHeight="1">
      <c r="A58" s="2" t="str">
        <f>IFERROR(__xludf.DUMMYFUNCTION("""COMPUTED_VALUE"""),"2026-09")</f>
        <v>2026-09</v>
      </c>
      <c r="B58" s="2" t="str">
        <f>IFERROR(__xludf.DUMMYFUNCTION("""COMPUTED_VALUE"""),"LSCCHSD0003")</f>
        <v>LSCCHSD0003</v>
      </c>
      <c r="C58" s="2">
        <f>IFERROR(__xludf.DUMMYFUNCTION("""COMPUTED_VALUE"""),20.0)</f>
        <v>20</v>
      </c>
      <c r="D58" s="2">
        <f>IFERROR(__xludf.DUMMYFUNCTION("""COMPUTED_VALUE"""),760.0)</f>
        <v>760</v>
      </c>
      <c r="E58" s="2">
        <f>IFERROR(__xludf.DUMMYFUNCTION("""COMPUTED_VALUE"""),38.0)</f>
        <v>38</v>
      </c>
      <c r="F58" s="2">
        <f>IFERROR(__xludf.DUMMYFUNCTION("""COMPUTED_VALUE"""),0.0)</f>
        <v>0</v>
      </c>
      <c r="G58" s="2">
        <f>IFERROR(__xludf.DUMMYFUNCTION("""COMPUTED_VALUE"""),0.0)</f>
        <v>0</v>
      </c>
      <c r="H58" s="2">
        <f>IFERROR(__xludf.DUMMYFUNCTION("""COMPUTED_VALUE"""),750.0)</f>
        <v>750</v>
      </c>
      <c r="I58" s="2">
        <f>IFERROR(__xludf.DUMMYFUNCTION("""COMPUTED_VALUE"""),30.0)</f>
        <v>30</v>
      </c>
    </row>
    <row r="59" ht="22.5" customHeight="1">
      <c r="A59" s="2" t="str">
        <f>IFERROR(__xludf.DUMMYFUNCTION("""COMPUTED_VALUE"""),"2026-10")</f>
        <v>2026-10</v>
      </c>
      <c r="B59" s="2" t="str">
        <f>IFERROR(__xludf.DUMMYFUNCTION("""COMPUTED_VALUE"""),"LSCCHSD0003")</f>
        <v>LSCCHSD0003</v>
      </c>
      <c r="C59" s="2">
        <f>IFERROR(__xludf.DUMMYFUNCTION("""COMPUTED_VALUE"""),30.0)</f>
        <v>30</v>
      </c>
      <c r="D59" s="2">
        <f>IFERROR(__xludf.DUMMYFUNCTION("""COMPUTED_VALUE"""),720.0)</f>
        <v>720</v>
      </c>
      <c r="E59" s="2">
        <f>IFERROR(__xludf.DUMMYFUNCTION("""COMPUTED_VALUE"""),36.0)</f>
        <v>36</v>
      </c>
      <c r="F59" s="2">
        <f>IFERROR(__xludf.DUMMYFUNCTION("""COMPUTED_VALUE"""),0.0)</f>
        <v>0</v>
      </c>
      <c r="G59" s="2">
        <f>IFERROR(__xludf.DUMMYFUNCTION("""COMPUTED_VALUE"""),0.0)</f>
        <v>0</v>
      </c>
      <c r="H59" s="2">
        <f>IFERROR(__xludf.DUMMYFUNCTION("""COMPUTED_VALUE"""),750.0)</f>
        <v>750</v>
      </c>
      <c r="I59" s="2">
        <f>IFERROR(__xludf.DUMMYFUNCTION("""COMPUTED_VALUE"""),0.0)</f>
        <v>0</v>
      </c>
    </row>
    <row r="60" ht="22.5" customHeight="1">
      <c r="A60" s="2" t="str">
        <f>IFERROR(__xludf.DUMMYFUNCTION("""COMPUTED_VALUE"""),"2026-11")</f>
        <v>2026-11</v>
      </c>
      <c r="B60" s="2" t="str">
        <f>IFERROR(__xludf.DUMMYFUNCTION("""COMPUTED_VALUE"""),"LSCCHSD0003")</f>
        <v>LSCCHSD0003</v>
      </c>
      <c r="C60" s="2">
        <f>IFERROR(__xludf.DUMMYFUNCTION("""COMPUTED_VALUE"""),0.0)</f>
        <v>0</v>
      </c>
      <c r="D60" s="2">
        <f>IFERROR(__xludf.DUMMYFUNCTION("""COMPUTED_VALUE"""),780.0)</f>
        <v>780</v>
      </c>
      <c r="E60" s="2">
        <f>IFERROR(__xludf.DUMMYFUNCTION("""COMPUTED_VALUE"""),39.0)</f>
        <v>39</v>
      </c>
      <c r="F60" s="2">
        <f>IFERROR(__xludf.DUMMYFUNCTION("""COMPUTED_VALUE"""),0.0)</f>
        <v>0</v>
      </c>
      <c r="G60" s="2">
        <f>IFERROR(__xludf.DUMMYFUNCTION("""COMPUTED_VALUE"""),0.0)</f>
        <v>0</v>
      </c>
      <c r="H60" s="2">
        <f>IFERROR(__xludf.DUMMYFUNCTION("""COMPUTED_VALUE"""),750.0)</f>
        <v>750</v>
      </c>
      <c r="I60" s="2">
        <f>IFERROR(__xludf.DUMMYFUNCTION("""COMPUTED_VALUE"""),30.0)</f>
        <v>30</v>
      </c>
    </row>
    <row r="61" ht="22.5" customHeight="1">
      <c r="A61" s="2" t="str">
        <f>IFERROR(__xludf.DUMMYFUNCTION("""COMPUTED_VALUE"""),"2026-12")</f>
        <v>2026-12</v>
      </c>
      <c r="B61" s="2" t="str">
        <f>IFERROR(__xludf.DUMMYFUNCTION("""COMPUTED_VALUE"""),"LSCCHSD0003")</f>
        <v>LSCCHSD0003</v>
      </c>
      <c r="C61" s="2">
        <f>IFERROR(__xludf.DUMMYFUNCTION("""COMPUTED_VALUE"""),30.0)</f>
        <v>30</v>
      </c>
      <c r="D61" s="2">
        <f>IFERROR(__xludf.DUMMYFUNCTION("""COMPUTED_VALUE"""),720.0)</f>
        <v>720</v>
      </c>
      <c r="E61" s="2">
        <f>IFERROR(__xludf.DUMMYFUNCTION("""COMPUTED_VALUE"""),36.0)</f>
        <v>36</v>
      </c>
      <c r="F61" s="2">
        <f>IFERROR(__xludf.DUMMYFUNCTION("""COMPUTED_VALUE"""),0.0)</f>
        <v>0</v>
      </c>
      <c r="G61" s="2">
        <f>IFERROR(__xludf.DUMMYFUNCTION("""COMPUTED_VALUE"""),0.0)</f>
        <v>0</v>
      </c>
      <c r="H61" s="2">
        <f>IFERROR(__xludf.DUMMYFUNCTION("""COMPUTED_VALUE"""),750.0)</f>
        <v>750</v>
      </c>
      <c r="I61" s="2">
        <f>IFERROR(__xludf.DUMMYFUNCTION("""COMPUTED_VALUE"""),0.0)</f>
        <v>0</v>
      </c>
    </row>
    <row r="62" ht="22.5" customHeight="1">
      <c r="A62" s="2" t="str">
        <f>IFERROR(__xludf.DUMMYFUNCTION("""COMPUTED_VALUE"""),"2026-01")</f>
        <v>2026-01</v>
      </c>
      <c r="B62" s="2" t="str">
        <f>IFERROR(__xludf.DUMMYFUNCTION("""COMPUTED_VALUE"""),"LSCCHSD0003-LX")</f>
        <v>LSCCHSD0003-LX</v>
      </c>
      <c r="C62" s="2">
        <f>IFERROR(__xludf.DUMMYFUNCTION("""COMPUTED_VALUE"""),0.0)</f>
        <v>0</v>
      </c>
      <c r="D62" s="2">
        <f>IFERROR(__xludf.DUMMYFUNCTION("""COMPUTED_VALUE"""),0.0)</f>
        <v>0</v>
      </c>
      <c r="E62" s="2">
        <f>IFERROR(__xludf.DUMMYFUNCTION("""COMPUTED_VALUE"""),0.0)</f>
        <v>0</v>
      </c>
      <c r="F62" s="2">
        <f>IFERROR(__xludf.DUMMYFUNCTION("""COMPUTED_VALUE"""),0.0)</f>
        <v>0</v>
      </c>
      <c r="G62" s="2">
        <f>IFERROR(__xludf.DUMMYFUNCTION("""COMPUTED_VALUE"""),401.0)</f>
        <v>401</v>
      </c>
      <c r="H62" s="2">
        <f>IFERROR(__xludf.DUMMYFUNCTION("""COMPUTED_VALUE"""),401.0)</f>
        <v>401</v>
      </c>
      <c r="I62" s="2">
        <f>IFERROR(__xludf.DUMMYFUNCTION("""COMPUTED_VALUE"""),0.0)</f>
        <v>0</v>
      </c>
    </row>
    <row r="63" ht="22.5" customHeight="1">
      <c r="A63" s="2" t="str">
        <f>IFERROR(__xludf.DUMMYFUNCTION("""COMPUTED_VALUE"""),"2026-02")</f>
        <v>2026-02</v>
      </c>
      <c r="B63" s="2" t="str">
        <f>IFERROR(__xludf.DUMMYFUNCTION("""COMPUTED_VALUE"""),"LSCCHSD0003-LX")</f>
        <v>LSCCHSD0003-LX</v>
      </c>
      <c r="C63" s="2">
        <f>IFERROR(__xludf.DUMMYFUNCTION("""COMPUTED_VALUE"""),0.0)</f>
        <v>0</v>
      </c>
      <c r="D63" s="2">
        <f>IFERROR(__xludf.DUMMYFUNCTION("""COMPUTED_VALUE"""),69.0)</f>
        <v>69</v>
      </c>
      <c r="E63" s="2">
        <f>IFERROR(__xludf.DUMMYFUNCTION("""COMPUTED_VALUE"""),5.0)</f>
        <v>5</v>
      </c>
      <c r="F63" s="2">
        <f>IFERROR(__xludf.DUMMYFUNCTION("""COMPUTED_VALUE"""),1.0)</f>
        <v>1</v>
      </c>
      <c r="G63" s="2">
        <f>IFERROR(__xludf.DUMMYFUNCTION("""COMPUTED_VALUE"""),387.0)</f>
        <v>387</v>
      </c>
      <c r="H63" s="2">
        <f>IFERROR(__xludf.DUMMYFUNCTION("""COMPUTED_VALUE"""),456.0)</f>
        <v>456</v>
      </c>
      <c r="I63" s="2">
        <f>IFERROR(__xludf.DUMMYFUNCTION("""COMPUTED_VALUE"""),0.0)</f>
        <v>0</v>
      </c>
    </row>
    <row r="64" ht="22.5" customHeight="1">
      <c r="A64" s="2" t="str">
        <f>IFERROR(__xludf.DUMMYFUNCTION("""COMPUTED_VALUE"""),"2026-03")</f>
        <v>2026-03</v>
      </c>
      <c r="B64" s="2" t="str">
        <f>IFERROR(__xludf.DUMMYFUNCTION("""COMPUTED_VALUE"""),"LSCCHSD0003-LX")</f>
        <v>LSCCHSD0003-LX</v>
      </c>
      <c r="C64" s="2">
        <f>IFERROR(__xludf.DUMMYFUNCTION("""COMPUTED_VALUE"""),0.0)</f>
        <v>0</v>
      </c>
      <c r="D64" s="2">
        <f>IFERROR(__xludf.DUMMYFUNCTION("""COMPUTED_VALUE"""),499.0)</f>
        <v>499</v>
      </c>
      <c r="E64" s="2">
        <f>IFERROR(__xludf.DUMMYFUNCTION("""COMPUTED_VALUE"""),36.0)</f>
        <v>36</v>
      </c>
      <c r="F64" s="2">
        <f>IFERROR(__xludf.DUMMYFUNCTION("""COMPUTED_VALUE"""),5.0)</f>
        <v>5</v>
      </c>
      <c r="G64" s="2">
        <f>IFERROR(__xludf.DUMMYFUNCTION("""COMPUTED_VALUE"""),0.0)</f>
        <v>0</v>
      </c>
      <c r="H64" s="2">
        <f>IFERROR(__xludf.DUMMYFUNCTION("""COMPUTED_VALUE"""),499.0)</f>
        <v>499</v>
      </c>
      <c r="I64" s="2">
        <f>IFERROR(__xludf.DUMMYFUNCTION("""COMPUTED_VALUE"""),0.0)</f>
        <v>0</v>
      </c>
    </row>
    <row r="65" ht="22.5" customHeight="1">
      <c r="A65" s="2" t="str">
        <f>IFERROR(__xludf.DUMMYFUNCTION("""COMPUTED_VALUE"""),"2026-04")</f>
        <v>2026-04</v>
      </c>
      <c r="B65" s="2" t="str">
        <f>IFERROR(__xludf.DUMMYFUNCTION("""COMPUTED_VALUE"""),"LSCCHSD0003-LX")</f>
        <v>LSCCHSD0003-LX</v>
      </c>
      <c r="C65" s="2">
        <f>IFERROR(__xludf.DUMMYFUNCTION("""COMPUTED_VALUE"""),0.0)</f>
        <v>0</v>
      </c>
      <c r="D65" s="2">
        <f>IFERROR(__xludf.DUMMYFUNCTION("""COMPUTED_VALUE"""),504.0)</f>
        <v>504</v>
      </c>
      <c r="E65" s="2">
        <f>IFERROR(__xludf.DUMMYFUNCTION("""COMPUTED_VALUE"""),36.0)</f>
        <v>36</v>
      </c>
      <c r="F65" s="2">
        <f>IFERROR(__xludf.DUMMYFUNCTION("""COMPUTED_VALUE"""),0.0)</f>
        <v>0</v>
      </c>
      <c r="G65" s="2">
        <f>IFERROR(__xludf.DUMMYFUNCTION("""COMPUTED_VALUE"""),0.0)</f>
        <v>0</v>
      </c>
      <c r="H65" s="2">
        <f>IFERROR(__xludf.DUMMYFUNCTION("""COMPUTED_VALUE"""),499.0)</f>
        <v>499</v>
      </c>
      <c r="I65" s="2">
        <f>IFERROR(__xludf.DUMMYFUNCTION("""COMPUTED_VALUE"""),5.0)</f>
        <v>5</v>
      </c>
    </row>
    <row r="66" ht="22.5" customHeight="1">
      <c r="A66" s="2" t="str">
        <f>IFERROR(__xludf.DUMMYFUNCTION("""COMPUTED_VALUE"""),"2026-05")</f>
        <v>2026-05</v>
      </c>
      <c r="B66" s="2" t="str">
        <f>IFERROR(__xludf.DUMMYFUNCTION("""COMPUTED_VALUE"""),"LSCCHSD0003-LX")</f>
        <v>LSCCHSD0003-LX</v>
      </c>
      <c r="C66" s="2">
        <f>IFERROR(__xludf.DUMMYFUNCTION("""COMPUTED_VALUE"""),5.0)</f>
        <v>5</v>
      </c>
      <c r="D66" s="2">
        <f>IFERROR(__xludf.DUMMYFUNCTION("""COMPUTED_VALUE"""),501.0)</f>
        <v>501</v>
      </c>
      <c r="E66" s="2">
        <f>IFERROR(__xludf.DUMMYFUNCTION("""COMPUTED_VALUE"""),36.0)</f>
        <v>36</v>
      </c>
      <c r="F66" s="2">
        <f>IFERROR(__xludf.DUMMYFUNCTION("""COMPUTED_VALUE"""),3.0)</f>
        <v>3</v>
      </c>
      <c r="G66" s="2">
        <f>IFERROR(__xludf.DUMMYFUNCTION("""COMPUTED_VALUE"""),0.0)</f>
        <v>0</v>
      </c>
      <c r="H66" s="2">
        <f>IFERROR(__xludf.DUMMYFUNCTION("""COMPUTED_VALUE"""),499.0)</f>
        <v>499</v>
      </c>
      <c r="I66" s="2">
        <f>IFERROR(__xludf.DUMMYFUNCTION("""COMPUTED_VALUE"""),7.0)</f>
        <v>7</v>
      </c>
    </row>
    <row r="67" ht="22.5" customHeight="1">
      <c r="A67" s="2" t="str">
        <f>IFERROR(__xludf.DUMMYFUNCTION("""COMPUTED_VALUE"""),"2026-06")</f>
        <v>2026-06</v>
      </c>
      <c r="B67" s="2" t="str">
        <f>IFERROR(__xludf.DUMMYFUNCTION("""COMPUTED_VALUE"""),"LSCCHSD0003-LX")</f>
        <v>LSCCHSD0003-LX</v>
      </c>
      <c r="C67" s="2">
        <f>IFERROR(__xludf.DUMMYFUNCTION("""COMPUTED_VALUE"""),7.0)</f>
        <v>7</v>
      </c>
      <c r="D67" s="2">
        <f>IFERROR(__xludf.DUMMYFUNCTION("""COMPUTED_VALUE"""),504.0)</f>
        <v>504</v>
      </c>
      <c r="E67" s="2">
        <f>IFERROR(__xludf.DUMMYFUNCTION("""COMPUTED_VALUE"""),36.0)</f>
        <v>36</v>
      </c>
      <c r="F67" s="2">
        <f>IFERROR(__xludf.DUMMYFUNCTION("""COMPUTED_VALUE"""),0.0)</f>
        <v>0</v>
      </c>
      <c r="G67" s="2">
        <f>IFERROR(__xludf.DUMMYFUNCTION("""COMPUTED_VALUE"""),0.0)</f>
        <v>0</v>
      </c>
      <c r="H67" s="2">
        <f>IFERROR(__xludf.DUMMYFUNCTION("""COMPUTED_VALUE"""),499.0)</f>
        <v>499</v>
      </c>
      <c r="I67" s="2">
        <f>IFERROR(__xludf.DUMMYFUNCTION("""COMPUTED_VALUE"""),12.0)</f>
        <v>12</v>
      </c>
    </row>
    <row r="68" ht="22.5" customHeight="1">
      <c r="A68" s="2" t="str">
        <f>IFERROR(__xludf.DUMMYFUNCTION("""COMPUTED_VALUE"""),"2026-07")</f>
        <v>2026-07</v>
      </c>
      <c r="B68" s="2" t="str">
        <f>IFERROR(__xludf.DUMMYFUNCTION("""COMPUTED_VALUE"""),"LSCCHSD0003-LX")</f>
        <v>LSCCHSD0003-LX</v>
      </c>
      <c r="C68" s="2">
        <f>IFERROR(__xludf.DUMMYFUNCTION("""COMPUTED_VALUE"""),12.0)</f>
        <v>12</v>
      </c>
      <c r="D68" s="2">
        <f>IFERROR(__xludf.DUMMYFUNCTION("""COMPUTED_VALUE"""),490.0)</f>
        <v>490</v>
      </c>
      <c r="E68" s="2">
        <f>IFERROR(__xludf.DUMMYFUNCTION("""COMPUTED_VALUE"""),35.0)</f>
        <v>35</v>
      </c>
      <c r="F68" s="2">
        <f>IFERROR(__xludf.DUMMYFUNCTION("""COMPUTED_VALUE"""),0.0)</f>
        <v>0</v>
      </c>
      <c r="G68" s="2">
        <f>IFERROR(__xludf.DUMMYFUNCTION("""COMPUTED_VALUE"""),0.0)</f>
        <v>0</v>
      </c>
      <c r="H68" s="2">
        <f>IFERROR(__xludf.DUMMYFUNCTION("""COMPUTED_VALUE"""),499.0)</f>
        <v>499</v>
      </c>
      <c r="I68" s="2">
        <f>IFERROR(__xludf.DUMMYFUNCTION("""COMPUTED_VALUE"""),3.0)</f>
        <v>3</v>
      </c>
    </row>
    <row r="69" ht="22.5" customHeight="1">
      <c r="A69" s="2" t="str">
        <f>IFERROR(__xludf.DUMMYFUNCTION("""COMPUTED_VALUE"""),"2026-08")</f>
        <v>2026-08</v>
      </c>
      <c r="B69" s="2" t="str">
        <f>IFERROR(__xludf.DUMMYFUNCTION("""COMPUTED_VALUE"""),"LSCCHSD0003-LX")</f>
        <v>LSCCHSD0003-LX</v>
      </c>
      <c r="C69" s="2">
        <f>IFERROR(__xludf.DUMMYFUNCTION("""COMPUTED_VALUE"""),3.0)</f>
        <v>3</v>
      </c>
      <c r="D69" s="2">
        <f>IFERROR(__xludf.DUMMYFUNCTION("""COMPUTED_VALUE"""),322.0)</f>
        <v>322</v>
      </c>
      <c r="E69" s="2">
        <f>IFERROR(__xludf.DUMMYFUNCTION("""COMPUTED_VALUE"""),23.0)</f>
        <v>23</v>
      </c>
      <c r="F69" s="2">
        <f>IFERROR(__xludf.DUMMYFUNCTION("""COMPUTED_VALUE"""),0.0)</f>
        <v>0</v>
      </c>
      <c r="G69" s="2">
        <f>IFERROR(__xludf.DUMMYFUNCTION("""COMPUTED_VALUE"""),174.0)</f>
        <v>174</v>
      </c>
      <c r="H69" s="2">
        <f>IFERROR(__xludf.DUMMYFUNCTION("""COMPUTED_VALUE"""),499.0)</f>
        <v>499</v>
      </c>
      <c r="I69" s="2">
        <f>IFERROR(__xludf.DUMMYFUNCTION("""COMPUTED_VALUE"""),0.0)</f>
        <v>0</v>
      </c>
    </row>
    <row r="70" ht="22.5" customHeight="1">
      <c r="A70" s="2" t="str">
        <f>IFERROR(__xludf.DUMMYFUNCTION("""COMPUTED_VALUE"""),"2026-09")</f>
        <v>2026-09</v>
      </c>
      <c r="B70" s="2" t="str">
        <f>IFERROR(__xludf.DUMMYFUNCTION("""COMPUTED_VALUE"""),"LSCCHSD0003-LX")</f>
        <v>LSCCHSD0003-LX</v>
      </c>
      <c r="C70" s="2">
        <f>IFERROR(__xludf.DUMMYFUNCTION("""COMPUTED_VALUE"""),0.0)</f>
        <v>0</v>
      </c>
      <c r="D70" s="2">
        <f>IFERROR(__xludf.DUMMYFUNCTION("""COMPUTED_VALUE"""),511.0)</f>
        <v>511</v>
      </c>
      <c r="E70" s="2">
        <f>IFERROR(__xludf.DUMMYFUNCTION("""COMPUTED_VALUE"""),37.0)</f>
        <v>37</v>
      </c>
      <c r="F70" s="2">
        <f>IFERROR(__xludf.DUMMYFUNCTION("""COMPUTED_VALUE"""),7.0)</f>
        <v>7</v>
      </c>
      <c r="G70" s="2">
        <f>IFERROR(__xludf.DUMMYFUNCTION("""COMPUTED_VALUE"""),0.0)</f>
        <v>0</v>
      </c>
      <c r="H70" s="2">
        <f>IFERROR(__xludf.DUMMYFUNCTION("""COMPUTED_VALUE"""),499.0)</f>
        <v>499</v>
      </c>
      <c r="I70" s="2">
        <f>IFERROR(__xludf.DUMMYFUNCTION("""COMPUTED_VALUE"""),12.0)</f>
        <v>12</v>
      </c>
    </row>
    <row r="71" ht="22.5" customHeight="1">
      <c r="A71" s="2" t="str">
        <f>IFERROR(__xludf.DUMMYFUNCTION("""COMPUTED_VALUE"""),"2026-10")</f>
        <v>2026-10</v>
      </c>
      <c r="B71" s="2" t="str">
        <f>IFERROR(__xludf.DUMMYFUNCTION("""COMPUTED_VALUE"""),"LSCCHSD0003-LX")</f>
        <v>LSCCHSD0003-LX</v>
      </c>
      <c r="C71" s="2">
        <f>IFERROR(__xludf.DUMMYFUNCTION("""COMPUTED_VALUE"""),12.0)</f>
        <v>12</v>
      </c>
      <c r="D71" s="2">
        <f>IFERROR(__xludf.DUMMYFUNCTION("""COMPUTED_VALUE"""),490.0)</f>
        <v>490</v>
      </c>
      <c r="E71" s="2">
        <f>IFERROR(__xludf.DUMMYFUNCTION("""COMPUTED_VALUE"""),35.0)</f>
        <v>35</v>
      </c>
      <c r="F71" s="2">
        <f>IFERROR(__xludf.DUMMYFUNCTION("""COMPUTED_VALUE"""),0.0)</f>
        <v>0</v>
      </c>
      <c r="G71" s="2">
        <f>IFERROR(__xludf.DUMMYFUNCTION("""COMPUTED_VALUE"""),0.0)</f>
        <v>0</v>
      </c>
      <c r="H71" s="2">
        <f>IFERROR(__xludf.DUMMYFUNCTION("""COMPUTED_VALUE"""),499.0)</f>
        <v>499</v>
      </c>
      <c r="I71" s="2">
        <f>IFERROR(__xludf.DUMMYFUNCTION("""COMPUTED_VALUE"""),3.0)</f>
        <v>3</v>
      </c>
    </row>
    <row r="72" ht="22.5" customHeight="1">
      <c r="A72" s="2" t="str">
        <f>IFERROR(__xludf.DUMMYFUNCTION("""COMPUTED_VALUE"""),"2026-11")</f>
        <v>2026-11</v>
      </c>
      <c r="B72" s="2" t="str">
        <f>IFERROR(__xludf.DUMMYFUNCTION("""COMPUTED_VALUE"""),"LSCCHSD0003-LX")</f>
        <v>LSCCHSD0003-LX</v>
      </c>
      <c r="C72" s="2">
        <f>IFERROR(__xludf.DUMMYFUNCTION("""COMPUTED_VALUE"""),3.0)</f>
        <v>3</v>
      </c>
      <c r="D72" s="2">
        <f>IFERROR(__xludf.DUMMYFUNCTION("""COMPUTED_VALUE"""),364.0)</f>
        <v>364</v>
      </c>
      <c r="E72" s="2">
        <f>IFERROR(__xludf.DUMMYFUNCTION("""COMPUTED_VALUE"""),26.0)</f>
        <v>26</v>
      </c>
      <c r="F72" s="2">
        <f>IFERROR(__xludf.DUMMYFUNCTION("""COMPUTED_VALUE"""),0.0)</f>
        <v>0</v>
      </c>
      <c r="G72" s="2">
        <f>IFERROR(__xludf.DUMMYFUNCTION("""COMPUTED_VALUE"""),141.0)</f>
        <v>141</v>
      </c>
      <c r="H72" s="2">
        <f>IFERROR(__xludf.DUMMYFUNCTION("""COMPUTED_VALUE"""),499.0)</f>
        <v>499</v>
      </c>
      <c r="I72" s="2">
        <f>IFERROR(__xludf.DUMMYFUNCTION("""COMPUTED_VALUE"""),9.0)</f>
        <v>9</v>
      </c>
    </row>
    <row r="73" ht="22.5" customHeight="1">
      <c r="A73" s="2" t="str">
        <f>IFERROR(__xludf.DUMMYFUNCTION("""COMPUTED_VALUE"""),"2026-12")</f>
        <v>2026-12</v>
      </c>
      <c r="B73" s="2" t="str">
        <f>IFERROR(__xludf.DUMMYFUNCTION("""COMPUTED_VALUE"""),"LSCCHSD0003-LX")</f>
        <v>LSCCHSD0003-LX</v>
      </c>
      <c r="C73" s="2">
        <f>IFERROR(__xludf.DUMMYFUNCTION("""COMPUTED_VALUE"""),9.0)</f>
        <v>9</v>
      </c>
      <c r="D73" s="2">
        <f>IFERROR(__xludf.DUMMYFUNCTION("""COMPUTED_VALUE"""),490.0)</f>
        <v>490</v>
      </c>
      <c r="E73" s="2">
        <f>IFERROR(__xludf.DUMMYFUNCTION("""COMPUTED_VALUE"""),35.0)</f>
        <v>35</v>
      </c>
      <c r="F73" s="2">
        <f>IFERROR(__xludf.DUMMYFUNCTION("""COMPUTED_VALUE"""),0.0)</f>
        <v>0</v>
      </c>
      <c r="G73" s="2">
        <f>IFERROR(__xludf.DUMMYFUNCTION("""COMPUTED_VALUE"""),0.0)</f>
        <v>0</v>
      </c>
      <c r="H73" s="2">
        <f>IFERROR(__xludf.DUMMYFUNCTION("""COMPUTED_VALUE"""),499.0)</f>
        <v>499</v>
      </c>
      <c r="I73" s="2">
        <f>IFERROR(__xludf.DUMMYFUNCTION("""COMPUTED_VALUE"""),0.0)</f>
        <v>0</v>
      </c>
    </row>
    <row r="74" ht="22.5" customHeight="1">
      <c r="A74" s="2" t="str">
        <f>IFERROR(__xludf.DUMMYFUNCTION("""COMPUTED_VALUE"""),"2026-01")</f>
        <v>2026-01</v>
      </c>
      <c r="B74" s="2" t="str">
        <f>IFERROR(__xludf.DUMMYFUNCTION("""COMPUTED_VALUE"""),"LSCENSD0001")</f>
        <v>LSCENSD0001</v>
      </c>
      <c r="C74" s="2">
        <f>IFERROR(__xludf.DUMMYFUNCTION("""COMPUTED_VALUE"""),0.0)</f>
        <v>0</v>
      </c>
      <c r="D74" s="2">
        <f>IFERROR(__xludf.DUMMYFUNCTION("""COMPUTED_VALUE"""),382.0)</f>
        <v>382</v>
      </c>
      <c r="E74" s="2">
        <f>IFERROR(__xludf.DUMMYFUNCTION("""COMPUTED_VALUE"""),39.0)</f>
        <v>39</v>
      </c>
      <c r="F74" s="2">
        <f>IFERROR(__xludf.DUMMYFUNCTION("""COMPUTED_VALUE"""),8.0)</f>
        <v>8</v>
      </c>
      <c r="G74" s="2">
        <f>IFERROR(__xludf.DUMMYFUNCTION("""COMPUTED_VALUE"""),211.0)</f>
        <v>211</v>
      </c>
      <c r="H74" s="2">
        <f>IFERROR(__xludf.DUMMYFUNCTION("""COMPUTED_VALUE"""),591.0)</f>
        <v>591</v>
      </c>
      <c r="I74" s="2">
        <f>IFERROR(__xludf.DUMMYFUNCTION("""COMPUTED_VALUE"""),2.0)</f>
        <v>2</v>
      </c>
    </row>
    <row r="75" ht="22.5" customHeight="1">
      <c r="A75" s="2" t="str">
        <f>IFERROR(__xludf.DUMMYFUNCTION("""COMPUTED_VALUE"""),"2026-02")</f>
        <v>2026-02</v>
      </c>
      <c r="B75" s="2" t="str">
        <f>IFERROR(__xludf.DUMMYFUNCTION("""COMPUTED_VALUE"""),"LSCENSD0001")</f>
        <v>LSCENSD0001</v>
      </c>
      <c r="C75" s="2">
        <f>IFERROR(__xludf.DUMMYFUNCTION("""COMPUTED_VALUE"""),2.0)</f>
        <v>2</v>
      </c>
      <c r="D75" s="2">
        <f>IFERROR(__xludf.DUMMYFUNCTION("""COMPUTED_VALUE"""),710.0)</f>
        <v>710</v>
      </c>
      <c r="E75" s="2">
        <f>IFERROR(__xludf.DUMMYFUNCTION("""COMPUTED_VALUE"""),71.0)</f>
        <v>71</v>
      </c>
      <c r="F75" s="2">
        <f>IFERROR(__xludf.DUMMYFUNCTION("""COMPUTED_VALUE"""),0.0)</f>
        <v>0</v>
      </c>
      <c r="G75" s="2">
        <f>IFERROR(__xludf.DUMMYFUNCTION("""COMPUTED_VALUE"""),0.0)</f>
        <v>0</v>
      </c>
      <c r="H75" s="2">
        <f>IFERROR(__xludf.DUMMYFUNCTION("""COMPUTED_VALUE"""),702.0)</f>
        <v>702</v>
      </c>
      <c r="I75" s="2">
        <f>IFERROR(__xludf.DUMMYFUNCTION("""COMPUTED_VALUE"""),10.0)</f>
        <v>10</v>
      </c>
    </row>
    <row r="76" ht="22.5" customHeight="1">
      <c r="A76" s="2" t="str">
        <f>IFERROR(__xludf.DUMMYFUNCTION("""COMPUTED_VALUE"""),"2026-03")</f>
        <v>2026-03</v>
      </c>
      <c r="B76" s="2" t="str">
        <f>IFERROR(__xludf.DUMMYFUNCTION("""COMPUTED_VALUE"""),"LSCENSD0001")</f>
        <v>LSCENSD0001</v>
      </c>
      <c r="C76" s="2">
        <f>IFERROR(__xludf.DUMMYFUNCTION("""COMPUTED_VALUE"""),10.0)</f>
        <v>10</v>
      </c>
      <c r="D76" s="2">
        <f>IFERROR(__xludf.DUMMYFUNCTION("""COMPUTED_VALUE"""),760.0)</f>
        <v>760</v>
      </c>
      <c r="E76" s="2">
        <f>IFERROR(__xludf.DUMMYFUNCTION("""COMPUTED_VALUE"""),76.0)</f>
        <v>76</v>
      </c>
      <c r="F76" s="2">
        <f>IFERROR(__xludf.DUMMYFUNCTION("""COMPUTED_VALUE"""),0.0)</f>
        <v>0</v>
      </c>
      <c r="G76" s="2">
        <f>IFERROR(__xludf.DUMMYFUNCTION("""COMPUTED_VALUE"""),0.0)</f>
        <v>0</v>
      </c>
      <c r="H76" s="2">
        <f>IFERROR(__xludf.DUMMYFUNCTION("""COMPUTED_VALUE"""),750.0)</f>
        <v>750</v>
      </c>
      <c r="I76" s="2">
        <f>IFERROR(__xludf.DUMMYFUNCTION("""COMPUTED_VALUE"""),20.0)</f>
        <v>20</v>
      </c>
    </row>
    <row r="77" ht="22.5" customHeight="1">
      <c r="A77" s="2" t="str">
        <f>IFERROR(__xludf.DUMMYFUNCTION("""COMPUTED_VALUE"""),"2026-04")</f>
        <v>2026-04</v>
      </c>
      <c r="B77" s="2" t="str">
        <f>IFERROR(__xludf.DUMMYFUNCTION("""COMPUTED_VALUE"""),"LSCENSD0001")</f>
        <v>LSCENSD0001</v>
      </c>
      <c r="C77" s="2">
        <f>IFERROR(__xludf.DUMMYFUNCTION("""COMPUTED_VALUE"""),20.0)</f>
        <v>20</v>
      </c>
      <c r="D77" s="2">
        <f>IFERROR(__xludf.DUMMYFUNCTION("""COMPUTED_VALUE"""),740.0)</f>
        <v>740</v>
      </c>
      <c r="E77" s="2">
        <f>IFERROR(__xludf.DUMMYFUNCTION("""COMPUTED_VALUE"""),74.0)</f>
        <v>74</v>
      </c>
      <c r="F77" s="2">
        <f>IFERROR(__xludf.DUMMYFUNCTION("""COMPUTED_VALUE"""),0.0)</f>
        <v>0</v>
      </c>
      <c r="G77" s="2">
        <f>IFERROR(__xludf.DUMMYFUNCTION("""COMPUTED_VALUE"""),0.0)</f>
        <v>0</v>
      </c>
      <c r="H77" s="2">
        <f>IFERROR(__xludf.DUMMYFUNCTION("""COMPUTED_VALUE"""),750.0)</f>
        <v>750</v>
      </c>
      <c r="I77" s="2">
        <f>IFERROR(__xludf.DUMMYFUNCTION("""COMPUTED_VALUE"""),10.0)</f>
        <v>10</v>
      </c>
    </row>
    <row r="78" ht="22.5" customHeight="1">
      <c r="A78" s="2" t="str">
        <f>IFERROR(__xludf.DUMMYFUNCTION("""COMPUTED_VALUE"""),"2026-05")</f>
        <v>2026-05</v>
      </c>
      <c r="B78" s="2" t="str">
        <f>IFERROR(__xludf.DUMMYFUNCTION("""COMPUTED_VALUE"""),"LSCENSD0001")</f>
        <v>LSCENSD0001</v>
      </c>
      <c r="C78" s="2">
        <f>IFERROR(__xludf.DUMMYFUNCTION("""COMPUTED_VALUE"""),10.0)</f>
        <v>10</v>
      </c>
      <c r="D78" s="2">
        <f>IFERROR(__xludf.DUMMYFUNCTION("""COMPUTED_VALUE"""),760.0)</f>
        <v>760</v>
      </c>
      <c r="E78" s="2">
        <f>IFERROR(__xludf.DUMMYFUNCTION("""COMPUTED_VALUE"""),76.0)</f>
        <v>76</v>
      </c>
      <c r="F78" s="2">
        <f>IFERROR(__xludf.DUMMYFUNCTION("""COMPUTED_VALUE"""),0.0)</f>
        <v>0</v>
      </c>
      <c r="G78" s="2">
        <f>IFERROR(__xludf.DUMMYFUNCTION("""COMPUTED_VALUE"""),0.0)</f>
        <v>0</v>
      </c>
      <c r="H78" s="2">
        <f>IFERROR(__xludf.DUMMYFUNCTION("""COMPUTED_VALUE"""),750.0)</f>
        <v>750</v>
      </c>
      <c r="I78" s="2">
        <f>IFERROR(__xludf.DUMMYFUNCTION("""COMPUTED_VALUE"""),20.0)</f>
        <v>20</v>
      </c>
    </row>
    <row r="79" ht="22.5" customHeight="1">
      <c r="A79" s="2" t="str">
        <f>IFERROR(__xludf.DUMMYFUNCTION("""COMPUTED_VALUE"""),"2026-06")</f>
        <v>2026-06</v>
      </c>
      <c r="B79" s="2" t="str">
        <f>IFERROR(__xludf.DUMMYFUNCTION("""COMPUTED_VALUE"""),"LSCENSD0001")</f>
        <v>LSCENSD0001</v>
      </c>
      <c r="C79" s="2">
        <f>IFERROR(__xludf.DUMMYFUNCTION("""COMPUTED_VALUE"""),20.0)</f>
        <v>20</v>
      </c>
      <c r="D79" s="2">
        <f>IFERROR(__xludf.DUMMYFUNCTION("""COMPUTED_VALUE"""),740.0)</f>
        <v>740</v>
      </c>
      <c r="E79" s="2">
        <f>IFERROR(__xludf.DUMMYFUNCTION("""COMPUTED_VALUE"""),74.0)</f>
        <v>74</v>
      </c>
      <c r="F79" s="2">
        <f>IFERROR(__xludf.DUMMYFUNCTION("""COMPUTED_VALUE"""),0.0)</f>
        <v>0</v>
      </c>
      <c r="G79" s="2">
        <f>IFERROR(__xludf.DUMMYFUNCTION("""COMPUTED_VALUE"""),0.0)</f>
        <v>0</v>
      </c>
      <c r="H79" s="2">
        <f>IFERROR(__xludf.DUMMYFUNCTION("""COMPUTED_VALUE"""),750.0)</f>
        <v>750</v>
      </c>
      <c r="I79" s="2">
        <f>IFERROR(__xludf.DUMMYFUNCTION("""COMPUTED_VALUE"""),10.0)</f>
        <v>10</v>
      </c>
    </row>
    <row r="80" ht="22.5" customHeight="1">
      <c r="A80" s="2" t="str">
        <f>IFERROR(__xludf.DUMMYFUNCTION("""COMPUTED_VALUE"""),"2026-07")</f>
        <v>2026-07</v>
      </c>
      <c r="B80" s="2" t="str">
        <f>IFERROR(__xludf.DUMMYFUNCTION("""COMPUTED_VALUE"""),"LSCENSD0001")</f>
        <v>LSCENSD0001</v>
      </c>
      <c r="C80" s="2">
        <f>IFERROR(__xludf.DUMMYFUNCTION("""COMPUTED_VALUE"""),10.0)</f>
        <v>10</v>
      </c>
      <c r="D80" s="2">
        <f>IFERROR(__xludf.DUMMYFUNCTION("""COMPUTED_VALUE"""),740.0)</f>
        <v>740</v>
      </c>
      <c r="E80" s="2">
        <f>IFERROR(__xludf.DUMMYFUNCTION("""COMPUTED_VALUE"""),74.0)</f>
        <v>74</v>
      </c>
      <c r="F80" s="2">
        <f>IFERROR(__xludf.DUMMYFUNCTION("""COMPUTED_VALUE"""),0.0)</f>
        <v>0</v>
      </c>
      <c r="G80" s="2">
        <f>IFERROR(__xludf.DUMMYFUNCTION("""COMPUTED_VALUE"""),0.0)</f>
        <v>0</v>
      </c>
      <c r="H80" s="2">
        <f>IFERROR(__xludf.DUMMYFUNCTION("""COMPUTED_VALUE"""),750.0)</f>
        <v>750</v>
      </c>
      <c r="I80" s="2">
        <f>IFERROR(__xludf.DUMMYFUNCTION("""COMPUTED_VALUE"""),0.0)</f>
        <v>0</v>
      </c>
    </row>
    <row r="81" ht="22.5" customHeight="1">
      <c r="A81" s="2" t="str">
        <f>IFERROR(__xludf.DUMMYFUNCTION("""COMPUTED_VALUE"""),"2026-08")</f>
        <v>2026-08</v>
      </c>
      <c r="B81" s="2" t="str">
        <f>IFERROR(__xludf.DUMMYFUNCTION("""COMPUTED_VALUE"""),"LSCENSD0001")</f>
        <v>LSCENSD0001</v>
      </c>
      <c r="C81" s="2">
        <f>IFERROR(__xludf.DUMMYFUNCTION("""COMPUTED_VALUE"""),0.0)</f>
        <v>0</v>
      </c>
      <c r="D81" s="2">
        <f>IFERROR(__xludf.DUMMYFUNCTION("""COMPUTED_VALUE"""),750.0)</f>
        <v>750</v>
      </c>
      <c r="E81" s="2">
        <f>IFERROR(__xludf.DUMMYFUNCTION("""COMPUTED_VALUE"""),75.0)</f>
        <v>75</v>
      </c>
      <c r="F81" s="2">
        <f>IFERROR(__xludf.DUMMYFUNCTION("""COMPUTED_VALUE"""),0.0)</f>
        <v>0</v>
      </c>
      <c r="G81" s="2">
        <f>IFERROR(__xludf.DUMMYFUNCTION("""COMPUTED_VALUE"""),0.0)</f>
        <v>0</v>
      </c>
      <c r="H81" s="2">
        <f>IFERROR(__xludf.DUMMYFUNCTION("""COMPUTED_VALUE"""),750.0)</f>
        <v>750</v>
      </c>
      <c r="I81" s="2">
        <f>IFERROR(__xludf.DUMMYFUNCTION("""COMPUTED_VALUE"""),0.0)</f>
        <v>0</v>
      </c>
    </row>
    <row r="82" ht="22.5" customHeight="1">
      <c r="A82" s="2" t="str">
        <f>IFERROR(__xludf.DUMMYFUNCTION("""COMPUTED_VALUE"""),"2026-09")</f>
        <v>2026-09</v>
      </c>
      <c r="B82" s="2" t="str">
        <f>IFERROR(__xludf.DUMMYFUNCTION("""COMPUTED_VALUE"""),"LSCENSD0001")</f>
        <v>LSCENSD0001</v>
      </c>
      <c r="C82" s="2">
        <f>IFERROR(__xludf.DUMMYFUNCTION("""COMPUTED_VALUE"""),0.0)</f>
        <v>0</v>
      </c>
      <c r="D82" s="2">
        <f>IFERROR(__xludf.DUMMYFUNCTION("""COMPUTED_VALUE"""),750.0)</f>
        <v>750</v>
      </c>
      <c r="E82" s="2">
        <f>IFERROR(__xludf.DUMMYFUNCTION("""COMPUTED_VALUE"""),75.0)</f>
        <v>75</v>
      </c>
      <c r="F82" s="2">
        <f>IFERROR(__xludf.DUMMYFUNCTION("""COMPUTED_VALUE"""),0.0)</f>
        <v>0</v>
      </c>
      <c r="G82" s="2">
        <f>IFERROR(__xludf.DUMMYFUNCTION("""COMPUTED_VALUE"""),0.0)</f>
        <v>0</v>
      </c>
      <c r="H82" s="2">
        <f>IFERROR(__xludf.DUMMYFUNCTION("""COMPUTED_VALUE"""),750.0)</f>
        <v>750</v>
      </c>
      <c r="I82" s="2">
        <f>IFERROR(__xludf.DUMMYFUNCTION("""COMPUTED_VALUE"""),0.0)</f>
        <v>0</v>
      </c>
    </row>
    <row r="83" ht="22.5" customHeight="1">
      <c r="A83" s="2" t="str">
        <f>IFERROR(__xludf.DUMMYFUNCTION("""COMPUTED_VALUE"""),"2026-10")</f>
        <v>2026-10</v>
      </c>
      <c r="B83" s="2" t="str">
        <f>IFERROR(__xludf.DUMMYFUNCTION("""COMPUTED_VALUE"""),"LSCENSD0001")</f>
        <v>LSCENSD0001</v>
      </c>
      <c r="C83" s="2">
        <f>IFERROR(__xludf.DUMMYFUNCTION("""COMPUTED_VALUE"""),0.0)</f>
        <v>0</v>
      </c>
      <c r="D83" s="2">
        <f>IFERROR(__xludf.DUMMYFUNCTION("""COMPUTED_VALUE"""),750.0)</f>
        <v>750</v>
      </c>
      <c r="E83" s="2">
        <f>IFERROR(__xludf.DUMMYFUNCTION("""COMPUTED_VALUE"""),75.0)</f>
        <v>75</v>
      </c>
      <c r="F83" s="2">
        <f>IFERROR(__xludf.DUMMYFUNCTION("""COMPUTED_VALUE"""),0.0)</f>
        <v>0</v>
      </c>
      <c r="G83" s="2">
        <f>IFERROR(__xludf.DUMMYFUNCTION("""COMPUTED_VALUE"""),0.0)</f>
        <v>0</v>
      </c>
      <c r="H83" s="2">
        <f>IFERROR(__xludf.DUMMYFUNCTION("""COMPUTED_VALUE"""),750.0)</f>
        <v>750</v>
      </c>
      <c r="I83" s="2">
        <f>IFERROR(__xludf.DUMMYFUNCTION("""COMPUTED_VALUE"""),0.0)</f>
        <v>0</v>
      </c>
    </row>
    <row r="84" ht="22.5" customHeight="1">
      <c r="A84" s="2" t="str">
        <f>IFERROR(__xludf.DUMMYFUNCTION("""COMPUTED_VALUE"""),"2026-11")</f>
        <v>2026-11</v>
      </c>
      <c r="B84" s="2" t="str">
        <f>IFERROR(__xludf.DUMMYFUNCTION("""COMPUTED_VALUE"""),"LSCENSD0001")</f>
        <v>LSCENSD0001</v>
      </c>
      <c r="C84" s="2">
        <f>IFERROR(__xludf.DUMMYFUNCTION("""COMPUTED_VALUE"""),0.0)</f>
        <v>0</v>
      </c>
      <c r="D84" s="2">
        <f>IFERROR(__xludf.DUMMYFUNCTION("""COMPUTED_VALUE"""),760.0)</f>
        <v>760</v>
      </c>
      <c r="E84" s="2">
        <f>IFERROR(__xludf.DUMMYFUNCTION("""COMPUTED_VALUE"""),76.0)</f>
        <v>76</v>
      </c>
      <c r="F84" s="2">
        <f>IFERROR(__xludf.DUMMYFUNCTION("""COMPUTED_VALUE"""),0.0)</f>
        <v>0</v>
      </c>
      <c r="G84" s="2">
        <f>IFERROR(__xludf.DUMMYFUNCTION("""COMPUTED_VALUE"""),0.0)</f>
        <v>0</v>
      </c>
      <c r="H84" s="2">
        <f>IFERROR(__xludf.DUMMYFUNCTION("""COMPUTED_VALUE"""),750.0)</f>
        <v>750</v>
      </c>
      <c r="I84" s="2">
        <f>IFERROR(__xludf.DUMMYFUNCTION("""COMPUTED_VALUE"""),10.0)</f>
        <v>10</v>
      </c>
    </row>
    <row r="85" ht="22.5" customHeight="1">
      <c r="A85" s="2" t="str">
        <f>IFERROR(__xludf.DUMMYFUNCTION("""COMPUTED_VALUE"""),"2026-12")</f>
        <v>2026-12</v>
      </c>
      <c r="B85" s="2" t="str">
        <f>IFERROR(__xludf.DUMMYFUNCTION("""COMPUTED_VALUE"""),"LSCENSD0001")</f>
        <v>LSCENSD0001</v>
      </c>
      <c r="C85" s="2">
        <f>IFERROR(__xludf.DUMMYFUNCTION("""COMPUTED_VALUE"""),10.0)</f>
        <v>10</v>
      </c>
      <c r="D85" s="2">
        <f>IFERROR(__xludf.DUMMYFUNCTION("""COMPUTED_VALUE"""),740.0)</f>
        <v>740</v>
      </c>
      <c r="E85" s="2">
        <f>IFERROR(__xludf.DUMMYFUNCTION("""COMPUTED_VALUE"""),74.0)</f>
        <v>74</v>
      </c>
      <c r="F85" s="2">
        <f>IFERROR(__xludf.DUMMYFUNCTION("""COMPUTED_VALUE"""),0.0)</f>
        <v>0</v>
      </c>
      <c r="G85" s="2">
        <f>IFERROR(__xludf.DUMMYFUNCTION("""COMPUTED_VALUE"""),0.0)</f>
        <v>0</v>
      </c>
      <c r="H85" s="2">
        <f>IFERROR(__xludf.DUMMYFUNCTION("""COMPUTED_VALUE"""),750.0)</f>
        <v>750</v>
      </c>
      <c r="I85" s="2">
        <f>IFERROR(__xludf.DUMMYFUNCTION("""COMPUTED_VALUE"""),0.0)</f>
        <v>0</v>
      </c>
    </row>
    <row r="86" ht="22.5" customHeight="1">
      <c r="A86" s="2" t="str">
        <f>IFERROR(__xludf.DUMMYFUNCTION("""COMPUTED_VALUE"""),"2026-01")</f>
        <v>2026-01</v>
      </c>
      <c r="B86" s="2" t="str">
        <f>IFERROR(__xludf.DUMMYFUNCTION("""COMPUTED_VALUE"""),"LSCENSD0001-LX")</f>
        <v>LSCENSD0001-LX</v>
      </c>
      <c r="C86" s="2">
        <f>IFERROR(__xludf.DUMMYFUNCTION("""COMPUTED_VALUE"""),0.0)</f>
        <v>0</v>
      </c>
      <c r="D86" s="2">
        <f>IFERROR(__xludf.DUMMYFUNCTION("""COMPUTED_VALUE"""),228.0)</f>
        <v>228</v>
      </c>
      <c r="E86" s="2">
        <f>IFERROR(__xludf.DUMMYFUNCTION("""COMPUTED_VALUE"""),33.0)</f>
        <v>33</v>
      </c>
      <c r="F86" s="2">
        <f>IFERROR(__xludf.DUMMYFUNCTION("""COMPUTED_VALUE"""),3.0)</f>
        <v>3</v>
      </c>
      <c r="G86" s="2">
        <f>IFERROR(__xludf.DUMMYFUNCTION("""COMPUTED_VALUE"""),185.0)</f>
        <v>185</v>
      </c>
      <c r="H86" s="2">
        <f>IFERROR(__xludf.DUMMYFUNCTION("""COMPUTED_VALUE"""),401.0)</f>
        <v>401</v>
      </c>
      <c r="I86" s="2">
        <f>IFERROR(__xludf.DUMMYFUNCTION("""COMPUTED_VALUE"""),12.0)</f>
        <v>12</v>
      </c>
    </row>
    <row r="87" ht="22.5" customHeight="1">
      <c r="A87" s="2" t="str">
        <f>IFERROR(__xludf.DUMMYFUNCTION("""COMPUTED_VALUE"""),"2026-02")</f>
        <v>2026-02</v>
      </c>
      <c r="B87" s="2" t="str">
        <f>IFERROR(__xludf.DUMMYFUNCTION("""COMPUTED_VALUE"""),"LSCENSD0001-LX")</f>
        <v>LSCENSD0001-LX</v>
      </c>
      <c r="C87" s="2">
        <f>IFERROR(__xludf.DUMMYFUNCTION("""COMPUTED_VALUE"""),12.0)</f>
        <v>12</v>
      </c>
      <c r="D87" s="2">
        <f>IFERROR(__xludf.DUMMYFUNCTION("""COMPUTED_VALUE"""),454.0)</f>
        <v>454</v>
      </c>
      <c r="E87" s="2">
        <f>IFERROR(__xludf.DUMMYFUNCTION("""COMPUTED_VALUE"""),65.0)</f>
        <v>65</v>
      </c>
      <c r="F87" s="2">
        <f>IFERROR(__xludf.DUMMYFUNCTION("""COMPUTED_VALUE"""),1.0)</f>
        <v>1</v>
      </c>
      <c r="G87" s="2">
        <f>IFERROR(__xludf.DUMMYFUNCTION("""COMPUTED_VALUE"""),1.0)</f>
        <v>1</v>
      </c>
      <c r="H87" s="2">
        <f>IFERROR(__xludf.DUMMYFUNCTION("""COMPUTED_VALUE"""),456.0)</f>
        <v>456</v>
      </c>
      <c r="I87" s="2">
        <f>IFERROR(__xludf.DUMMYFUNCTION("""COMPUTED_VALUE"""),11.0)</f>
        <v>11</v>
      </c>
    </row>
    <row r="88" ht="22.5" customHeight="1">
      <c r="A88" s="2" t="str">
        <f>IFERROR(__xludf.DUMMYFUNCTION("""COMPUTED_VALUE"""),"2026-03")</f>
        <v>2026-03</v>
      </c>
      <c r="B88" s="2" t="str">
        <f>IFERROR(__xludf.DUMMYFUNCTION("""COMPUTED_VALUE"""),"LSCENSD0001-LX")</f>
        <v>LSCENSD0001-LX</v>
      </c>
      <c r="C88" s="2">
        <f>IFERROR(__xludf.DUMMYFUNCTION("""COMPUTED_VALUE"""),11.0)</f>
        <v>11</v>
      </c>
      <c r="D88" s="2">
        <f>IFERROR(__xludf.DUMMYFUNCTION("""COMPUTED_VALUE"""),499.0)</f>
        <v>499</v>
      </c>
      <c r="E88" s="2">
        <f>IFERROR(__xludf.DUMMYFUNCTION("""COMPUTED_VALUE"""),72.0)</f>
        <v>72</v>
      </c>
      <c r="F88" s="2">
        <f>IFERROR(__xludf.DUMMYFUNCTION("""COMPUTED_VALUE"""),5.0)</f>
        <v>5</v>
      </c>
      <c r="G88" s="2">
        <f>IFERROR(__xludf.DUMMYFUNCTION("""COMPUTED_VALUE"""),1.0)</f>
        <v>1</v>
      </c>
      <c r="H88" s="2">
        <f>IFERROR(__xludf.DUMMYFUNCTION("""COMPUTED_VALUE"""),499.0)</f>
        <v>499</v>
      </c>
      <c r="I88" s="2">
        <f>IFERROR(__xludf.DUMMYFUNCTION("""COMPUTED_VALUE"""),12.0)</f>
        <v>12</v>
      </c>
    </row>
    <row r="89" ht="22.5" customHeight="1">
      <c r="A89" s="2" t="str">
        <f>IFERROR(__xludf.DUMMYFUNCTION("""COMPUTED_VALUE"""),"2026-04")</f>
        <v>2026-04</v>
      </c>
      <c r="B89" s="2" t="str">
        <f>IFERROR(__xludf.DUMMYFUNCTION("""COMPUTED_VALUE"""),"LSCENSD0001-LX")</f>
        <v>LSCENSD0001-LX</v>
      </c>
      <c r="C89" s="2">
        <f>IFERROR(__xludf.DUMMYFUNCTION("""COMPUTED_VALUE"""),12.0)</f>
        <v>12</v>
      </c>
      <c r="D89" s="2">
        <f>IFERROR(__xludf.DUMMYFUNCTION("""COMPUTED_VALUE"""),497.0)</f>
        <v>497</v>
      </c>
      <c r="E89" s="2">
        <f>IFERROR(__xludf.DUMMYFUNCTION("""COMPUTED_VALUE"""),71.0)</f>
        <v>71</v>
      </c>
      <c r="F89" s="2">
        <f>IFERROR(__xludf.DUMMYFUNCTION("""COMPUTED_VALUE"""),0.0)</f>
        <v>0</v>
      </c>
      <c r="G89" s="2">
        <f>IFERROR(__xludf.DUMMYFUNCTION("""COMPUTED_VALUE"""),0.0)</f>
        <v>0</v>
      </c>
      <c r="H89" s="2">
        <f>IFERROR(__xludf.DUMMYFUNCTION("""COMPUTED_VALUE"""),499.0)</f>
        <v>499</v>
      </c>
      <c r="I89" s="2">
        <f>IFERROR(__xludf.DUMMYFUNCTION("""COMPUTED_VALUE"""),10.0)</f>
        <v>10</v>
      </c>
    </row>
    <row r="90" ht="22.5" customHeight="1">
      <c r="A90" s="2" t="str">
        <f>IFERROR(__xludf.DUMMYFUNCTION("""COMPUTED_VALUE"""),"2026-05")</f>
        <v>2026-05</v>
      </c>
      <c r="B90" s="2" t="str">
        <f>IFERROR(__xludf.DUMMYFUNCTION("""COMPUTED_VALUE"""),"LSCENSD0001-LX")</f>
        <v>LSCENSD0001-LX</v>
      </c>
      <c r="C90" s="2">
        <f>IFERROR(__xludf.DUMMYFUNCTION("""COMPUTED_VALUE"""),10.0)</f>
        <v>10</v>
      </c>
      <c r="D90" s="2">
        <f>IFERROR(__xludf.DUMMYFUNCTION("""COMPUTED_VALUE"""),491.0)</f>
        <v>491</v>
      </c>
      <c r="E90" s="2">
        <f>IFERROR(__xludf.DUMMYFUNCTION("""COMPUTED_VALUE"""),71.0)</f>
        <v>71</v>
      </c>
      <c r="F90" s="2">
        <f>IFERROR(__xludf.DUMMYFUNCTION("""COMPUTED_VALUE"""),6.0)</f>
        <v>6</v>
      </c>
      <c r="G90" s="2">
        <f>IFERROR(__xludf.DUMMYFUNCTION("""COMPUTED_VALUE"""),0.0)</f>
        <v>0</v>
      </c>
      <c r="H90" s="2">
        <f>IFERROR(__xludf.DUMMYFUNCTION("""COMPUTED_VALUE"""),499.0)</f>
        <v>499</v>
      </c>
      <c r="I90" s="2">
        <f>IFERROR(__xludf.DUMMYFUNCTION("""COMPUTED_VALUE"""),2.0)</f>
        <v>2</v>
      </c>
    </row>
    <row r="91" ht="22.5" customHeight="1">
      <c r="A91" s="2" t="str">
        <f>IFERROR(__xludf.DUMMYFUNCTION("""COMPUTED_VALUE"""),"2026-06")</f>
        <v>2026-06</v>
      </c>
      <c r="B91" s="2" t="str">
        <f>IFERROR(__xludf.DUMMYFUNCTION("""COMPUTED_VALUE"""),"LSCENSD0001-LX")</f>
        <v>LSCENSD0001-LX</v>
      </c>
      <c r="C91" s="2">
        <f>IFERROR(__xludf.DUMMYFUNCTION("""COMPUTED_VALUE"""),2.0)</f>
        <v>2</v>
      </c>
      <c r="D91" s="2">
        <f>IFERROR(__xludf.DUMMYFUNCTION("""COMPUTED_VALUE"""),497.0)</f>
        <v>497</v>
      </c>
      <c r="E91" s="2">
        <f>IFERROR(__xludf.DUMMYFUNCTION("""COMPUTED_VALUE"""),71.0)</f>
        <v>71</v>
      </c>
      <c r="F91" s="2">
        <f>IFERROR(__xludf.DUMMYFUNCTION("""COMPUTED_VALUE"""),0.0)</f>
        <v>0</v>
      </c>
      <c r="G91" s="2">
        <f>IFERROR(__xludf.DUMMYFUNCTION("""COMPUTED_VALUE"""),0.0)</f>
        <v>0</v>
      </c>
      <c r="H91" s="2">
        <f>IFERROR(__xludf.DUMMYFUNCTION("""COMPUTED_VALUE"""),499.0)</f>
        <v>499</v>
      </c>
      <c r="I91" s="2">
        <f>IFERROR(__xludf.DUMMYFUNCTION("""COMPUTED_VALUE"""),0.0)</f>
        <v>0</v>
      </c>
    </row>
    <row r="92" ht="22.5" customHeight="1">
      <c r="A92" s="2" t="str">
        <f>IFERROR(__xludf.DUMMYFUNCTION("""COMPUTED_VALUE"""),"2026-07")</f>
        <v>2026-07</v>
      </c>
      <c r="B92" s="2" t="str">
        <f>IFERROR(__xludf.DUMMYFUNCTION("""COMPUTED_VALUE"""),"LSCENSD0001-LX")</f>
        <v>LSCENSD0001-LX</v>
      </c>
      <c r="C92" s="2">
        <f>IFERROR(__xludf.DUMMYFUNCTION("""COMPUTED_VALUE"""),0.0)</f>
        <v>0</v>
      </c>
      <c r="D92" s="2">
        <f>IFERROR(__xludf.DUMMYFUNCTION("""COMPUTED_VALUE"""),502.0)</f>
        <v>502</v>
      </c>
      <c r="E92" s="2">
        <f>IFERROR(__xludf.DUMMYFUNCTION("""COMPUTED_VALUE"""),72.0)</f>
        <v>72</v>
      </c>
      <c r="F92" s="2">
        <f>IFERROR(__xludf.DUMMYFUNCTION("""COMPUTED_VALUE"""),2.0)</f>
        <v>2</v>
      </c>
      <c r="G92" s="2">
        <f>IFERROR(__xludf.DUMMYFUNCTION("""COMPUTED_VALUE"""),0.0)</f>
        <v>0</v>
      </c>
      <c r="H92" s="2">
        <f>IFERROR(__xludf.DUMMYFUNCTION("""COMPUTED_VALUE"""),499.0)</f>
        <v>499</v>
      </c>
      <c r="I92" s="2">
        <f>IFERROR(__xludf.DUMMYFUNCTION("""COMPUTED_VALUE"""),3.0)</f>
        <v>3</v>
      </c>
    </row>
    <row r="93" ht="22.5" customHeight="1">
      <c r="A93" s="2" t="str">
        <f>IFERROR(__xludf.DUMMYFUNCTION("""COMPUTED_VALUE"""),"2026-08")</f>
        <v>2026-08</v>
      </c>
      <c r="B93" s="2" t="str">
        <f>IFERROR(__xludf.DUMMYFUNCTION("""COMPUTED_VALUE"""),"LSCENSD0001-LX")</f>
        <v>LSCENSD0001-LX</v>
      </c>
      <c r="C93" s="2">
        <f>IFERROR(__xludf.DUMMYFUNCTION("""COMPUTED_VALUE"""),3.0)</f>
        <v>3</v>
      </c>
      <c r="D93" s="2">
        <f>IFERROR(__xludf.DUMMYFUNCTION("""COMPUTED_VALUE"""),497.0)</f>
        <v>497</v>
      </c>
      <c r="E93" s="2">
        <f>IFERROR(__xludf.DUMMYFUNCTION("""COMPUTED_VALUE"""),71.0)</f>
        <v>71</v>
      </c>
      <c r="F93" s="2">
        <f>IFERROR(__xludf.DUMMYFUNCTION("""COMPUTED_VALUE"""),0.0)</f>
        <v>0</v>
      </c>
      <c r="G93" s="2">
        <f>IFERROR(__xludf.DUMMYFUNCTION("""COMPUTED_VALUE"""),0.0)</f>
        <v>0</v>
      </c>
      <c r="H93" s="2">
        <f>IFERROR(__xludf.DUMMYFUNCTION("""COMPUTED_VALUE"""),499.0)</f>
        <v>499</v>
      </c>
      <c r="I93" s="2">
        <f>IFERROR(__xludf.DUMMYFUNCTION("""COMPUTED_VALUE"""),1.0)</f>
        <v>1</v>
      </c>
    </row>
    <row r="94" ht="22.5" customHeight="1">
      <c r="A94" s="2" t="str">
        <f>IFERROR(__xludf.DUMMYFUNCTION("""COMPUTED_VALUE"""),"2026-09")</f>
        <v>2026-09</v>
      </c>
      <c r="B94" s="2" t="str">
        <f>IFERROR(__xludf.DUMMYFUNCTION("""COMPUTED_VALUE"""),"LSCENSD0001-LX")</f>
        <v>LSCENSD0001-LX</v>
      </c>
      <c r="C94" s="2">
        <f>IFERROR(__xludf.DUMMYFUNCTION("""COMPUTED_VALUE"""),1.0)</f>
        <v>1</v>
      </c>
      <c r="D94" s="2">
        <f>IFERROR(__xludf.DUMMYFUNCTION("""COMPUTED_VALUE"""),509.0)</f>
        <v>509</v>
      </c>
      <c r="E94" s="2">
        <f>IFERROR(__xludf.DUMMYFUNCTION("""COMPUTED_VALUE"""),73.0)</f>
        <v>73</v>
      </c>
      <c r="F94" s="2">
        <f>IFERROR(__xludf.DUMMYFUNCTION("""COMPUTED_VALUE"""),2.0)</f>
        <v>2</v>
      </c>
      <c r="G94" s="2">
        <f>IFERROR(__xludf.DUMMYFUNCTION("""COMPUTED_VALUE"""),0.0)</f>
        <v>0</v>
      </c>
      <c r="H94" s="2">
        <f>IFERROR(__xludf.DUMMYFUNCTION("""COMPUTED_VALUE"""),499.0)</f>
        <v>499</v>
      </c>
      <c r="I94" s="2">
        <f>IFERROR(__xludf.DUMMYFUNCTION("""COMPUTED_VALUE"""),11.0)</f>
        <v>11</v>
      </c>
    </row>
    <row r="95" ht="22.5" customHeight="1">
      <c r="A95" s="2" t="str">
        <f>IFERROR(__xludf.DUMMYFUNCTION("""COMPUTED_VALUE"""),"2026-10")</f>
        <v>2026-10</v>
      </c>
      <c r="B95" s="2" t="str">
        <f>IFERROR(__xludf.DUMMYFUNCTION("""COMPUTED_VALUE"""),"LSCENSD0001-LX")</f>
        <v>LSCENSD0001-LX</v>
      </c>
      <c r="C95" s="2">
        <f>IFERROR(__xludf.DUMMYFUNCTION("""COMPUTED_VALUE"""),11.0)</f>
        <v>11</v>
      </c>
      <c r="D95" s="2">
        <f>IFERROR(__xludf.DUMMYFUNCTION("""COMPUTED_VALUE"""),504.0)</f>
        <v>504</v>
      </c>
      <c r="E95" s="2">
        <f>IFERROR(__xludf.DUMMYFUNCTION("""COMPUTED_VALUE"""),72.0)</f>
        <v>72</v>
      </c>
      <c r="F95" s="2">
        <f>IFERROR(__xludf.DUMMYFUNCTION("""COMPUTED_VALUE"""),0.0)</f>
        <v>0</v>
      </c>
      <c r="G95" s="2">
        <f>IFERROR(__xludf.DUMMYFUNCTION("""COMPUTED_VALUE"""),0.0)</f>
        <v>0</v>
      </c>
      <c r="H95" s="2">
        <f>IFERROR(__xludf.DUMMYFUNCTION("""COMPUTED_VALUE"""),499.0)</f>
        <v>499</v>
      </c>
      <c r="I95" s="2">
        <f>IFERROR(__xludf.DUMMYFUNCTION("""COMPUTED_VALUE"""),16.0)</f>
        <v>16</v>
      </c>
    </row>
    <row r="96" ht="22.5" customHeight="1">
      <c r="A96" s="2" t="str">
        <f>IFERROR(__xludf.DUMMYFUNCTION("""COMPUTED_VALUE"""),"2026-11")</f>
        <v>2026-11</v>
      </c>
      <c r="B96" s="2" t="str">
        <f>IFERROR(__xludf.DUMMYFUNCTION("""COMPUTED_VALUE"""),"LSCENSD0001-LX")</f>
        <v>LSCENSD0001-LX</v>
      </c>
      <c r="C96" s="2">
        <f>IFERROR(__xludf.DUMMYFUNCTION("""COMPUTED_VALUE"""),16.0)</f>
        <v>16</v>
      </c>
      <c r="D96" s="2">
        <f>IFERROR(__xludf.DUMMYFUNCTION("""COMPUTED_VALUE"""),483.0)</f>
        <v>483</v>
      </c>
      <c r="E96" s="2">
        <f>IFERROR(__xludf.DUMMYFUNCTION("""COMPUTED_VALUE"""),69.0)</f>
        <v>69</v>
      </c>
      <c r="F96" s="2">
        <f>IFERROR(__xludf.DUMMYFUNCTION("""COMPUTED_VALUE"""),0.0)</f>
        <v>0</v>
      </c>
      <c r="G96" s="2">
        <f>IFERROR(__xludf.DUMMYFUNCTION("""COMPUTED_VALUE"""),0.0)</f>
        <v>0</v>
      </c>
      <c r="H96" s="2">
        <f>IFERROR(__xludf.DUMMYFUNCTION("""COMPUTED_VALUE"""),499.0)</f>
        <v>499</v>
      </c>
      <c r="I96" s="2">
        <f>IFERROR(__xludf.DUMMYFUNCTION("""COMPUTED_VALUE"""),0.0)</f>
        <v>0</v>
      </c>
    </row>
    <row r="97" ht="22.5" customHeight="1">
      <c r="A97" s="2" t="str">
        <f>IFERROR(__xludf.DUMMYFUNCTION("""COMPUTED_VALUE"""),"2026-12")</f>
        <v>2026-12</v>
      </c>
      <c r="B97" s="2" t="str">
        <f>IFERROR(__xludf.DUMMYFUNCTION("""COMPUTED_VALUE"""),"LSCENSD0001-LX")</f>
        <v>LSCENSD0001-LX</v>
      </c>
      <c r="C97" s="2">
        <f>IFERROR(__xludf.DUMMYFUNCTION("""COMPUTED_VALUE"""),0.0)</f>
        <v>0</v>
      </c>
      <c r="D97" s="2">
        <f>IFERROR(__xludf.DUMMYFUNCTION("""COMPUTED_VALUE"""),499.0)</f>
        <v>499</v>
      </c>
      <c r="E97" s="2">
        <f>IFERROR(__xludf.DUMMYFUNCTION("""COMPUTED_VALUE"""),72.0)</f>
        <v>72</v>
      </c>
      <c r="F97" s="2">
        <f>IFERROR(__xludf.DUMMYFUNCTION("""COMPUTED_VALUE"""),5.0)</f>
        <v>5</v>
      </c>
      <c r="G97" s="2">
        <f>IFERROR(__xludf.DUMMYFUNCTION("""COMPUTED_VALUE"""),0.0)</f>
        <v>0</v>
      </c>
      <c r="H97" s="2">
        <f>IFERROR(__xludf.DUMMYFUNCTION("""COMPUTED_VALUE"""),499.0)</f>
        <v>499</v>
      </c>
      <c r="I97" s="2">
        <f>IFERROR(__xludf.DUMMYFUNCTION("""COMPUTED_VALUE"""),0.0)</f>
        <v>0</v>
      </c>
    </row>
    <row r="98" ht="22.5" customHeight="1">
      <c r="A98" s="2" t="str">
        <f>IFERROR(__xludf.DUMMYFUNCTION("""COMPUTED_VALUE"""),"2026-01")</f>
        <v>2026-01</v>
      </c>
      <c r="B98" s="2" t="str">
        <f>IFERROR(__xludf.DUMMYFUNCTION("""COMPUTED_VALUE"""),"LSCENSV0006")</f>
        <v>LSCENSV0006</v>
      </c>
      <c r="C98" s="2">
        <f>IFERROR(__xludf.DUMMYFUNCTION("""COMPUTED_VALUE"""),0.0)</f>
        <v>0</v>
      </c>
      <c r="D98" s="2">
        <f>IFERROR(__xludf.DUMMYFUNCTION("""COMPUTED_VALUE"""),519.0)</f>
        <v>519</v>
      </c>
      <c r="E98" s="2">
        <f>IFERROR(__xludf.DUMMYFUNCTION("""COMPUTED_VALUE"""),52.0)</f>
        <v>52</v>
      </c>
      <c r="F98" s="2">
        <f>IFERROR(__xludf.DUMMYFUNCTION("""COMPUTED_VALUE"""),1.0)</f>
        <v>1</v>
      </c>
      <c r="G98" s="2">
        <f>IFERROR(__xludf.DUMMYFUNCTION("""COMPUTED_VALUE"""),109.0)</f>
        <v>109</v>
      </c>
      <c r="H98" s="2">
        <f>IFERROR(__xludf.DUMMYFUNCTION("""COMPUTED_VALUE"""),627.0)</f>
        <v>627</v>
      </c>
      <c r="I98" s="2">
        <f>IFERROR(__xludf.DUMMYFUNCTION("""COMPUTED_VALUE"""),1.0)</f>
        <v>1</v>
      </c>
    </row>
    <row r="99" ht="22.5" customHeight="1">
      <c r="A99" s="2" t="str">
        <f>IFERROR(__xludf.DUMMYFUNCTION("""COMPUTED_VALUE"""),"2026-02")</f>
        <v>2026-02</v>
      </c>
      <c r="B99" s="2" t="str">
        <f>IFERROR(__xludf.DUMMYFUNCTION("""COMPUTED_VALUE"""),"LSCENSV0006")</f>
        <v>LSCENSV0006</v>
      </c>
      <c r="C99" s="2">
        <f>IFERROR(__xludf.DUMMYFUNCTION("""COMPUTED_VALUE"""),1.0)</f>
        <v>1</v>
      </c>
      <c r="D99" s="2">
        <f>IFERROR(__xludf.DUMMYFUNCTION("""COMPUTED_VALUE"""),740.0)</f>
        <v>740</v>
      </c>
      <c r="E99" s="2">
        <f>IFERROR(__xludf.DUMMYFUNCTION("""COMPUTED_VALUE"""),74.0)</f>
        <v>74</v>
      </c>
      <c r="F99" s="2">
        <f>IFERROR(__xludf.DUMMYFUNCTION("""COMPUTED_VALUE"""),0.0)</f>
        <v>0</v>
      </c>
      <c r="G99" s="2">
        <f>IFERROR(__xludf.DUMMYFUNCTION("""COMPUTED_VALUE"""),1.0)</f>
        <v>1</v>
      </c>
      <c r="H99" s="2">
        <f>IFERROR(__xludf.DUMMYFUNCTION("""COMPUTED_VALUE"""),740.0)</f>
        <v>740</v>
      </c>
      <c r="I99" s="2">
        <f>IFERROR(__xludf.DUMMYFUNCTION("""COMPUTED_VALUE"""),2.0)</f>
        <v>2</v>
      </c>
    </row>
    <row r="100" ht="22.5" customHeight="1">
      <c r="A100" s="2" t="str">
        <f>IFERROR(__xludf.DUMMYFUNCTION("""COMPUTED_VALUE"""),"2026-03")</f>
        <v>2026-03</v>
      </c>
      <c r="B100" s="2" t="str">
        <f>IFERROR(__xludf.DUMMYFUNCTION("""COMPUTED_VALUE"""),"LSCENSV0006")</f>
        <v>LSCENSV0006</v>
      </c>
      <c r="C100" s="2">
        <f>IFERROR(__xludf.DUMMYFUNCTION("""COMPUTED_VALUE"""),2.0)</f>
        <v>2</v>
      </c>
      <c r="D100" s="2">
        <f>IFERROR(__xludf.DUMMYFUNCTION("""COMPUTED_VALUE"""),740.0)</f>
        <v>740</v>
      </c>
      <c r="E100" s="2">
        <f>IFERROR(__xludf.DUMMYFUNCTION("""COMPUTED_VALUE"""),74.0)</f>
        <v>74</v>
      </c>
      <c r="F100" s="2">
        <f>IFERROR(__xludf.DUMMYFUNCTION("""COMPUTED_VALUE"""),0.0)</f>
        <v>0</v>
      </c>
      <c r="G100" s="2">
        <f>IFERROR(__xludf.DUMMYFUNCTION("""COMPUTED_VALUE"""),0.0)</f>
        <v>0</v>
      </c>
      <c r="H100" s="2">
        <f>IFERROR(__xludf.DUMMYFUNCTION("""COMPUTED_VALUE"""),740.0)</f>
        <v>740</v>
      </c>
      <c r="I100" s="2">
        <f>IFERROR(__xludf.DUMMYFUNCTION("""COMPUTED_VALUE"""),2.0)</f>
        <v>2</v>
      </c>
    </row>
    <row r="101" ht="22.5" customHeight="1">
      <c r="A101" s="2" t="str">
        <f>IFERROR(__xludf.DUMMYFUNCTION("""COMPUTED_VALUE"""),"2026-04")</f>
        <v>2026-04</v>
      </c>
      <c r="B101" s="2" t="str">
        <f>IFERROR(__xludf.DUMMYFUNCTION("""COMPUTED_VALUE"""),"LSCENSV0006")</f>
        <v>LSCENSV0006</v>
      </c>
      <c r="C101" s="2">
        <f>IFERROR(__xludf.DUMMYFUNCTION("""COMPUTED_VALUE"""),2.0)</f>
        <v>2</v>
      </c>
      <c r="D101" s="2">
        <f>IFERROR(__xludf.DUMMYFUNCTION("""COMPUTED_VALUE"""),740.0)</f>
        <v>740</v>
      </c>
      <c r="E101" s="2">
        <f>IFERROR(__xludf.DUMMYFUNCTION("""COMPUTED_VALUE"""),74.0)</f>
        <v>74</v>
      </c>
      <c r="F101" s="2">
        <f>IFERROR(__xludf.DUMMYFUNCTION("""COMPUTED_VALUE"""),0.0)</f>
        <v>0</v>
      </c>
      <c r="G101" s="2">
        <f>IFERROR(__xludf.DUMMYFUNCTION("""COMPUTED_VALUE"""),0.0)</f>
        <v>0</v>
      </c>
      <c r="H101" s="2">
        <f>IFERROR(__xludf.DUMMYFUNCTION("""COMPUTED_VALUE"""),740.0)</f>
        <v>740</v>
      </c>
      <c r="I101" s="2">
        <f>IFERROR(__xludf.DUMMYFUNCTION("""COMPUTED_VALUE"""),2.0)</f>
        <v>2</v>
      </c>
    </row>
    <row r="102" ht="22.5" customHeight="1">
      <c r="A102" s="2" t="str">
        <f>IFERROR(__xludf.DUMMYFUNCTION("""COMPUTED_VALUE"""),"2026-05")</f>
        <v>2026-05</v>
      </c>
      <c r="B102" s="2" t="str">
        <f>IFERROR(__xludf.DUMMYFUNCTION("""COMPUTED_VALUE"""),"LSCENSV0006")</f>
        <v>LSCENSV0006</v>
      </c>
      <c r="C102" s="2">
        <f>IFERROR(__xludf.DUMMYFUNCTION("""COMPUTED_VALUE"""),2.0)</f>
        <v>2</v>
      </c>
      <c r="D102" s="2">
        <f>IFERROR(__xludf.DUMMYFUNCTION("""COMPUTED_VALUE"""),740.0)</f>
        <v>740</v>
      </c>
      <c r="E102" s="2">
        <f>IFERROR(__xludf.DUMMYFUNCTION("""COMPUTED_VALUE"""),74.0)</f>
        <v>74</v>
      </c>
      <c r="F102" s="2">
        <f>IFERROR(__xludf.DUMMYFUNCTION("""COMPUTED_VALUE"""),0.0)</f>
        <v>0</v>
      </c>
      <c r="G102" s="2">
        <f>IFERROR(__xludf.DUMMYFUNCTION("""COMPUTED_VALUE"""),0.0)</f>
        <v>0</v>
      </c>
      <c r="H102" s="2">
        <f>IFERROR(__xludf.DUMMYFUNCTION("""COMPUTED_VALUE"""),740.0)</f>
        <v>740</v>
      </c>
      <c r="I102" s="2">
        <f>IFERROR(__xludf.DUMMYFUNCTION("""COMPUTED_VALUE"""),2.0)</f>
        <v>2</v>
      </c>
    </row>
    <row r="103" ht="22.5" customHeight="1">
      <c r="A103" s="2" t="str">
        <f>IFERROR(__xludf.DUMMYFUNCTION("""COMPUTED_VALUE"""),"2026-06")</f>
        <v>2026-06</v>
      </c>
      <c r="B103" s="2" t="str">
        <f>IFERROR(__xludf.DUMMYFUNCTION("""COMPUTED_VALUE"""),"LSCENSV0006")</f>
        <v>LSCENSV0006</v>
      </c>
      <c r="C103" s="2">
        <f>IFERROR(__xludf.DUMMYFUNCTION("""COMPUTED_VALUE"""),2.0)</f>
        <v>2</v>
      </c>
      <c r="D103" s="2">
        <f>IFERROR(__xludf.DUMMYFUNCTION("""COMPUTED_VALUE"""),738.0)</f>
        <v>738</v>
      </c>
      <c r="E103" s="2">
        <f>IFERROR(__xludf.DUMMYFUNCTION("""COMPUTED_VALUE"""),74.0)</f>
        <v>74</v>
      </c>
      <c r="F103" s="2">
        <f>IFERROR(__xludf.DUMMYFUNCTION("""COMPUTED_VALUE"""),2.0)</f>
        <v>2</v>
      </c>
      <c r="G103" s="2">
        <f>IFERROR(__xludf.DUMMYFUNCTION("""COMPUTED_VALUE"""),0.0)</f>
        <v>0</v>
      </c>
      <c r="H103" s="2">
        <f>IFERROR(__xludf.DUMMYFUNCTION("""COMPUTED_VALUE"""),740.0)</f>
        <v>740</v>
      </c>
      <c r="I103" s="2">
        <f>IFERROR(__xludf.DUMMYFUNCTION("""COMPUTED_VALUE"""),0.0)</f>
        <v>0</v>
      </c>
    </row>
    <row r="104" ht="22.5" customHeight="1">
      <c r="A104" s="2" t="str">
        <f>IFERROR(__xludf.DUMMYFUNCTION("""COMPUTED_VALUE"""),"2026-07")</f>
        <v>2026-07</v>
      </c>
      <c r="B104" s="2" t="str">
        <f>IFERROR(__xludf.DUMMYFUNCTION("""COMPUTED_VALUE"""),"LSCENSV0006")</f>
        <v>LSCENSV0006</v>
      </c>
      <c r="C104" s="2">
        <f>IFERROR(__xludf.DUMMYFUNCTION("""COMPUTED_VALUE"""),0.0)</f>
        <v>0</v>
      </c>
      <c r="D104" s="2">
        <f>IFERROR(__xludf.DUMMYFUNCTION("""COMPUTED_VALUE"""),740.0)</f>
        <v>740</v>
      </c>
      <c r="E104" s="2">
        <f>IFERROR(__xludf.DUMMYFUNCTION("""COMPUTED_VALUE"""),74.0)</f>
        <v>74</v>
      </c>
      <c r="F104" s="2">
        <f>IFERROR(__xludf.DUMMYFUNCTION("""COMPUTED_VALUE"""),0.0)</f>
        <v>0</v>
      </c>
      <c r="G104" s="2">
        <f>IFERROR(__xludf.DUMMYFUNCTION("""COMPUTED_VALUE"""),0.0)</f>
        <v>0</v>
      </c>
      <c r="H104" s="2">
        <f>IFERROR(__xludf.DUMMYFUNCTION("""COMPUTED_VALUE"""),740.0)</f>
        <v>740</v>
      </c>
      <c r="I104" s="2">
        <f>IFERROR(__xludf.DUMMYFUNCTION("""COMPUTED_VALUE"""),0.0)</f>
        <v>0</v>
      </c>
    </row>
    <row r="105" ht="22.5" customHeight="1">
      <c r="A105" s="2" t="str">
        <f>IFERROR(__xludf.DUMMYFUNCTION("""COMPUTED_VALUE"""),"2026-08")</f>
        <v>2026-08</v>
      </c>
      <c r="B105" s="2" t="str">
        <f>IFERROR(__xludf.DUMMYFUNCTION("""COMPUTED_VALUE"""),"LSCENSV0006")</f>
        <v>LSCENSV0006</v>
      </c>
      <c r="C105" s="2">
        <f>IFERROR(__xludf.DUMMYFUNCTION("""COMPUTED_VALUE"""),0.0)</f>
        <v>0</v>
      </c>
      <c r="D105" s="2">
        <f>IFERROR(__xludf.DUMMYFUNCTION("""COMPUTED_VALUE"""),740.0)</f>
        <v>740</v>
      </c>
      <c r="E105" s="2">
        <f>IFERROR(__xludf.DUMMYFUNCTION("""COMPUTED_VALUE"""),74.0)</f>
        <v>74</v>
      </c>
      <c r="F105" s="2">
        <f>IFERROR(__xludf.DUMMYFUNCTION("""COMPUTED_VALUE"""),0.0)</f>
        <v>0</v>
      </c>
      <c r="G105" s="2">
        <f>IFERROR(__xludf.DUMMYFUNCTION("""COMPUTED_VALUE"""),0.0)</f>
        <v>0</v>
      </c>
      <c r="H105" s="2">
        <f>IFERROR(__xludf.DUMMYFUNCTION("""COMPUTED_VALUE"""),740.0)</f>
        <v>740</v>
      </c>
      <c r="I105" s="2">
        <f>IFERROR(__xludf.DUMMYFUNCTION("""COMPUTED_VALUE"""),0.0)</f>
        <v>0</v>
      </c>
    </row>
    <row r="106" ht="22.5" customHeight="1">
      <c r="A106" s="2" t="str">
        <f>IFERROR(__xludf.DUMMYFUNCTION("""COMPUTED_VALUE"""),"2026-09")</f>
        <v>2026-09</v>
      </c>
      <c r="B106" s="2" t="str">
        <f>IFERROR(__xludf.DUMMYFUNCTION("""COMPUTED_VALUE"""),"LSCENSV0006")</f>
        <v>LSCENSV0006</v>
      </c>
      <c r="C106" s="2">
        <f>IFERROR(__xludf.DUMMYFUNCTION("""COMPUTED_VALUE"""),0.0)</f>
        <v>0</v>
      </c>
      <c r="D106" s="2">
        <f>IFERROR(__xludf.DUMMYFUNCTION("""COMPUTED_VALUE"""),750.0)</f>
        <v>750</v>
      </c>
      <c r="E106" s="2">
        <f>IFERROR(__xludf.DUMMYFUNCTION("""COMPUTED_VALUE"""),75.0)</f>
        <v>75</v>
      </c>
      <c r="F106" s="2">
        <f>IFERROR(__xludf.DUMMYFUNCTION("""COMPUTED_VALUE"""),0.0)</f>
        <v>0</v>
      </c>
      <c r="G106" s="2">
        <f>IFERROR(__xludf.DUMMYFUNCTION("""COMPUTED_VALUE"""),0.0)</f>
        <v>0</v>
      </c>
      <c r="H106" s="2">
        <f>IFERROR(__xludf.DUMMYFUNCTION("""COMPUTED_VALUE"""),740.0)</f>
        <v>740</v>
      </c>
      <c r="I106" s="2">
        <f>IFERROR(__xludf.DUMMYFUNCTION("""COMPUTED_VALUE"""),10.0)</f>
        <v>10</v>
      </c>
    </row>
    <row r="107" ht="22.5" customHeight="1">
      <c r="A107" s="2" t="str">
        <f>IFERROR(__xludf.DUMMYFUNCTION("""COMPUTED_VALUE"""),"2026-10")</f>
        <v>2026-10</v>
      </c>
      <c r="B107" s="2" t="str">
        <f>IFERROR(__xludf.DUMMYFUNCTION("""COMPUTED_VALUE"""),"LSCENSV0006")</f>
        <v>LSCENSV0006</v>
      </c>
      <c r="C107" s="2">
        <f>IFERROR(__xludf.DUMMYFUNCTION("""COMPUTED_VALUE"""),10.0)</f>
        <v>10</v>
      </c>
      <c r="D107" s="2">
        <f>IFERROR(__xludf.DUMMYFUNCTION("""COMPUTED_VALUE"""),740.0)</f>
        <v>740</v>
      </c>
      <c r="E107" s="2">
        <f>IFERROR(__xludf.DUMMYFUNCTION("""COMPUTED_VALUE"""),74.0)</f>
        <v>74</v>
      </c>
      <c r="F107" s="2">
        <f>IFERROR(__xludf.DUMMYFUNCTION("""COMPUTED_VALUE"""),0.0)</f>
        <v>0</v>
      </c>
      <c r="G107" s="2">
        <f>IFERROR(__xludf.DUMMYFUNCTION("""COMPUTED_VALUE"""),0.0)</f>
        <v>0</v>
      </c>
      <c r="H107" s="2">
        <f>IFERROR(__xludf.DUMMYFUNCTION("""COMPUTED_VALUE"""),740.0)</f>
        <v>740</v>
      </c>
      <c r="I107" s="2">
        <f>IFERROR(__xludf.DUMMYFUNCTION("""COMPUTED_VALUE"""),10.0)</f>
        <v>10</v>
      </c>
    </row>
    <row r="108" ht="22.5" customHeight="1">
      <c r="A108" s="2" t="str">
        <f>IFERROR(__xludf.DUMMYFUNCTION("""COMPUTED_VALUE"""),"2026-11")</f>
        <v>2026-11</v>
      </c>
      <c r="B108" s="2" t="str">
        <f>IFERROR(__xludf.DUMMYFUNCTION("""COMPUTED_VALUE"""),"LSCENSV0006")</f>
        <v>LSCENSV0006</v>
      </c>
      <c r="C108" s="2">
        <f>IFERROR(__xludf.DUMMYFUNCTION("""COMPUTED_VALUE"""),10.0)</f>
        <v>10</v>
      </c>
      <c r="D108" s="2">
        <f>IFERROR(__xludf.DUMMYFUNCTION("""COMPUTED_VALUE"""),731.0)</f>
        <v>731</v>
      </c>
      <c r="E108" s="2">
        <f>IFERROR(__xludf.DUMMYFUNCTION("""COMPUTED_VALUE"""),74.0)</f>
        <v>74</v>
      </c>
      <c r="F108" s="2">
        <f>IFERROR(__xludf.DUMMYFUNCTION("""COMPUTED_VALUE"""),9.0)</f>
        <v>9</v>
      </c>
      <c r="G108" s="2">
        <f>IFERROR(__xludf.DUMMYFUNCTION("""COMPUTED_VALUE"""),0.0)</f>
        <v>0</v>
      </c>
      <c r="H108" s="2">
        <f>IFERROR(__xludf.DUMMYFUNCTION("""COMPUTED_VALUE"""),740.0)</f>
        <v>740</v>
      </c>
      <c r="I108" s="2">
        <f>IFERROR(__xludf.DUMMYFUNCTION("""COMPUTED_VALUE"""),1.0)</f>
        <v>1</v>
      </c>
    </row>
    <row r="109" ht="22.5" customHeight="1">
      <c r="A109" s="2" t="str">
        <f>IFERROR(__xludf.DUMMYFUNCTION("""COMPUTED_VALUE"""),"2026-12")</f>
        <v>2026-12</v>
      </c>
      <c r="B109" s="2" t="str">
        <f>IFERROR(__xludf.DUMMYFUNCTION("""COMPUTED_VALUE"""),"LSCENSV0006")</f>
        <v>LSCENSV0006</v>
      </c>
      <c r="C109" s="2">
        <f>IFERROR(__xludf.DUMMYFUNCTION("""COMPUTED_VALUE"""),1.0)</f>
        <v>1</v>
      </c>
      <c r="D109" s="2">
        <f>IFERROR(__xludf.DUMMYFUNCTION("""COMPUTED_VALUE"""),740.0)</f>
        <v>740</v>
      </c>
      <c r="E109" s="2">
        <f>IFERROR(__xludf.DUMMYFUNCTION("""COMPUTED_VALUE"""),74.0)</f>
        <v>74</v>
      </c>
      <c r="F109" s="2">
        <f>IFERROR(__xludf.DUMMYFUNCTION("""COMPUTED_VALUE"""),0.0)</f>
        <v>0</v>
      </c>
      <c r="G109" s="2">
        <f>IFERROR(__xludf.DUMMYFUNCTION("""COMPUTED_VALUE"""),0.0)</f>
        <v>0</v>
      </c>
      <c r="H109" s="2">
        <f>IFERROR(__xludf.DUMMYFUNCTION("""COMPUTED_VALUE"""),740.0)</f>
        <v>740</v>
      </c>
      <c r="I109" s="2">
        <f>IFERROR(__xludf.DUMMYFUNCTION("""COMPUTED_VALUE"""),1.0)</f>
        <v>1</v>
      </c>
    </row>
    <row r="110" ht="22.5" customHeight="1">
      <c r="A110" s="2" t="str">
        <f>IFERROR(__xludf.DUMMYFUNCTION("""COMPUTED_VALUE"""),"2026-01")</f>
        <v>2026-01</v>
      </c>
      <c r="B110" s="2" t="str">
        <f>IFERROR(__xludf.DUMMYFUNCTION("""COMPUTED_VALUE"""),"LSCENSV0006-LX")</f>
        <v>LSCENSV0006-LX</v>
      </c>
      <c r="C110" s="2">
        <f>IFERROR(__xludf.DUMMYFUNCTION("""COMPUTED_VALUE"""),0.0)</f>
        <v>0</v>
      </c>
      <c r="D110" s="2">
        <f>IFERROR(__xludf.DUMMYFUNCTION("""COMPUTED_VALUE"""),371.0)</f>
        <v>371</v>
      </c>
      <c r="E110" s="2">
        <f>IFERROR(__xludf.DUMMYFUNCTION("""COMPUTED_VALUE"""),53.0)</f>
        <v>53</v>
      </c>
      <c r="F110" s="2">
        <f>IFERROR(__xludf.DUMMYFUNCTION("""COMPUTED_VALUE"""),0.0)</f>
        <v>0</v>
      </c>
      <c r="G110" s="2">
        <f>IFERROR(__xludf.DUMMYFUNCTION("""COMPUTED_VALUE"""),19.0)</f>
        <v>19</v>
      </c>
      <c r="H110" s="2">
        <f>IFERROR(__xludf.DUMMYFUNCTION("""COMPUTED_VALUE"""),380.0)</f>
        <v>380</v>
      </c>
      <c r="I110" s="2">
        <f>IFERROR(__xludf.DUMMYFUNCTION("""COMPUTED_VALUE"""),10.0)</f>
        <v>10</v>
      </c>
    </row>
    <row r="111" ht="22.5" customHeight="1">
      <c r="A111" s="2" t="str">
        <f>IFERROR(__xludf.DUMMYFUNCTION("""COMPUTED_VALUE"""),"2026-02")</f>
        <v>2026-02</v>
      </c>
      <c r="B111" s="2" t="str">
        <f>IFERROR(__xludf.DUMMYFUNCTION("""COMPUTED_VALUE"""),"LSCENSV0006-LX")</f>
        <v>LSCENSV0006-LX</v>
      </c>
      <c r="C111" s="2">
        <f>IFERROR(__xludf.DUMMYFUNCTION("""COMPUTED_VALUE"""),10.0)</f>
        <v>10</v>
      </c>
      <c r="D111" s="2">
        <f>IFERROR(__xludf.DUMMYFUNCTION("""COMPUTED_VALUE"""),513.0)</f>
        <v>513</v>
      </c>
      <c r="E111" s="2">
        <f>IFERROR(__xludf.DUMMYFUNCTION("""COMPUTED_VALUE"""),74.0)</f>
        <v>74</v>
      </c>
      <c r="F111" s="2">
        <f>IFERROR(__xludf.DUMMYFUNCTION("""COMPUTED_VALUE"""),5.0)</f>
        <v>5</v>
      </c>
      <c r="G111" s="2">
        <f>IFERROR(__xludf.DUMMYFUNCTION("""COMPUTED_VALUE"""),2.0)</f>
        <v>2</v>
      </c>
      <c r="H111" s="2">
        <f>IFERROR(__xludf.DUMMYFUNCTION("""COMPUTED_VALUE"""),492.0)</f>
        <v>492</v>
      </c>
      <c r="I111" s="2">
        <f>IFERROR(__xludf.DUMMYFUNCTION("""COMPUTED_VALUE"""),33.0)</f>
        <v>33</v>
      </c>
    </row>
    <row r="112" ht="22.5" customHeight="1">
      <c r="A112" s="2" t="str">
        <f>IFERROR(__xludf.DUMMYFUNCTION("""COMPUTED_VALUE"""),"2026-03")</f>
        <v>2026-03</v>
      </c>
      <c r="B112" s="2" t="str">
        <f>IFERROR(__xludf.DUMMYFUNCTION("""COMPUTED_VALUE"""),"LSCENSV0006-LX")</f>
        <v>LSCENSV0006-LX</v>
      </c>
      <c r="C112" s="2">
        <f>IFERROR(__xludf.DUMMYFUNCTION("""COMPUTED_VALUE"""),33.0)</f>
        <v>33</v>
      </c>
      <c r="D112" s="2">
        <f>IFERROR(__xludf.DUMMYFUNCTION("""COMPUTED_VALUE"""),475.0)</f>
        <v>475</v>
      </c>
      <c r="E112" s="2">
        <f>IFERROR(__xludf.DUMMYFUNCTION("""COMPUTED_VALUE"""),68.0)</f>
        <v>68</v>
      </c>
      <c r="F112" s="2">
        <f>IFERROR(__xludf.DUMMYFUNCTION("""COMPUTED_VALUE"""),1.0)</f>
        <v>1</v>
      </c>
      <c r="G112" s="2">
        <f>IFERROR(__xludf.DUMMYFUNCTION("""COMPUTED_VALUE"""),0.0)</f>
        <v>0</v>
      </c>
      <c r="H112" s="2">
        <f>IFERROR(__xludf.DUMMYFUNCTION("""COMPUTED_VALUE"""),492.0)</f>
        <v>492</v>
      </c>
      <c r="I112" s="2">
        <f>IFERROR(__xludf.DUMMYFUNCTION("""COMPUTED_VALUE"""),16.0)</f>
        <v>16</v>
      </c>
    </row>
    <row r="113" ht="22.5" customHeight="1">
      <c r="A113" s="2" t="str">
        <f>IFERROR(__xludf.DUMMYFUNCTION("""COMPUTED_VALUE"""),"2026-04")</f>
        <v>2026-04</v>
      </c>
      <c r="B113" s="2" t="str">
        <f>IFERROR(__xludf.DUMMYFUNCTION("""COMPUTED_VALUE"""),"LSCENSV0006-LX")</f>
        <v>LSCENSV0006-LX</v>
      </c>
      <c r="C113" s="2">
        <f>IFERROR(__xludf.DUMMYFUNCTION("""COMPUTED_VALUE"""),16.0)</f>
        <v>16</v>
      </c>
      <c r="D113" s="2">
        <f>IFERROR(__xludf.DUMMYFUNCTION("""COMPUTED_VALUE"""),483.0)</f>
        <v>483</v>
      </c>
      <c r="E113" s="2">
        <f>IFERROR(__xludf.DUMMYFUNCTION("""COMPUTED_VALUE"""),69.0)</f>
        <v>69</v>
      </c>
      <c r="F113" s="2">
        <f>IFERROR(__xludf.DUMMYFUNCTION("""COMPUTED_VALUE"""),0.0)</f>
        <v>0</v>
      </c>
      <c r="G113" s="2">
        <f>IFERROR(__xludf.DUMMYFUNCTION("""COMPUTED_VALUE"""),0.0)</f>
        <v>0</v>
      </c>
      <c r="H113" s="2">
        <f>IFERROR(__xludf.DUMMYFUNCTION("""COMPUTED_VALUE"""),492.0)</f>
        <v>492</v>
      </c>
      <c r="I113" s="2">
        <f>IFERROR(__xludf.DUMMYFUNCTION("""COMPUTED_VALUE"""),7.0)</f>
        <v>7</v>
      </c>
    </row>
    <row r="114" ht="22.5" customHeight="1">
      <c r="A114" s="2" t="str">
        <f>IFERROR(__xludf.DUMMYFUNCTION("""COMPUTED_VALUE"""),"2026-05")</f>
        <v>2026-05</v>
      </c>
      <c r="B114" s="2" t="str">
        <f>IFERROR(__xludf.DUMMYFUNCTION("""COMPUTED_VALUE"""),"LSCENSV0006-LX")</f>
        <v>LSCENSV0006-LX</v>
      </c>
      <c r="C114" s="2">
        <f>IFERROR(__xludf.DUMMYFUNCTION("""COMPUTED_VALUE"""),7.0)</f>
        <v>7</v>
      </c>
      <c r="D114" s="2">
        <f>IFERROR(__xludf.DUMMYFUNCTION("""COMPUTED_VALUE"""),490.0)</f>
        <v>490</v>
      </c>
      <c r="E114" s="2">
        <f>IFERROR(__xludf.DUMMYFUNCTION("""COMPUTED_VALUE"""),70.0)</f>
        <v>70</v>
      </c>
      <c r="F114" s="2">
        <f>IFERROR(__xludf.DUMMYFUNCTION("""COMPUTED_VALUE"""),0.0)</f>
        <v>0</v>
      </c>
      <c r="G114" s="2">
        <f>IFERROR(__xludf.DUMMYFUNCTION("""COMPUTED_VALUE"""),0.0)</f>
        <v>0</v>
      </c>
      <c r="H114" s="2">
        <f>IFERROR(__xludf.DUMMYFUNCTION("""COMPUTED_VALUE"""),492.0)</f>
        <v>492</v>
      </c>
      <c r="I114" s="2">
        <f>IFERROR(__xludf.DUMMYFUNCTION("""COMPUTED_VALUE"""),5.0)</f>
        <v>5</v>
      </c>
    </row>
    <row r="115" ht="22.5" customHeight="1">
      <c r="A115" s="2" t="str">
        <f>IFERROR(__xludf.DUMMYFUNCTION("""COMPUTED_VALUE"""),"2026-06")</f>
        <v>2026-06</v>
      </c>
      <c r="B115" s="2" t="str">
        <f>IFERROR(__xludf.DUMMYFUNCTION("""COMPUTED_VALUE"""),"LSCENSV0006-LX")</f>
        <v>LSCENSV0006-LX</v>
      </c>
      <c r="C115" s="2">
        <f>IFERROR(__xludf.DUMMYFUNCTION("""COMPUTED_VALUE"""),5.0)</f>
        <v>5</v>
      </c>
      <c r="D115" s="2">
        <f>IFERROR(__xludf.DUMMYFUNCTION("""COMPUTED_VALUE"""),489.0)</f>
        <v>489</v>
      </c>
      <c r="E115" s="2">
        <f>IFERROR(__xludf.DUMMYFUNCTION("""COMPUTED_VALUE"""),70.0)</f>
        <v>70</v>
      </c>
      <c r="F115" s="2">
        <f>IFERROR(__xludf.DUMMYFUNCTION("""COMPUTED_VALUE"""),1.0)</f>
        <v>1</v>
      </c>
      <c r="G115" s="2">
        <f>IFERROR(__xludf.DUMMYFUNCTION("""COMPUTED_VALUE"""),0.0)</f>
        <v>0</v>
      </c>
      <c r="H115" s="2">
        <f>IFERROR(__xludf.DUMMYFUNCTION("""COMPUTED_VALUE"""),492.0)</f>
        <v>492</v>
      </c>
      <c r="I115" s="2">
        <f>IFERROR(__xludf.DUMMYFUNCTION("""COMPUTED_VALUE"""),2.0)</f>
        <v>2</v>
      </c>
    </row>
    <row r="116" ht="22.5" customHeight="1">
      <c r="A116" s="2" t="str">
        <f>IFERROR(__xludf.DUMMYFUNCTION("""COMPUTED_VALUE"""),"2026-07")</f>
        <v>2026-07</v>
      </c>
      <c r="B116" s="2" t="str">
        <f>IFERROR(__xludf.DUMMYFUNCTION("""COMPUTED_VALUE"""),"LSCENSV0006-LX")</f>
        <v>LSCENSV0006-LX</v>
      </c>
      <c r="C116" s="2">
        <f>IFERROR(__xludf.DUMMYFUNCTION("""COMPUTED_VALUE"""),2.0)</f>
        <v>2</v>
      </c>
      <c r="D116" s="2">
        <f>IFERROR(__xludf.DUMMYFUNCTION("""COMPUTED_VALUE"""),504.0)</f>
        <v>504</v>
      </c>
      <c r="E116" s="2">
        <f>IFERROR(__xludf.DUMMYFUNCTION("""COMPUTED_VALUE"""),72.0)</f>
        <v>72</v>
      </c>
      <c r="F116" s="2">
        <f>IFERROR(__xludf.DUMMYFUNCTION("""COMPUTED_VALUE"""),0.0)</f>
        <v>0</v>
      </c>
      <c r="G116" s="2">
        <f>IFERROR(__xludf.DUMMYFUNCTION("""COMPUTED_VALUE"""),0.0)</f>
        <v>0</v>
      </c>
      <c r="H116" s="2">
        <f>IFERROR(__xludf.DUMMYFUNCTION("""COMPUTED_VALUE"""),492.0)</f>
        <v>492</v>
      </c>
      <c r="I116" s="2">
        <f>IFERROR(__xludf.DUMMYFUNCTION("""COMPUTED_VALUE"""),14.0)</f>
        <v>14</v>
      </c>
    </row>
    <row r="117" ht="22.5" customHeight="1">
      <c r="A117" s="2" t="str">
        <f>IFERROR(__xludf.DUMMYFUNCTION("""COMPUTED_VALUE"""),"2026-08")</f>
        <v>2026-08</v>
      </c>
      <c r="B117" s="2" t="str">
        <f>IFERROR(__xludf.DUMMYFUNCTION("""COMPUTED_VALUE"""),"LSCENSV0006-LX")</f>
        <v>LSCENSV0006-LX</v>
      </c>
      <c r="C117" s="2">
        <f>IFERROR(__xludf.DUMMYFUNCTION("""COMPUTED_VALUE"""),14.0)</f>
        <v>14</v>
      </c>
      <c r="D117" s="2">
        <f>IFERROR(__xludf.DUMMYFUNCTION("""COMPUTED_VALUE"""),497.0)</f>
        <v>497</v>
      </c>
      <c r="E117" s="2">
        <f>IFERROR(__xludf.DUMMYFUNCTION("""COMPUTED_VALUE"""),71.0)</f>
        <v>71</v>
      </c>
      <c r="F117" s="2">
        <f>IFERROR(__xludf.DUMMYFUNCTION("""COMPUTED_VALUE"""),0.0)</f>
        <v>0</v>
      </c>
      <c r="G117" s="2">
        <f>IFERROR(__xludf.DUMMYFUNCTION("""COMPUTED_VALUE"""),0.0)</f>
        <v>0</v>
      </c>
      <c r="H117" s="2">
        <f>IFERROR(__xludf.DUMMYFUNCTION("""COMPUTED_VALUE"""),492.0)</f>
        <v>492</v>
      </c>
      <c r="I117" s="2">
        <f>IFERROR(__xludf.DUMMYFUNCTION("""COMPUTED_VALUE"""),19.0)</f>
        <v>19</v>
      </c>
    </row>
    <row r="118" ht="22.5" customHeight="1">
      <c r="A118" s="2" t="str">
        <f>IFERROR(__xludf.DUMMYFUNCTION("""COMPUTED_VALUE"""),"2026-09")</f>
        <v>2026-09</v>
      </c>
      <c r="B118" s="2" t="str">
        <f>IFERROR(__xludf.DUMMYFUNCTION("""COMPUTED_VALUE"""),"LSCENSV0006-LX")</f>
        <v>LSCENSV0006-LX</v>
      </c>
      <c r="C118" s="2">
        <f>IFERROR(__xludf.DUMMYFUNCTION("""COMPUTED_VALUE"""),19.0)</f>
        <v>19</v>
      </c>
      <c r="D118" s="2">
        <f>IFERROR(__xludf.DUMMYFUNCTION("""COMPUTED_VALUE"""),476.0)</f>
        <v>476</v>
      </c>
      <c r="E118" s="2">
        <f>IFERROR(__xludf.DUMMYFUNCTION("""COMPUTED_VALUE"""),68.0)</f>
        <v>68</v>
      </c>
      <c r="F118" s="2">
        <f>IFERROR(__xludf.DUMMYFUNCTION("""COMPUTED_VALUE"""),0.0)</f>
        <v>0</v>
      </c>
      <c r="G118" s="2">
        <f>IFERROR(__xludf.DUMMYFUNCTION("""COMPUTED_VALUE"""),0.0)</f>
        <v>0</v>
      </c>
      <c r="H118" s="2">
        <f>IFERROR(__xludf.DUMMYFUNCTION("""COMPUTED_VALUE"""),492.0)</f>
        <v>492</v>
      </c>
      <c r="I118" s="2">
        <f>IFERROR(__xludf.DUMMYFUNCTION("""COMPUTED_VALUE"""),3.0)</f>
        <v>3</v>
      </c>
    </row>
    <row r="119" ht="22.5" customHeight="1">
      <c r="A119" s="2" t="str">
        <f>IFERROR(__xludf.DUMMYFUNCTION("""COMPUTED_VALUE"""),"2026-10")</f>
        <v>2026-10</v>
      </c>
      <c r="B119" s="2" t="str">
        <f>IFERROR(__xludf.DUMMYFUNCTION("""COMPUTED_VALUE"""),"LSCENSV0006-LX")</f>
        <v>LSCENSV0006-LX</v>
      </c>
      <c r="C119" s="2">
        <f>IFERROR(__xludf.DUMMYFUNCTION("""COMPUTED_VALUE"""),3.0)</f>
        <v>3</v>
      </c>
      <c r="D119" s="2">
        <f>IFERROR(__xludf.DUMMYFUNCTION("""COMPUTED_VALUE"""),490.0)</f>
        <v>490</v>
      </c>
      <c r="E119" s="2">
        <f>IFERROR(__xludf.DUMMYFUNCTION("""COMPUTED_VALUE"""),70.0)</f>
        <v>70</v>
      </c>
      <c r="F119" s="2">
        <f>IFERROR(__xludf.DUMMYFUNCTION("""COMPUTED_VALUE"""),0.0)</f>
        <v>0</v>
      </c>
      <c r="G119" s="2">
        <f>IFERROR(__xludf.DUMMYFUNCTION("""COMPUTED_VALUE"""),0.0)</f>
        <v>0</v>
      </c>
      <c r="H119" s="2">
        <f>IFERROR(__xludf.DUMMYFUNCTION("""COMPUTED_VALUE"""),492.0)</f>
        <v>492</v>
      </c>
      <c r="I119" s="2">
        <f>IFERROR(__xludf.DUMMYFUNCTION("""COMPUTED_VALUE"""),1.0)</f>
        <v>1</v>
      </c>
    </row>
    <row r="120" ht="22.5" customHeight="1">
      <c r="A120" s="2" t="str">
        <f>IFERROR(__xludf.DUMMYFUNCTION("""COMPUTED_VALUE"""),"2026-11")</f>
        <v>2026-11</v>
      </c>
      <c r="B120" s="2" t="str">
        <f>IFERROR(__xludf.DUMMYFUNCTION("""COMPUTED_VALUE"""),"LSCENSV0006-LX")</f>
        <v>LSCENSV0006-LX</v>
      </c>
      <c r="C120" s="2">
        <f>IFERROR(__xludf.DUMMYFUNCTION("""COMPUTED_VALUE"""),1.0)</f>
        <v>1</v>
      </c>
      <c r="D120" s="2">
        <f>IFERROR(__xludf.DUMMYFUNCTION("""COMPUTED_VALUE"""),500.0)</f>
        <v>500</v>
      </c>
      <c r="E120" s="2">
        <f>IFERROR(__xludf.DUMMYFUNCTION("""COMPUTED_VALUE"""),72.0)</f>
        <v>72</v>
      </c>
      <c r="F120" s="2">
        <f>IFERROR(__xludf.DUMMYFUNCTION("""COMPUTED_VALUE"""),4.0)</f>
        <v>4</v>
      </c>
      <c r="G120" s="2">
        <f>IFERROR(__xludf.DUMMYFUNCTION("""COMPUTED_VALUE"""),0.0)</f>
        <v>0</v>
      </c>
      <c r="H120" s="2">
        <f>IFERROR(__xludf.DUMMYFUNCTION("""COMPUTED_VALUE"""),492.0)</f>
        <v>492</v>
      </c>
      <c r="I120" s="2">
        <f>IFERROR(__xludf.DUMMYFUNCTION("""COMPUTED_VALUE"""),9.0)</f>
        <v>9</v>
      </c>
    </row>
    <row r="121" ht="22.5" customHeight="1">
      <c r="A121" s="2" t="str">
        <f>IFERROR(__xludf.DUMMYFUNCTION("""COMPUTED_VALUE"""),"2026-12")</f>
        <v>2026-12</v>
      </c>
      <c r="B121" s="2" t="str">
        <f>IFERROR(__xludf.DUMMYFUNCTION("""COMPUTED_VALUE"""),"LSCENSV0006-LX")</f>
        <v>LSCENSV0006-LX</v>
      </c>
      <c r="C121" s="2">
        <f>IFERROR(__xludf.DUMMYFUNCTION("""COMPUTED_VALUE"""),9.0)</f>
        <v>9</v>
      </c>
      <c r="D121" s="2">
        <f>IFERROR(__xludf.DUMMYFUNCTION("""COMPUTED_VALUE"""),483.0)</f>
        <v>483</v>
      </c>
      <c r="E121" s="2">
        <f>IFERROR(__xludf.DUMMYFUNCTION("""COMPUTED_VALUE"""),69.0)</f>
        <v>69</v>
      </c>
      <c r="F121" s="2">
        <f>IFERROR(__xludf.DUMMYFUNCTION("""COMPUTED_VALUE"""),0.0)</f>
        <v>0</v>
      </c>
      <c r="G121" s="2">
        <f>IFERROR(__xludf.DUMMYFUNCTION("""COMPUTED_VALUE"""),0.0)</f>
        <v>0</v>
      </c>
      <c r="H121" s="2">
        <f>IFERROR(__xludf.DUMMYFUNCTION("""COMPUTED_VALUE"""),492.0)</f>
        <v>492</v>
      </c>
      <c r="I121" s="2">
        <f>IFERROR(__xludf.DUMMYFUNCTION("""COMPUTED_VALUE"""),0.0)</f>
        <v>0</v>
      </c>
    </row>
    <row r="122" ht="22.5" customHeight="1">
      <c r="A122" s="2" t="str">
        <f>IFERROR(__xludf.DUMMYFUNCTION("""COMPUTED_VALUE"""),"2026-01")</f>
        <v>2026-01</v>
      </c>
      <c r="B122" s="2" t="str">
        <f>IFERROR(__xludf.DUMMYFUNCTION("""COMPUTED_VALUE"""),"LSCHSV0008")</f>
        <v>LSCHSV0008</v>
      </c>
      <c r="C122" s="2">
        <f>IFERROR(__xludf.DUMMYFUNCTION("""COMPUTED_VALUE"""),0.0)</f>
        <v>0</v>
      </c>
      <c r="D122" s="2">
        <f>IFERROR(__xludf.DUMMYFUNCTION("""COMPUTED_VALUE"""),0.0)</f>
        <v>0</v>
      </c>
      <c r="E122" s="2">
        <f>IFERROR(__xludf.DUMMYFUNCTION("""COMPUTED_VALUE"""),0.0)</f>
        <v>0</v>
      </c>
      <c r="F122" s="2">
        <f>IFERROR(__xludf.DUMMYFUNCTION("""COMPUTED_VALUE"""),0.0)</f>
        <v>0</v>
      </c>
      <c r="G122" s="2">
        <f>IFERROR(__xludf.DUMMYFUNCTION("""COMPUTED_VALUE"""),629.0)</f>
        <v>629</v>
      </c>
      <c r="H122" s="2">
        <f>IFERROR(__xludf.DUMMYFUNCTION("""COMPUTED_VALUE"""),627.0)</f>
        <v>627</v>
      </c>
      <c r="I122" s="2">
        <f>IFERROR(__xludf.DUMMYFUNCTION("""COMPUTED_VALUE"""),2.0)</f>
        <v>2</v>
      </c>
    </row>
    <row r="123" ht="22.5" customHeight="1">
      <c r="A123" s="2" t="str">
        <f>IFERROR(__xludf.DUMMYFUNCTION("""COMPUTED_VALUE"""),"2026-02")</f>
        <v>2026-02</v>
      </c>
      <c r="B123" s="2" t="str">
        <f>IFERROR(__xludf.DUMMYFUNCTION("""COMPUTED_VALUE"""),"LSCHSV0008")</f>
        <v>LSCHSV0008</v>
      </c>
      <c r="C123" s="2">
        <f>IFERROR(__xludf.DUMMYFUNCTION("""COMPUTED_VALUE"""),2.0)</f>
        <v>2</v>
      </c>
      <c r="D123" s="2">
        <f>IFERROR(__xludf.DUMMYFUNCTION("""COMPUTED_VALUE"""),426.0)</f>
        <v>426</v>
      </c>
      <c r="E123" s="2">
        <f>IFERROR(__xludf.DUMMYFUNCTION("""COMPUTED_VALUE"""),22.0)</f>
        <v>22</v>
      </c>
      <c r="F123" s="2">
        <f>IFERROR(__xludf.DUMMYFUNCTION("""COMPUTED_VALUE"""),14.0)</f>
        <v>14</v>
      </c>
      <c r="G123" s="2">
        <f>IFERROR(__xludf.DUMMYFUNCTION("""COMPUTED_VALUE"""),312.0)</f>
        <v>312</v>
      </c>
      <c r="H123" s="2">
        <f>IFERROR(__xludf.DUMMYFUNCTION("""COMPUTED_VALUE"""),740.0)</f>
        <v>740</v>
      </c>
      <c r="I123" s="2">
        <f>IFERROR(__xludf.DUMMYFUNCTION("""COMPUTED_VALUE"""),0.0)</f>
        <v>0</v>
      </c>
    </row>
    <row r="124" ht="22.5" customHeight="1">
      <c r="A124" s="2" t="str">
        <f>IFERROR(__xludf.DUMMYFUNCTION("""COMPUTED_VALUE"""),"2026-03")</f>
        <v>2026-03</v>
      </c>
      <c r="B124" s="2" t="str">
        <f>IFERROR(__xludf.DUMMYFUNCTION("""COMPUTED_VALUE"""),"LSCHSV0008")</f>
        <v>LSCHSV0008</v>
      </c>
      <c r="C124" s="2">
        <f>IFERROR(__xludf.DUMMYFUNCTION("""COMPUTED_VALUE"""),0.0)</f>
        <v>0</v>
      </c>
      <c r="D124" s="2">
        <f>IFERROR(__xludf.DUMMYFUNCTION("""COMPUTED_VALUE"""),760.0)</f>
        <v>760</v>
      </c>
      <c r="E124" s="2">
        <f>IFERROR(__xludf.DUMMYFUNCTION("""COMPUTED_VALUE"""),38.0)</f>
        <v>38</v>
      </c>
      <c r="F124" s="2">
        <f>IFERROR(__xludf.DUMMYFUNCTION("""COMPUTED_VALUE"""),0.0)</f>
        <v>0</v>
      </c>
      <c r="G124" s="2">
        <f>IFERROR(__xludf.DUMMYFUNCTION("""COMPUTED_VALUE"""),0.0)</f>
        <v>0</v>
      </c>
      <c r="H124" s="2">
        <f>IFERROR(__xludf.DUMMYFUNCTION("""COMPUTED_VALUE"""),740.0)</f>
        <v>740</v>
      </c>
      <c r="I124" s="2">
        <f>IFERROR(__xludf.DUMMYFUNCTION("""COMPUTED_VALUE"""),20.0)</f>
        <v>20</v>
      </c>
    </row>
    <row r="125" ht="22.5" customHeight="1">
      <c r="A125" s="2" t="str">
        <f>IFERROR(__xludf.DUMMYFUNCTION("""COMPUTED_VALUE"""),"2026-04")</f>
        <v>2026-04</v>
      </c>
      <c r="B125" s="2" t="str">
        <f>IFERROR(__xludf.DUMMYFUNCTION("""COMPUTED_VALUE"""),"LSCHSV0008")</f>
        <v>LSCHSV0008</v>
      </c>
      <c r="C125" s="2">
        <f>IFERROR(__xludf.DUMMYFUNCTION("""COMPUTED_VALUE"""),20.0)</f>
        <v>20</v>
      </c>
      <c r="D125" s="2">
        <f>IFERROR(__xludf.DUMMYFUNCTION("""COMPUTED_VALUE"""),720.0)</f>
        <v>720</v>
      </c>
      <c r="E125" s="2">
        <f>IFERROR(__xludf.DUMMYFUNCTION("""COMPUTED_VALUE"""),36.0)</f>
        <v>36</v>
      </c>
      <c r="F125" s="2">
        <f>IFERROR(__xludf.DUMMYFUNCTION("""COMPUTED_VALUE"""),0.0)</f>
        <v>0</v>
      </c>
      <c r="G125" s="2">
        <f>IFERROR(__xludf.DUMMYFUNCTION("""COMPUTED_VALUE"""),0.0)</f>
        <v>0</v>
      </c>
      <c r="H125" s="2">
        <f>IFERROR(__xludf.DUMMYFUNCTION("""COMPUTED_VALUE"""),740.0)</f>
        <v>740</v>
      </c>
      <c r="I125" s="2">
        <f>IFERROR(__xludf.DUMMYFUNCTION("""COMPUTED_VALUE"""),0.0)</f>
        <v>0</v>
      </c>
    </row>
    <row r="126" ht="22.5" customHeight="1">
      <c r="A126" s="2" t="str">
        <f>IFERROR(__xludf.DUMMYFUNCTION("""COMPUTED_VALUE"""),"2026-05")</f>
        <v>2026-05</v>
      </c>
      <c r="B126" s="2" t="str">
        <f>IFERROR(__xludf.DUMMYFUNCTION("""COMPUTED_VALUE"""),"LSCHSV0008")</f>
        <v>LSCHSV0008</v>
      </c>
      <c r="C126" s="2">
        <f>IFERROR(__xludf.DUMMYFUNCTION("""COMPUTED_VALUE"""),0.0)</f>
        <v>0</v>
      </c>
      <c r="D126" s="2">
        <f>IFERROR(__xludf.DUMMYFUNCTION("""COMPUTED_VALUE"""),740.0)</f>
        <v>740</v>
      </c>
      <c r="E126" s="2">
        <f>IFERROR(__xludf.DUMMYFUNCTION("""COMPUTED_VALUE"""),37.0)</f>
        <v>37</v>
      </c>
      <c r="F126" s="2">
        <f>IFERROR(__xludf.DUMMYFUNCTION("""COMPUTED_VALUE"""),0.0)</f>
        <v>0</v>
      </c>
      <c r="G126" s="2">
        <f>IFERROR(__xludf.DUMMYFUNCTION("""COMPUTED_VALUE"""),0.0)</f>
        <v>0</v>
      </c>
      <c r="H126" s="2">
        <f>IFERROR(__xludf.DUMMYFUNCTION("""COMPUTED_VALUE"""),740.0)</f>
        <v>740</v>
      </c>
      <c r="I126" s="2">
        <f>IFERROR(__xludf.DUMMYFUNCTION("""COMPUTED_VALUE"""),0.0)</f>
        <v>0</v>
      </c>
    </row>
    <row r="127" ht="22.5" customHeight="1">
      <c r="A127" s="2" t="str">
        <f>IFERROR(__xludf.DUMMYFUNCTION("""COMPUTED_VALUE"""),"2026-06")</f>
        <v>2026-06</v>
      </c>
      <c r="B127" s="2" t="str">
        <f>IFERROR(__xludf.DUMMYFUNCTION("""COMPUTED_VALUE"""),"LSCHSV0008")</f>
        <v>LSCHSV0008</v>
      </c>
      <c r="C127" s="2">
        <f>IFERROR(__xludf.DUMMYFUNCTION("""COMPUTED_VALUE"""),0.0)</f>
        <v>0</v>
      </c>
      <c r="D127" s="2">
        <f>IFERROR(__xludf.DUMMYFUNCTION("""COMPUTED_VALUE"""),740.0)</f>
        <v>740</v>
      </c>
      <c r="E127" s="2">
        <f>IFERROR(__xludf.DUMMYFUNCTION("""COMPUTED_VALUE"""),37.0)</f>
        <v>37</v>
      </c>
      <c r="F127" s="2">
        <f>IFERROR(__xludf.DUMMYFUNCTION("""COMPUTED_VALUE"""),0.0)</f>
        <v>0</v>
      </c>
      <c r="G127" s="2">
        <f>IFERROR(__xludf.DUMMYFUNCTION("""COMPUTED_VALUE"""),0.0)</f>
        <v>0</v>
      </c>
      <c r="H127" s="2">
        <f>IFERROR(__xludf.DUMMYFUNCTION("""COMPUTED_VALUE"""),740.0)</f>
        <v>740</v>
      </c>
      <c r="I127" s="2">
        <f>IFERROR(__xludf.DUMMYFUNCTION("""COMPUTED_VALUE"""),0.0)</f>
        <v>0</v>
      </c>
    </row>
    <row r="128" ht="22.5" customHeight="1">
      <c r="A128" s="2" t="str">
        <f>IFERROR(__xludf.DUMMYFUNCTION("""COMPUTED_VALUE"""),"2026-07")</f>
        <v>2026-07</v>
      </c>
      <c r="B128" s="2" t="str">
        <f>IFERROR(__xludf.DUMMYFUNCTION("""COMPUTED_VALUE"""),"LSCHSV0008")</f>
        <v>LSCHSV0008</v>
      </c>
      <c r="C128" s="2">
        <f>IFERROR(__xludf.DUMMYFUNCTION("""COMPUTED_VALUE"""),0.0)</f>
        <v>0</v>
      </c>
      <c r="D128" s="2">
        <f>IFERROR(__xludf.DUMMYFUNCTION("""COMPUTED_VALUE"""),740.0)</f>
        <v>740</v>
      </c>
      <c r="E128" s="2">
        <f>IFERROR(__xludf.DUMMYFUNCTION("""COMPUTED_VALUE"""),37.0)</f>
        <v>37</v>
      </c>
      <c r="F128" s="2">
        <f>IFERROR(__xludf.DUMMYFUNCTION("""COMPUTED_VALUE"""),0.0)</f>
        <v>0</v>
      </c>
      <c r="G128" s="2">
        <f>IFERROR(__xludf.DUMMYFUNCTION("""COMPUTED_VALUE"""),0.0)</f>
        <v>0</v>
      </c>
      <c r="H128" s="2">
        <f>IFERROR(__xludf.DUMMYFUNCTION("""COMPUTED_VALUE"""),740.0)</f>
        <v>740</v>
      </c>
      <c r="I128" s="2">
        <f>IFERROR(__xludf.DUMMYFUNCTION("""COMPUTED_VALUE"""),0.0)</f>
        <v>0</v>
      </c>
    </row>
    <row r="129" ht="22.5" customHeight="1">
      <c r="A129" s="2" t="str">
        <f>IFERROR(__xludf.DUMMYFUNCTION("""COMPUTED_VALUE"""),"2026-08")</f>
        <v>2026-08</v>
      </c>
      <c r="B129" s="2" t="str">
        <f>IFERROR(__xludf.DUMMYFUNCTION("""COMPUTED_VALUE"""),"LSCHSV0008")</f>
        <v>LSCHSV0008</v>
      </c>
      <c r="C129" s="2">
        <f>IFERROR(__xludf.DUMMYFUNCTION("""COMPUTED_VALUE"""),0.0)</f>
        <v>0</v>
      </c>
      <c r="D129" s="2">
        <f>IFERROR(__xludf.DUMMYFUNCTION("""COMPUTED_VALUE"""),740.0)</f>
        <v>740</v>
      </c>
      <c r="E129" s="2">
        <f>IFERROR(__xludf.DUMMYFUNCTION("""COMPUTED_VALUE"""),37.0)</f>
        <v>37</v>
      </c>
      <c r="F129" s="2">
        <f>IFERROR(__xludf.DUMMYFUNCTION("""COMPUTED_VALUE"""),0.0)</f>
        <v>0</v>
      </c>
      <c r="G129" s="2">
        <f>IFERROR(__xludf.DUMMYFUNCTION("""COMPUTED_VALUE"""),0.0)</f>
        <v>0</v>
      </c>
      <c r="H129" s="2">
        <f>IFERROR(__xludf.DUMMYFUNCTION("""COMPUTED_VALUE"""),740.0)</f>
        <v>740</v>
      </c>
      <c r="I129" s="2">
        <f>IFERROR(__xludf.DUMMYFUNCTION("""COMPUTED_VALUE"""),0.0)</f>
        <v>0</v>
      </c>
    </row>
    <row r="130" ht="22.5" customHeight="1">
      <c r="A130" s="2" t="str">
        <f>IFERROR(__xludf.DUMMYFUNCTION("""COMPUTED_VALUE"""),"2026-09")</f>
        <v>2026-09</v>
      </c>
      <c r="B130" s="2" t="str">
        <f>IFERROR(__xludf.DUMMYFUNCTION("""COMPUTED_VALUE"""),"LSCHSV0008")</f>
        <v>LSCHSV0008</v>
      </c>
      <c r="C130" s="2">
        <f>IFERROR(__xludf.DUMMYFUNCTION("""COMPUTED_VALUE"""),0.0)</f>
        <v>0</v>
      </c>
      <c r="D130" s="2">
        <f>IFERROR(__xludf.DUMMYFUNCTION("""COMPUTED_VALUE"""),772.0)</f>
        <v>772</v>
      </c>
      <c r="E130" s="2">
        <f>IFERROR(__xludf.DUMMYFUNCTION("""COMPUTED_VALUE"""),39.0)</f>
        <v>39</v>
      </c>
      <c r="F130" s="2">
        <f>IFERROR(__xludf.DUMMYFUNCTION("""COMPUTED_VALUE"""),8.0)</f>
        <v>8</v>
      </c>
      <c r="G130" s="2">
        <f>IFERROR(__xludf.DUMMYFUNCTION("""COMPUTED_VALUE"""),0.0)</f>
        <v>0</v>
      </c>
      <c r="H130" s="2">
        <f>IFERROR(__xludf.DUMMYFUNCTION("""COMPUTED_VALUE"""),740.0)</f>
        <v>740</v>
      </c>
      <c r="I130" s="2">
        <f>IFERROR(__xludf.DUMMYFUNCTION("""COMPUTED_VALUE"""),32.0)</f>
        <v>32</v>
      </c>
    </row>
    <row r="131" ht="22.5" customHeight="1">
      <c r="A131" s="2" t="str">
        <f>IFERROR(__xludf.DUMMYFUNCTION("""COMPUTED_VALUE"""),"2026-10")</f>
        <v>2026-10</v>
      </c>
      <c r="B131" s="2" t="str">
        <f>IFERROR(__xludf.DUMMYFUNCTION("""COMPUTED_VALUE"""),"LSCHSV0008")</f>
        <v>LSCHSV0008</v>
      </c>
      <c r="C131" s="2">
        <f>IFERROR(__xludf.DUMMYFUNCTION("""COMPUTED_VALUE"""),32.0)</f>
        <v>32</v>
      </c>
      <c r="D131" s="2">
        <f>IFERROR(__xludf.DUMMYFUNCTION("""COMPUTED_VALUE"""),700.0)</f>
        <v>700</v>
      </c>
      <c r="E131" s="2">
        <f>IFERROR(__xludf.DUMMYFUNCTION("""COMPUTED_VALUE"""),35.0)</f>
        <v>35</v>
      </c>
      <c r="F131" s="2">
        <f>IFERROR(__xludf.DUMMYFUNCTION("""COMPUTED_VALUE"""),0.0)</f>
        <v>0</v>
      </c>
      <c r="G131" s="2">
        <f>IFERROR(__xludf.DUMMYFUNCTION("""COMPUTED_VALUE"""),8.0)</f>
        <v>8</v>
      </c>
      <c r="H131" s="2">
        <f>IFERROR(__xludf.DUMMYFUNCTION("""COMPUTED_VALUE"""),740.0)</f>
        <v>740</v>
      </c>
      <c r="I131" s="2">
        <f>IFERROR(__xludf.DUMMYFUNCTION("""COMPUTED_VALUE"""),0.0)</f>
        <v>0</v>
      </c>
    </row>
    <row r="132" ht="22.5" customHeight="1">
      <c r="A132" s="2" t="str">
        <f>IFERROR(__xludf.DUMMYFUNCTION("""COMPUTED_VALUE"""),"2026-11")</f>
        <v>2026-11</v>
      </c>
      <c r="B132" s="2" t="str">
        <f>IFERROR(__xludf.DUMMYFUNCTION("""COMPUTED_VALUE"""),"LSCHSV0008")</f>
        <v>LSCHSV0008</v>
      </c>
      <c r="C132" s="2">
        <f>IFERROR(__xludf.DUMMYFUNCTION("""COMPUTED_VALUE"""),0.0)</f>
        <v>0</v>
      </c>
      <c r="D132" s="2">
        <f>IFERROR(__xludf.DUMMYFUNCTION("""COMPUTED_VALUE"""),740.0)</f>
        <v>740</v>
      </c>
      <c r="E132" s="2">
        <f>IFERROR(__xludf.DUMMYFUNCTION("""COMPUTED_VALUE"""),37.0)</f>
        <v>37</v>
      </c>
      <c r="F132" s="2">
        <f>IFERROR(__xludf.DUMMYFUNCTION("""COMPUTED_VALUE"""),0.0)</f>
        <v>0</v>
      </c>
      <c r="G132" s="2">
        <f>IFERROR(__xludf.DUMMYFUNCTION("""COMPUTED_VALUE"""),0.0)</f>
        <v>0</v>
      </c>
      <c r="H132" s="2">
        <f>IFERROR(__xludf.DUMMYFUNCTION("""COMPUTED_VALUE"""),740.0)</f>
        <v>740</v>
      </c>
      <c r="I132" s="2">
        <f>IFERROR(__xludf.DUMMYFUNCTION("""COMPUTED_VALUE"""),0.0)</f>
        <v>0</v>
      </c>
    </row>
    <row r="133" ht="22.5" customHeight="1">
      <c r="A133" s="2" t="str">
        <f>IFERROR(__xludf.DUMMYFUNCTION("""COMPUTED_VALUE"""),"2026-12")</f>
        <v>2026-12</v>
      </c>
      <c r="B133" s="2" t="str">
        <f>IFERROR(__xludf.DUMMYFUNCTION("""COMPUTED_VALUE"""),"LSCHSV0008")</f>
        <v>LSCHSV0008</v>
      </c>
      <c r="C133" s="2">
        <f>IFERROR(__xludf.DUMMYFUNCTION("""COMPUTED_VALUE"""),0.0)</f>
        <v>0</v>
      </c>
      <c r="D133" s="2">
        <f>IFERROR(__xludf.DUMMYFUNCTION("""COMPUTED_VALUE"""),740.0)</f>
        <v>740</v>
      </c>
      <c r="E133" s="2">
        <f>IFERROR(__xludf.DUMMYFUNCTION("""COMPUTED_VALUE"""),37.0)</f>
        <v>37</v>
      </c>
      <c r="F133" s="2">
        <f>IFERROR(__xludf.DUMMYFUNCTION("""COMPUTED_VALUE"""),0.0)</f>
        <v>0</v>
      </c>
      <c r="G133" s="2">
        <f>IFERROR(__xludf.DUMMYFUNCTION("""COMPUTED_VALUE"""),0.0)</f>
        <v>0</v>
      </c>
      <c r="H133" s="2">
        <f>IFERROR(__xludf.DUMMYFUNCTION("""COMPUTED_VALUE"""),740.0)</f>
        <v>740</v>
      </c>
      <c r="I133" s="2">
        <f>IFERROR(__xludf.DUMMYFUNCTION("""COMPUTED_VALUE"""),0.0)</f>
        <v>0</v>
      </c>
    </row>
    <row r="134" ht="22.5" customHeight="1">
      <c r="A134" s="2" t="str">
        <f>IFERROR(__xludf.DUMMYFUNCTION("""COMPUTED_VALUE"""),"2026-01")</f>
        <v>2026-01</v>
      </c>
      <c r="B134" s="2" t="str">
        <f>IFERROR(__xludf.DUMMYFUNCTION("""COMPUTED_VALUE"""),"LSCHSV0008-LX")</f>
        <v>LSCHSV0008-LX</v>
      </c>
      <c r="C134" s="2">
        <f>IFERROR(__xludf.DUMMYFUNCTION("""COMPUTED_VALUE"""),0.0)</f>
        <v>0</v>
      </c>
      <c r="D134" s="2">
        <f>IFERROR(__xludf.DUMMYFUNCTION("""COMPUTED_VALUE"""),0.0)</f>
        <v>0</v>
      </c>
      <c r="E134" s="2">
        <f>IFERROR(__xludf.DUMMYFUNCTION("""COMPUTED_VALUE"""),0.0)</f>
        <v>0</v>
      </c>
      <c r="F134" s="2">
        <f>IFERROR(__xludf.DUMMYFUNCTION("""COMPUTED_VALUE"""),0.0)</f>
        <v>0</v>
      </c>
      <c r="G134" s="2">
        <f>IFERROR(__xludf.DUMMYFUNCTION("""COMPUTED_VALUE"""),380.0)</f>
        <v>380</v>
      </c>
      <c r="H134" s="2">
        <f>IFERROR(__xludf.DUMMYFUNCTION("""COMPUTED_VALUE"""),380.0)</f>
        <v>380</v>
      </c>
      <c r="I134" s="2">
        <f>IFERROR(__xludf.DUMMYFUNCTION("""COMPUTED_VALUE"""),0.0)</f>
        <v>0</v>
      </c>
    </row>
    <row r="135" ht="22.5" customHeight="1">
      <c r="A135" s="2" t="str">
        <f>IFERROR(__xludf.DUMMYFUNCTION("""COMPUTED_VALUE"""),"2026-02")</f>
        <v>2026-02</v>
      </c>
      <c r="B135" s="2" t="str">
        <f>IFERROR(__xludf.DUMMYFUNCTION("""COMPUTED_VALUE"""),"LSCHSV0008-LX")</f>
        <v>LSCHSV0008-LX</v>
      </c>
      <c r="C135" s="2">
        <f>IFERROR(__xludf.DUMMYFUNCTION("""COMPUTED_VALUE"""),0.0)</f>
        <v>0</v>
      </c>
      <c r="D135" s="2">
        <f>IFERROR(__xludf.DUMMYFUNCTION("""COMPUTED_VALUE"""),0.0)</f>
        <v>0</v>
      </c>
      <c r="E135" s="2">
        <f>IFERROR(__xludf.DUMMYFUNCTION("""COMPUTED_VALUE"""),0.0)</f>
        <v>0</v>
      </c>
      <c r="F135" s="2">
        <f>IFERROR(__xludf.DUMMYFUNCTION("""COMPUTED_VALUE"""),0.0)</f>
        <v>0</v>
      </c>
      <c r="G135" s="2">
        <f>IFERROR(__xludf.DUMMYFUNCTION("""COMPUTED_VALUE"""),521.0)</f>
        <v>521</v>
      </c>
      <c r="H135" s="2">
        <f>IFERROR(__xludf.DUMMYFUNCTION("""COMPUTED_VALUE"""),492.0)</f>
        <v>492</v>
      </c>
      <c r="I135" s="2">
        <f>IFERROR(__xludf.DUMMYFUNCTION("""COMPUTED_VALUE"""),29.0)</f>
        <v>29</v>
      </c>
    </row>
    <row r="136" ht="22.5" customHeight="1">
      <c r="A136" s="2" t="str">
        <f>IFERROR(__xludf.DUMMYFUNCTION("""COMPUTED_VALUE"""),"2026-03")</f>
        <v>2026-03</v>
      </c>
      <c r="B136" s="2" t="str">
        <f>IFERROR(__xludf.DUMMYFUNCTION("""COMPUTED_VALUE"""),"LSCHSV0008-LX")</f>
        <v>LSCHSV0008-LX</v>
      </c>
      <c r="C136" s="2">
        <f>IFERROR(__xludf.DUMMYFUNCTION("""COMPUTED_VALUE"""),29.0)</f>
        <v>29</v>
      </c>
      <c r="D136" s="2">
        <f>IFERROR(__xludf.DUMMYFUNCTION("""COMPUTED_VALUE"""),199.0)</f>
        <v>199</v>
      </c>
      <c r="E136" s="2">
        <f>IFERROR(__xludf.DUMMYFUNCTION("""COMPUTED_VALUE"""),16.0)</f>
        <v>16</v>
      </c>
      <c r="F136" s="2">
        <f>IFERROR(__xludf.DUMMYFUNCTION("""COMPUTED_VALUE"""),25.0)</f>
        <v>25</v>
      </c>
      <c r="G136" s="2">
        <f>IFERROR(__xludf.DUMMYFUNCTION("""COMPUTED_VALUE"""),280.0)</f>
        <v>280</v>
      </c>
      <c r="H136" s="2">
        <f>IFERROR(__xludf.DUMMYFUNCTION("""COMPUTED_VALUE"""),492.0)</f>
        <v>492</v>
      </c>
      <c r="I136" s="2">
        <f>IFERROR(__xludf.DUMMYFUNCTION("""COMPUTED_VALUE"""),16.0)</f>
        <v>16</v>
      </c>
    </row>
    <row r="137" ht="22.5" customHeight="1">
      <c r="A137" s="2" t="str">
        <f>IFERROR(__xludf.DUMMYFUNCTION("""COMPUTED_VALUE"""),"2026-04")</f>
        <v>2026-04</v>
      </c>
      <c r="B137" s="2" t="str">
        <f>IFERROR(__xludf.DUMMYFUNCTION("""COMPUTED_VALUE"""),"LSCHSV0008-LX")</f>
        <v>LSCHSV0008-LX</v>
      </c>
      <c r="C137" s="2">
        <f>IFERROR(__xludf.DUMMYFUNCTION("""COMPUTED_VALUE"""),16.0)</f>
        <v>16</v>
      </c>
      <c r="D137" s="2">
        <f>IFERROR(__xludf.DUMMYFUNCTION("""COMPUTED_VALUE"""),476.0)</f>
        <v>476</v>
      </c>
      <c r="E137" s="2">
        <f>IFERROR(__xludf.DUMMYFUNCTION("""COMPUTED_VALUE"""),34.0)</f>
        <v>34</v>
      </c>
      <c r="F137" s="2">
        <f>IFERROR(__xludf.DUMMYFUNCTION("""COMPUTED_VALUE"""),0.0)</f>
        <v>0</v>
      </c>
      <c r="G137" s="2">
        <f>IFERROR(__xludf.DUMMYFUNCTION("""COMPUTED_VALUE"""),0.0)</f>
        <v>0</v>
      </c>
      <c r="H137" s="2">
        <f>IFERROR(__xludf.DUMMYFUNCTION("""COMPUTED_VALUE"""),492.0)</f>
        <v>492</v>
      </c>
      <c r="I137" s="2">
        <f>IFERROR(__xludf.DUMMYFUNCTION("""COMPUTED_VALUE"""),0.0)</f>
        <v>0</v>
      </c>
    </row>
    <row r="138" ht="22.5" customHeight="1">
      <c r="A138" s="2" t="str">
        <f>IFERROR(__xludf.DUMMYFUNCTION("""COMPUTED_VALUE"""),"2026-05")</f>
        <v>2026-05</v>
      </c>
      <c r="B138" s="2" t="str">
        <f>IFERROR(__xludf.DUMMYFUNCTION("""COMPUTED_VALUE"""),"LSCHSV0008-LX")</f>
        <v>LSCHSV0008-LX</v>
      </c>
      <c r="C138" s="2">
        <f>IFERROR(__xludf.DUMMYFUNCTION("""COMPUTED_VALUE"""),0.0)</f>
        <v>0</v>
      </c>
      <c r="D138" s="2">
        <f>IFERROR(__xludf.DUMMYFUNCTION("""COMPUTED_VALUE"""),504.0)</f>
        <v>504</v>
      </c>
      <c r="E138" s="2">
        <f>IFERROR(__xludf.DUMMYFUNCTION("""COMPUTED_VALUE"""),36.0)</f>
        <v>36</v>
      </c>
      <c r="F138" s="2">
        <f>IFERROR(__xludf.DUMMYFUNCTION("""COMPUTED_VALUE"""),0.0)</f>
        <v>0</v>
      </c>
      <c r="G138" s="2">
        <f>IFERROR(__xludf.DUMMYFUNCTION("""COMPUTED_VALUE"""),0.0)</f>
        <v>0</v>
      </c>
      <c r="H138" s="2">
        <f>IFERROR(__xludf.DUMMYFUNCTION("""COMPUTED_VALUE"""),492.0)</f>
        <v>492</v>
      </c>
      <c r="I138" s="2">
        <f>IFERROR(__xludf.DUMMYFUNCTION("""COMPUTED_VALUE"""),12.0)</f>
        <v>12</v>
      </c>
    </row>
    <row r="139" ht="22.5" customHeight="1">
      <c r="A139" s="2" t="str">
        <f>IFERROR(__xludf.DUMMYFUNCTION("""COMPUTED_VALUE"""),"2026-06")</f>
        <v>2026-06</v>
      </c>
      <c r="B139" s="2" t="str">
        <f>IFERROR(__xludf.DUMMYFUNCTION("""COMPUTED_VALUE"""),"LSCHSV0008-LX")</f>
        <v>LSCHSV0008-LX</v>
      </c>
      <c r="C139" s="2">
        <f>IFERROR(__xludf.DUMMYFUNCTION("""COMPUTED_VALUE"""),12.0)</f>
        <v>12</v>
      </c>
      <c r="D139" s="2">
        <f>IFERROR(__xludf.DUMMYFUNCTION("""COMPUTED_VALUE"""),490.0)</f>
        <v>490</v>
      </c>
      <c r="E139" s="2">
        <f>IFERROR(__xludf.DUMMYFUNCTION("""COMPUTED_VALUE"""),35.0)</f>
        <v>35</v>
      </c>
      <c r="F139" s="2">
        <f>IFERROR(__xludf.DUMMYFUNCTION("""COMPUTED_VALUE"""),0.0)</f>
        <v>0</v>
      </c>
      <c r="G139" s="2">
        <f>IFERROR(__xludf.DUMMYFUNCTION("""COMPUTED_VALUE"""),0.0)</f>
        <v>0</v>
      </c>
      <c r="H139" s="2">
        <f>IFERROR(__xludf.DUMMYFUNCTION("""COMPUTED_VALUE"""),492.0)</f>
        <v>492</v>
      </c>
      <c r="I139" s="2">
        <f>IFERROR(__xludf.DUMMYFUNCTION("""COMPUTED_VALUE"""),10.0)</f>
        <v>10</v>
      </c>
    </row>
    <row r="140" ht="22.5" customHeight="1">
      <c r="A140" s="2" t="str">
        <f>IFERROR(__xludf.DUMMYFUNCTION("""COMPUTED_VALUE"""),"2026-07")</f>
        <v>2026-07</v>
      </c>
      <c r="B140" s="2" t="str">
        <f>IFERROR(__xludf.DUMMYFUNCTION("""COMPUTED_VALUE"""),"LSCHSV0008-LX")</f>
        <v>LSCHSV0008-LX</v>
      </c>
      <c r="C140" s="2">
        <f>IFERROR(__xludf.DUMMYFUNCTION("""COMPUTED_VALUE"""),10.0)</f>
        <v>10</v>
      </c>
      <c r="D140" s="2">
        <f>IFERROR(__xludf.DUMMYFUNCTION("""COMPUTED_VALUE"""),504.0)</f>
        <v>504</v>
      </c>
      <c r="E140" s="2">
        <f>IFERROR(__xludf.DUMMYFUNCTION("""COMPUTED_VALUE"""),36.0)</f>
        <v>36</v>
      </c>
      <c r="F140" s="2">
        <f>IFERROR(__xludf.DUMMYFUNCTION("""COMPUTED_VALUE"""),0.0)</f>
        <v>0</v>
      </c>
      <c r="G140" s="2">
        <f>IFERROR(__xludf.DUMMYFUNCTION("""COMPUTED_VALUE"""),0.0)</f>
        <v>0</v>
      </c>
      <c r="H140" s="2">
        <f>IFERROR(__xludf.DUMMYFUNCTION("""COMPUTED_VALUE"""),492.0)</f>
        <v>492</v>
      </c>
      <c r="I140" s="2">
        <f>IFERROR(__xludf.DUMMYFUNCTION("""COMPUTED_VALUE"""),22.0)</f>
        <v>22</v>
      </c>
    </row>
    <row r="141" ht="22.5" customHeight="1">
      <c r="A141" s="2" t="str">
        <f>IFERROR(__xludf.DUMMYFUNCTION("""COMPUTED_VALUE"""),"2026-08")</f>
        <v>2026-08</v>
      </c>
      <c r="B141" s="2" t="str">
        <f>IFERROR(__xludf.DUMMYFUNCTION("""COMPUTED_VALUE"""),"LSCHSV0008-LX")</f>
        <v>LSCHSV0008-LX</v>
      </c>
      <c r="C141" s="2">
        <f>IFERROR(__xludf.DUMMYFUNCTION("""COMPUTED_VALUE"""),22.0)</f>
        <v>22</v>
      </c>
      <c r="D141" s="2">
        <f>IFERROR(__xludf.DUMMYFUNCTION("""COMPUTED_VALUE"""),504.0)</f>
        <v>504</v>
      </c>
      <c r="E141" s="2">
        <f>IFERROR(__xludf.DUMMYFUNCTION("""COMPUTED_VALUE"""),36.0)</f>
        <v>36</v>
      </c>
      <c r="F141" s="2">
        <f>IFERROR(__xludf.DUMMYFUNCTION("""COMPUTED_VALUE"""),0.0)</f>
        <v>0</v>
      </c>
      <c r="G141" s="2">
        <f>IFERROR(__xludf.DUMMYFUNCTION("""COMPUTED_VALUE"""),0.0)</f>
        <v>0</v>
      </c>
      <c r="H141" s="2">
        <f>IFERROR(__xludf.DUMMYFUNCTION("""COMPUTED_VALUE"""),492.0)</f>
        <v>492</v>
      </c>
      <c r="I141" s="2">
        <f>IFERROR(__xludf.DUMMYFUNCTION("""COMPUTED_VALUE"""),34.0)</f>
        <v>34</v>
      </c>
    </row>
    <row r="142" ht="22.5" customHeight="1">
      <c r="A142" s="2" t="str">
        <f>IFERROR(__xludf.DUMMYFUNCTION("""COMPUTED_VALUE"""),"2026-09")</f>
        <v>2026-09</v>
      </c>
      <c r="B142" s="2" t="str">
        <f>IFERROR(__xludf.DUMMYFUNCTION("""COMPUTED_VALUE"""),"LSCHSV0008-LX")</f>
        <v>LSCHSV0008-LX</v>
      </c>
      <c r="C142" s="2">
        <f>IFERROR(__xludf.DUMMYFUNCTION("""COMPUTED_VALUE"""),34.0)</f>
        <v>34</v>
      </c>
      <c r="D142" s="2">
        <f>IFERROR(__xludf.DUMMYFUNCTION("""COMPUTED_VALUE"""),492.0)</f>
        <v>492</v>
      </c>
      <c r="E142" s="2">
        <f>IFERROR(__xludf.DUMMYFUNCTION("""COMPUTED_VALUE"""),36.0)</f>
        <v>36</v>
      </c>
      <c r="F142" s="2">
        <f>IFERROR(__xludf.DUMMYFUNCTION("""COMPUTED_VALUE"""),12.0)</f>
        <v>12</v>
      </c>
      <c r="G142" s="2">
        <f>IFERROR(__xludf.DUMMYFUNCTION("""COMPUTED_VALUE"""),0.0)</f>
        <v>0</v>
      </c>
      <c r="H142" s="2">
        <f>IFERROR(__xludf.DUMMYFUNCTION("""COMPUTED_VALUE"""),492.0)</f>
        <v>492</v>
      </c>
      <c r="I142" s="2">
        <f>IFERROR(__xludf.DUMMYFUNCTION("""COMPUTED_VALUE"""),34.0)</f>
        <v>34</v>
      </c>
    </row>
    <row r="143" ht="22.5" customHeight="1">
      <c r="A143" s="2" t="str">
        <f>IFERROR(__xludf.DUMMYFUNCTION("""COMPUTED_VALUE"""),"2026-10")</f>
        <v>2026-10</v>
      </c>
      <c r="B143" s="2" t="str">
        <f>IFERROR(__xludf.DUMMYFUNCTION("""COMPUTED_VALUE"""),"LSCHSV0008-LX")</f>
        <v>LSCHSV0008-LX</v>
      </c>
      <c r="C143" s="2">
        <f>IFERROR(__xludf.DUMMYFUNCTION("""COMPUTED_VALUE"""),34.0)</f>
        <v>34</v>
      </c>
      <c r="D143" s="2">
        <f>IFERROR(__xludf.DUMMYFUNCTION("""COMPUTED_VALUE"""),476.0)</f>
        <v>476</v>
      </c>
      <c r="E143" s="2">
        <f>IFERROR(__xludf.DUMMYFUNCTION("""COMPUTED_VALUE"""),34.0)</f>
        <v>34</v>
      </c>
      <c r="F143" s="2">
        <f>IFERROR(__xludf.DUMMYFUNCTION("""COMPUTED_VALUE"""),0.0)</f>
        <v>0</v>
      </c>
      <c r="G143" s="2">
        <f>IFERROR(__xludf.DUMMYFUNCTION("""COMPUTED_VALUE"""),0.0)</f>
        <v>0</v>
      </c>
      <c r="H143" s="2">
        <f>IFERROR(__xludf.DUMMYFUNCTION("""COMPUTED_VALUE"""),492.0)</f>
        <v>492</v>
      </c>
      <c r="I143" s="2">
        <f>IFERROR(__xludf.DUMMYFUNCTION("""COMPUTED_VALUE"""),18.0)</f>
        <v>18</v>
      </c>
    </row>
    <row r="144" ht="22.5" customHeight="1">
      <c r="A144" s="2" t="str">
        <f>IFERROR(__xludf.DUMMYFUNCTION("""COMPUTED_VALUE"""),"2026-11")</f>
        <v>2026-11</v>
      </c>
      <c r="B144" s="2" t="str">
        <f>IFERROR(__xludf.DUMMYFUNCTION("""COMPUTED_VALUE"""),"LSCHSV0008-LX")</f>
        <v>LSCHSV0008-LX</v>
      </c>
      <c r="C144" s="2">
        <f>IFERROR(__xludf.DUMMYFUNCTION("""COMPUTED_VALUE"""),18.0)</f>
        <v>18</v>
      </c>
      <c r="D144" s="2">
        <f>IFERROR(__xludf.DUMMYFUNCTION("""COMPUTED_VALUE"""),476.0)</f>
        <v>476</v>
      </c>
      <c r="E144" s="2">
        <f>IFERROR(__xludf.DUMMYFUNCTION("""COMPUTED_VALUE"""),34.0)</f>
        <v>34</v>
      </c>
      <c r="F144" s="2">
        <f>IFERROR(__xludf.DUMMYFUNCTION("""COMPUTED_VALUE"""),0.0)</f>
        <v>0</v>
      </c>
      <c r="G144" s="2">
        <f>IFERROR(__xludf.DUMMYFUNCTION("""COMPUTED_VALUE"""),0.0)</f>
        <v>0</v>
      </c>
      <c r="H144" s="2">
        <f>IFERROR(__xludf.DUMMYFUNCTION("""COMPUTED_VALUE"""),492.0)</f>
        <v>492</v>
      </c>
      <c r="I144" s="2">
        <f>IFERROR(__xludf.DUMMYFUNCTION("""COMPUTED_VALUE"""),2.0)</f>
        <v>2</v>
      </c>
    </row>
    <row r="145" ht="22.5" customHeight="1">
      <c r="A145" s="2" t="str">
        <f>IFERROR(__xludf.DUMMYFUNCTION("""COMPUTED_VALUE"""),"2026-12")</f>
        <v>2026-12</v>
      </c>
      <c r="B145" s="2" t="str">
        <f>IFERROR(__xludf.DUMMYFUNCTION("""COMPUTED_VALUE"""),"LSCHSV0008-LX")</f>
        <v>LSCHSV0008-LX</v>
      </c>
      <c r="C145" s="2">
        <f>IFERROR(__xludf.DUMMYFUNCTION("""COMPUTED_VALUE"""),2.0)</f>
        <v>2</v>
      </c>
      <c r="D145" s="2">
        <f>IFERROR(__xludf.DUMMYFUNCTION("""COMPUTED_VALUE"""),490.0)</f>
        <v>490</v>
      </c>
      <c r="E145" s="2">
        <f>IFERROR(__xludf.DUMMYFUNCTION("""COMPUTED_VALUE"""),35.0)</f>
        <v>35</v>
      </c>
      <c r="F145" s="2">
        <f>IFERROR(__xludf.DUMMYFUNCTION("""COMPUTED_VALUE"""),0.0)</f>
        <v>0</v>
      </c>
      <c r="G145" s="2">
        <f>IFERROR(__xludf.DUMMYFUNCTION("""COMPUTED_VALUE"""),0.0)</f>
        <v>0</v>
      </c>
      <c r="H145" s="2">
        <f>IFERROR(__xludf.DUMMYFUNCTION("""COMPUTED_VALUE"""),492.0)</f>
        <v>492</v>
      </c>
      <c r="I145" s="2">
        <f>IFERROR(__xludf.DUMMYFUNCTION("""COMPUTED_VALUE"""),0.0)</f>
        <v>0</v>
      </c>
    </row>
    <row r="146" ht="22.5" customHeight="1">
      <c r="A146" s="2" t="str">
        <f>IFERROR(__xludf.DUMMYFUNCTION("""COMPUTED_VALUE"""),"2026-01")</f>
        <v>2026-01</v>
      </c>
      <c r="B146" s="2" t="str">
        <f>IFERROR(__xludf.DUMMYFUNCTION("""COMPUTED_VALUE"""),"LSCINSD0005")</f>
        <v>LSCINSD0005</v>
      </c>
      <c r="C146" s="2">
        <f>IFERROR(__xludf.DUMMYFUNCTION("""COMPUTED_VALUE"""),0.0)</f>
        <v>0</v>
      </c>
      <c r="D146" s="2">
        <f>IFERROR(__xludf.DUMMYFUNCTION("""COMPUTED_VALUE"""),540.0)</f>
        <v>540</v>
      </c>
      <c r="E146" s="2">
        <f>IFERROR(__xludf.DUMMYFUNCTION("""COMPUTED_VALUE"""),5.0)</f>
        <v>5</v>
      </c>
      <c r="F146" s="2">
        <f>IFERROR(__xludf.DUMMYFUNCTION("""COMPUTED_VALUE"""),60.0)</f>
        <v>60</v>
      </c>
      <c r="G146" s="2">
        <f>IFERROR(__xludf.DUMMYFUNCTION("""COMPUTED_VALUE"""),51.0)</f>
        <v>51</v>
      </c>
      <c r="H146" s="2">
        <f>IFERROR(__xludf.DUMMYFUNCTION("""COMPUTED_VALUE"""),591.0)</f>
        <v>591</v>
      </c>
      <c r="I146" s="2">
        <f>IFERROR(__xludf.DUMMYFUNCTION("""COMPUTED_VALUE"""),0.0)</f>
        <v>0</v>
      </c>
    </row>
    <row r="147" ht="22.5" customHeight="1">
      <c r="A147" s="2" t="str">
        <f>IFERROR(__xludf.DUMMYFUNCTION("""COMPUTED_VALUE"""),"2026-02")</f>
        <v>2026-02</v>
      </c>
      <c r="B147" s="2" t="str">
        <f>IFERROR(__xludf.DUMMYFUNCTION("""COMPUTED_VALUE"""),"LSCINSD0005")</f>
        <v>LSCINSD0005</v>
      </c>
      <c r="C147" s="2">
        <f>IFERROR(__xludf.DUMMYFUNCTION("""COMPUTED_VALUE"""),0.0)</f>
        <v>0</v>
      </c>
      <c r="D147" s="2">
        <f>IFERROR(__xludf.DUMMYFUNCTION("""COMPUTED_VALUE"""),702.0)</f>
        <v>702</v>
      </c>
      <c r="E147" s="2">
        <f>IFERROR(__xludf.DUMMYFUNCTION("""COMPUTED_VALUE"""),6.0)</f>
        <v>6</v>
      </c>
      <c r="F147" s="2">
        <f>IFERROR(__xludf.DUMMYFUNCTION("""COMPUTED_VALUE"""),18.0)</f>
        <v>18</v>
      </c>
      <c r="G147" s="2">
        <f>IFERROR(__xludf.DUMMYFUNCTION("""COMPUTED_VALUE"""),0.0)</f>
        <v>0</v>
      </c>
      <c r="H147" s="2">
        <f>IFERROR(__xludf.DUMMYFUNCTION("""COMPUTED_VALUE"""),702.0)</f>
        <v>702</v>
      </c>
      <c r="I147" s="2">
        <f>IFERROR(__xludf.DUMMYFUNCTION("""COMPUTED_VALUE"""),0.0)</f>
        <v>0</v>
      </c>
    </row>
    <row r="148" ht="22.5" customHeight="1">
      <c r="A148" s="2" t="str">
        <f>IFERROR(__xludf.DUMMYFUNCTION("""COMPUTED_VALUE"""),"2026-03")</f>
        <v>2026-03</v>
      </c>
      <c r="B148" s="2" t="str">
        <f>IFERROR(__xludf.DUMMYFUNCTION("""COMPUTED_VALUE"""),"LSCINSD0005")</f>
        <v>LSCINSD0005</v>
      </c>
      <c r="C148" s="2">
        <f>IFERROR(__xludf.DUMMYFUNCTION("""COMPUTED_VALUE"""),0.0)</f>
        <v>0</v>
      </c>
      <c r="D148" s="2">
        <f>IFERROR(__xludf.DUMMYFUNCTION("""COMPUTED_VALUE"""),750.0)</f>
        <v>750</v>
      </c>
      <c r="E148" s="2">
        <f>IFERROR(__xludf.DUMMYFUNCTION("""COMPUTED_VALUE"""),7.0)</f>
        <v>7</v>
      </c>
      <c r="F148" s="2">
        <f>IFERROR(__xludf.DUMMYFUNCTION("""COMPUTED_VALUE"""),90.0)</f>
        <v>90</v>
      </c>
      <c r="G148" s="2">
        <f>IFERROR(__xludf.DUMMYFUNCTION("""COMPUTED_VALUE"""),0.0)</f>
        <v>0</v>
      </c>
      <c r="H148" s="2">
        <f>IFERROR(__xludf.DUMMYFUNCTION("""COMPUTED_VALUE"""),750.0)</f>
        <v>750</v>
      </c>
      <c r="I148" s="2">
        <f>IFERROR(__xludf.DUMMYFUNCTION("""COMPUTED_VALUE"""),0.0)</f>
        <v>0</v>
      </c>
    </row>
    <row r="149" ht="22.5" customHeight="1">
      <c r="A149" s="2" t="str">
        <f>IFERROR(__xludf.DUMMYFUNCTION("""COMPUTED_VALUE"""),"2026-04")</f>
        <v>2026-04</v>
      </c>
      <c r="B149" s="2" t="str">
        <f>IFERROR(__xludf.DUMMYFUNCTION("""COMPUTED_VALUE"""),"LSCINSD0005")</f>
        <v>LSCINSD0005</v>
      </c>
      <c r="C149" s="2">
        <f>IFERROR(__xludf.DUMMYFUNCTION("""COMPUTED_VALUE"""),0.0)</f>
        <v>0</v>
      </c>
      <c r="D149" s="2">
        <f>IFERROR(__xludf.DUMMYFUNCTION("""COMPUTED_VALUE"""),750.0)</f>
        <v>750</v>
      </c>
      <c r="E149" s="2">
        <f>IFERROR(__xludf.DUMMYFUNCTION("""COMPUTED_VALUE"""),7.0)</f>
        <v>7</v>
      </c>
      <c r="F149" s="2">
        <f>IFERROR(__xludf.DUMMYFUNCTION("""COMPUTED_VALUE"""),90.0)</f>
        <v>90</v>
      </c>
      <c r="G149" s="2">
        <f>IFERROR(__xludf.DUMMYFUNCTION("""COMPUTED_VALUE"""),0.0)</f>
        <v>0</v>
      </c>
      <c r="H149" s="2">
        <f>IFERROR(__xludf.DUMMYFUNCTION("""COMPUTED_VALUE"""),750.0)</f>
        <v>750</v>
      </c>
      <c r="I149" s="2">
        <f>IFERROR(__xludf.DUMMYFUNCTION("""COMPUTED_VALUE"""),0.0)</f>
        <v>0</v>
      </c>
    </row>
    <row r="150" ht="22.5" customHeight="1">
      <c r="A150" s="2" t="str">
        <f>IFERROR(__xludf.DUMMYFUNCTION("""COMPUTED_VALUE"""),"2026-05")</f>
        <v>2026-05</v>
      </c>
      <c r="B150" s="2" t="str">
        <f>IFERROR(__xludf.DUMMYFUNCTION("""COMPUTED_VALUE"""),"LSCINSD0005")</f>
        <v>LSCINSD0005</v>
      </c>
      <c r="C150" s="2">
        <f>IFERROR(__xludf.DUMMYFUNCTION("""COMPUTED_VALUE"""),0.0)</f>
        <v>0</v>
      </c>
      <c r="D150" s="2">
        <f>IFERROR(__xludf.DUMMYFUNCTION("""COMPUTED_VALUE"""),750.0)</f>
        <v>750</v>
      </c>
      <c r="E150" s="2">
        <f>IFERROR(__xludf.DUMMYFUNCTION("""COMPUTED_VALUE"""),7.0)</f>
        <v>7</v>
      </c>
      <c r="F150" s="2">
        <f>IFERROR(__xludf.DUMMYFUNCTION("""COMPUTED_VALUE"""),90.0)</f>
        <v>90</v>
      </c>
      <c r="G150" s="2">
        <f>IFERROR(__xludf.DUMMYFUNCTION("""COMPUTED_VALUE"""),0.0)</f>
        <v>0</v>
      </c>
      <c r="H150" s="2">
        <f>IFERROR(__xludf.DUMMYFUNCTION("""COMPUTED_VALUE"""),750.0)</f>
        <v>750</v>
      </c>
      <c r="I150" s="2">
        <f>IFERROR(__xludf.DUMMYFUNCTION("""COMPUTED_VALUE"""),0.0)</f>
        <v>0</v>
      </c>
    </row>
    <row r="151" ht="22.5" customHeight="1">
      <c r="A151" s="2" t="str">
        <f>IFERROR(__xludf.DUMMYFUNCTION("""COMPUTED_VALUE"""),"2026-06")</f>
        <v>2026-06</v>
      </c>
      <c r="B151" s="2" t="str">
        <f>IFERROR(__xludf.DUMMYFUNCTION("""COMPUTED_VALUE"""),"LSCINSD0005")</f>
        <v>LSCINSD0005</v>
      </c>
      <c r="C151" s="2">
        <f>IFERROR(__xludf.DUMMYFUNCTION("""COMPUTED_VALUE"""),0.0)</f>
        <v>0</v>
      </c>
      <c r="D151" s="2">
        <f>IFERROR(__xludf.DUMMYFUNCTION("""COMPUTED_VALUE"""),750.0)</f>
        <v>750</v>
      </c>
      <c r="E151" s="2">
        <f>IFERROR(__xludf.DUMMYFUNCTION("""COMPUTED_VALUE"""),7.0)</f>
        <v>7</v>
      </c>
      <c r="F151" s="2">
        <f>IFERROR(__xludf.DUMMYFUNCTION("""COMPUTED_VALUE"""),90.0)</f>
        <v>90</v>
      </c>
      <c r="G151" s="2">
        <f>IFERROR(__xludf.DUMMYFUNCTION("""COMPUTED_VALUE"""),0.0)</f>
        <v>0</v>
      </c>
      <c r="H151" s="2">
        <f>IFERROR(__xludf.DUMMYFUNCTION("""COMPUTED_VALUE"""),750.0)</f>
        <v>750</v>
      </c>
      <c r="I151" s="2">
        <f>IFERROR(__xludf.DUMMYFUNCTION("""COMPUTED_VALUE"""),0.0)</f>
        <v>0</v>
      </c>
    </row>
    <row r="152" ht="22.5" customHeight="1">
      <c r="A152" s="2" t="str">
        <f>IFERROR(__xludf.DUMMYFUNCTION("""COMPUTED_VALUE"""),"2026-07")</f>
        <v>2026-07</v>
      </c>
      <c r="B152" s="2" t="str">
        <f>IFERROR(__xludf.DUMMYFUNCTION("""COMPUTED_VALUE"""),"LSCINSD0005")</f>
        <v>LSCINSD0005</v>
      </c>
      <c r="C152" s="2">
        <f>IFERROR(__xludf.DUMMYFUNCTION("""COMPUTED_VALUE"""),0.0)</f>
        <v>0</v>
      </c>
      <c r="D152" s="2">
        <f>IFERROR(__xludf.DUMMYFUNCTION("""COMPUTED_VALUE"""),750.0)</f>
        <v>750</v>
      </c>
      <c r="E152" s="2">
        <f>IFERROR(__xludf.DUMMYFUNCTION("""COMPUTED_VALUE"""),7.0)</f>
        <v>7</v>
      </c>
      <c r="F152" s="2">
        <f>IFERROR(__xludf.DUMMYFUNCTION("""COMPUTED_VALUE"""),90.0)</f>
        <v>90</v>
      </c>
      <c r="G152" s="2">
        <f>IFERROR(__xludf.DUMMYFUNCTION("""COMPUTED_VALUE"""),0.0)</f>
        <v>0</v>
      </c>
      <c r="H152" s="2">
        <f>IFERROR(__xludf.DUMMYFUNCTION("""COMPUTED_VALUE"""),750.0)</f>
        <v>750</v>
      </c>
      <c r="I152" s="2">
        <f>IFERROR(__xludf.DUMMYFUNCTION("""COMPUTED_VALUE"""),0.0)</f>
        <v>0</v>
      </c>
    </row>
    <row r="153" ht="22.5" customHeight="1">
      <c r="A153" s="2" t="str">
        <f>IFERROR(__xludf.DUMMYFUNCTION("""COMPUTED_VALUE"""),"2026-08")</f>
        <v>2026-08</v>
      </c>
      <c r="B153" s="2" t="str">
        <f>IFERROR(__xludf.DUMMYFUNCTION("""COMPUTED_VALUE"""),"LSCINSD0005")</f>
        <v>LSCINSD0005</v>
      </c>
      <c r="C153" s="2">
        <f>IFERROR(__xludf.DUMMYFUNCTION("""COMPUTED_VALUE"""),0.0)</f>
        <v>0</v>
      </c>
      <c r="D153" s="2">
        <f>IFERROR(__xludf.DUMMYFUNCTION("""COMPUTED_VALUE"""),750.0)</f>
        <v>750</v>
      </c>
      <c r="E153" s="2">
        <f>IFERROR(__xludf.DUMMYFUNCTION("""COMPUTED_VALUE"""),7.0)</f>
        <v>7</v>
      </c>
      <c r="F153" s="2">
        <f>IFERROR(__xludf.DUMMYFUNCTION("""COMPUTED_VALUE"""),90.0)</f>
        <v>90</v>
      </c>
      <c r="G153" s="2">
        <f>IFERROR(__xludf.DUMMYFUNCTION("""COMPUTED_VALUE"""),0.0)</f>
        <v>0</v>
      </c>
      <c r="H153" s="2">
        <f>IFERROR(__xludf.DUMMYFUNCTION("""COMPUTED_VALUE"""),750.0)</f>
        <v>750</v>
      </c>
      <c r="I153" s="2">
        <f>IFERROR(__xludf.DUMMYFUNCTION("""COMPUTED_VALUE"""),0.0)</f>
        <v>0</v>
      </c>
    </row>
    <row r="154" ht="22.5" customHeight="1">
      <c r="A154" s="2" t="str">
        <f>IFERROR(__xludf.DUMMYFUNCTION("""COMPUTED_VALUE"""),"2026-09")</f>
        <v>2026-09</v>
      </c>
      <c r="B154" s="2" t="str">
        <f>IFERROR(__xludf.DUMMYFUNCTION("""COMPUTED_VALUE"""),"LSCINSD0005")</f>
        <v>LSCINSD0005</v>
      </c>
      <c r="C154" s="2">
        <f>IFERROR(__xludf.DUMMYFUNCTION("""COMPUTED_VALUE"""),0.0)</f>
        <v>0</v>
      </c>
      <c r="D154" s="2">
        <f>IFERROR(__xludf.DUMMYFUNCTION("""COMPUTED_VALUE"""),750.0)</f>
        <v>750</v>
      </c>
      <c r="E154" s="2">
        <f>IFERROR(__xludf.DUMMYFUNCTION("""COMPUTED_VALUE"""),7.0)</f>
        <v>7</v>
      </c>
      <c r="F154" s="2">
        <f>IFERROR(__xludf.DUMMYFUNCTION("""COMPUTED_VALUE"""),90.0)</f>
        <v>90</v>
      </c>
      <c r="G154" s="2">
        <f>IFERROR(__xludf.DUMMYFUNCTION("""COMPUTED_VALUE"""),0.0)</f>
        <v>0</v>
      </c>
      <c r="H154" s="2">
        <f>IFERROR(__xludf.DUMMYFUNCTION("""COMPUTED_VALUE"""),750.0)</f>
        <v>750</v>
      </c>
      <c r="I154" s="2">
        <f>IFERROR(__xludf.DUMMYFUNCTION("""COMPUTED_VALUE"""),0.0)</f>
        <v>0</v>
      </c>
    </row>
    <row r="155" ht="22.5" customHeight="1">
      <c r="A155" s="2" t="str">
        <f>IFERROR(__xludf.DUMMYFUNCTION("""COMPUTED_VALUE"""),"2026-10")</f>
        <v>2026-10</v>
      </c>
      <c r="B155" s="2" t="str">
        <f>IFERROR(__xludf.DUMMYFUNCTION("""COMPUTED_VALUE"""),"LSCINSD0005")</f>
        <v>LSCINSD0005</v>
      </c>
      <c r="C155" s="2">
        <f>IFERROR(__xludf.DUMMYFUNCTION("""COMPUTED_VALUE"""),0.0)</f>
        <v>0</v>
      </c>
      <c r="D155" s="2">
        <f>IFERROR(__xludf.DUMMYFUNCTION("""COMPUTED_VALUE"""),750.0)</f>
        <v>750</v>
      </c>
      <c r="E155" s="2">
        <f>IFERROR(__xludf.DUMMYFUNCTION("""COMPUTED_VALUE"""),7.0)</f>
        <v>7</v>
      </c>
      <c r="F155" s="2">
        <f>IFERROR(__xludf.DUMMYFUNCTION("""COMPUTED_VALUE"""),90.0)</f>
        <v>90</v>
      </c>
      <c r="G155" s="2">
        <f>IFERROR(__xludf.DUMMYFUNCTION("""COMPUTED_VALUE"""),0.0)</f>
        <v>0</v>
      </c>
      <c r="H155" s="2">
        <f>IFERROR(__xludf.DUMMYFUNCTION("""COMPUTED_VALUE"""),750.0)</f>
        <v>750</v>
      </c>
      <c r="I155" s="2">
        <f>IFERROR(__xludf.DUMMYFUNCTION("""COMPUTED_VALUE"""),0.0)</f>
        <v>0</v>
      </c>
    </row>
    <row r="156" ht="22.5" customHeight="1">
      <c r="A156" s="2" t="str">
        <f>IFERROR(__xludf.DUMMYFUNCTION("""COMPUTED_VALUE"""),"2026-11")</f>
        <v>2026-11</v>
      </c>
      <c r="B156" s="2" t="str">
        <f>IFERROR(__xludf.DUMMYFUNCTION("""COMPUTED_VALUE"""),"LSCINSD0005")</f>
        <v>LSCINSD0005</v>
      </c>
      <c r="C156" s="2">
        <f>IFERROR(__xludf.DUMMYFUNCTION("""COMPUTED_VALUE"""),0.0)</f>
        <v>0</v>
      </c>
      <c r="D156" s="2">
        <f>IFERROR(__xludf.DUMMYFUNCTION("""COMPUTED_VALUE"""),750.0)</f>
        <v>750</v>
      </c>
      <c r="E156" s="2">
        <f>IFERROR(__xludf.DUMMYFUNCTION("""COMPUTED_VALUE"""),7.0)</f>
        <v>7</v>
      </c>
      <c r="F156" s="2">
        <f>IFERROR(__xludf.DUMMYFUNCTION("""COMPUTED_VALUE"""),90.0)</f>
        <v>90</v>
      </c>
      <c r="G156" s="2">
        <f>IFERROR(__xludf.DUMMYFUNCTION("""COMPUTED_VALUE"""),0.0)</f>
        <v>0</v>
      </c>
      <c r="H156" s="2">
        <f>IFERROR(__xludf.DUMMYFUNCTION("""COMPUTED_VALUE"""),750.0)</f>
        <v>750</v>
      </c>
      <c r="I156" s="2">
        <f>IFERROR(__xludf.DUMMYFUNCTION("""COMPUTED_VALUE"""),0.0)</f>
        <v>0</v>
      </c>
    </row>
    <row r="157" ht="22.5" customHeight="1">
      <c r="A157" s="2" t="str">
        <f>IFERROR(__xludf.DUMMYFUNCTION("""COMPUTED_VALUE"""),"2026-12")</f>
        <v>2026-12</v>
      </c>
      <c r="B157" s="2" t="str">
        <f>IFERROR(__xludf.DUMMYFUNCTION("""COMPUTED_VALUE"""),"LSCINSD0005")</f>
        <v>LSCINSD0005</v>
      </c>
      <c r="C157" s="2">
        <f>IFERROR(__xludf.DUMMYFUNCTION("""COMPUTED_VALUE"""),0.0)</f>
        <v>0</v>
      </c>
      <c r="D157" s="2">
        <f>IFERROR(__xludf.DUMMYFUNCTION("""COMPUTED_VALUE"""),750.0)</f>
        <v>750</v>
      </c>
      <c r="E157" s="2">
        <f>IFERROR(__xludf.DUMMYFUNCTION("""COMPUTED_VALUE"""),7.0)</f>
        <v>7</v>
      </c>
      <c r="F157" s="2">
        <f>IFERROR(__xludf.DUMMYFUNCTION("""COMPUTED_VALUE"""),90.0)</f>
        <v>90</v>
      </c>
      <c r="G157" s="2">
        <f>IFERROR(__xludf.DUMMYFUNCTION("""COMPUTED_VALUE"""),0.0)</f>
        <v>0</v>
      </c>
      <c r="H157" s="2">
        <f>IFERROR(__xludf.DUMMYFUNCTION("""COMPUTED_VALUE"""),750.0)</f>
        <v>750</v>
      </c>
      <c r="I157" s="2">
        <f>IFERROR(__xludf.DUMMYFUNCTION("""COMPUTED_VALUE"""),0.0)</f>
        <v>0</v>
      </c>
    </row>
    <row r="158" ht="22.5" customHeight="1">
      <c r="A158" s="2" t="str">
        <f>IFERROR(__xludf.DUMMYFUNCTION("""COMPUTED_VALUE"""),"2026-01")</f>
        <v>2026-01</v>
      </c>
      <c r="B158" s="2" t="str">
        <f>IFERROR(__xludf.DUMMYFUNCTION("""COMPUTED_VALUE"""),"LSCINSD0005-LX")</f>
        <v>LSCINSD0005-LX</v>
      </c>
      <c r="C158" s="2">
        <f>IFERROR(__xludf.DUMMYFUNCTION("""COMPUTED_VALUE"""),0.0)</f>
        <v>0</v>
      </c>
      <c r="D158" s="2">
        <f>IFERROR(__xludf.DUMMYFUNCTION("""COMPUTED_VALUE"""),247.0)</f>
        <v>247</v>
      </c>
      <c r="E158" s="2">
        <f>IFERROR(__xludf.DUMMYFUNCTION("""COMPUTED_VALUE"""),3.0)</f>
        <v>3</v>
      </c>
      <c r="F158" s="2">
        <f>IFERROR(__xludf.DUMMYFUNCTION("""COMPUTED_VALUE"""),5.0)</f>
        <v>5</v>
      </c>
      <c r="G158" s="2">
        <f>IFERROR(__xludf.DUMMYFUNCTION("""COMPUTED_VALUE"""),154.0)</f>
        <v>154</v>
      </c>
      <c r="H158" s="2">
        <f>IFERROR(__xludf.DUMMYFUNCTION("""COMPUTED_VALUE"""),401.0)</f>
        <v>401</v>
      </c>
      <c r="I158" s="2">
        <f>IFERROR(__xludf.DUMMYFUNCTION("""COMPUTED_VALUE"""),0.0)</f>
        <v>0</v>
      </c>
    </row>
    <row r="159" ht="22.5" customHeight="1">
      <c r="A159" s="2" t="str">
        <f>IFERROR(__xludf.DUMMYFUNCTION("""COMPUTED_VALUE"""),"2026-02")</f>
        <v>2026-02</v>
      </c>
      <c r="B159" s="2" t="str">
        <f>IFERROR(__xludf.DUMMYFUNCTION("""COMPUTED_VALUE"""),"LSCINSD0005-LX")</f>
        <v>LSCINSD0005-LX</v>
      </c>
      <c r="C159" s="2">
        <f>IFERROR(__xludf.DUMMYFUNCTION("""COMPUTED_VALUE"""),0.0)</f>
        <v>0</v>
      </c>
      <c r="D159" s="2">
        <f>IFERROR(__xludf.DUMMYFUNCTION("""COMPUTED_VALUE"""),456.0)</f>
        <v>456</v>
      </c>
      <c r="E159" s="2">
        <f>IFERROR(__xludf.DUMMYFUNCTION("""COMPUTED_VALUE"""),6.0)</f>
        <v>6</v>
      </c>
      <c r="F159" s="2">
        <f>IFERROR(__xludf.DUMMYFUNCTION("""COMPUTED_VALUE"""),48.0)</f>
        <v>48</v>
      </c>
      <c r="G159" s="2">
        <f>IFERROR(__xludf.DUMMYFUNCTION("""COMPUTED_VALUE"""),0.0)</f>
        <v>0</v>
      </c>
      <c r="H159" s="2">
        <f>IFERROR(__xludf.DUMMYFUNCTION("""COMPUTED_VALUE"""),456.0)</f>
        <v>456</v>
      </c>
      <c r="I159" s="2">
        <f>IFERROR(__xludf.DUMMYFUNCTION("""COMPUTED_VALUE"""),0.0)</f>
        <v>0</v>
      </c>
    </row>
    <row r="160" ht="22.5" customHeight="1">
      <c r="A160" s="2" t="str">
        <f>IFERROR(__xludf.DUMMYFUNCTION("""COMPUTED_VALUE"""),"2026-03")</f>
        <v>2026-03</v>
      </c>
      <c r="B160" s="2" t="str">
        <f>IFERROR(__xludf.DUMMYFUNCTION("""COMPUTED_VALUE"""),"LSCINSD0005-LX")</f>
        <v>LSCINSD0005-LX</v>
      </c>
      <c r="C160" s="2">
        <f>IFERROR(__xludf.DUMMYFUNCTION("""COMPUTED_VALUE"""),0.0)</f>
        <v>0</v>
      </c>
      <c r="D160" s="2">
        <f>IFERROR(__xludf.DUMMYFUNCTION("""COMPUTED_VALUE"""),499.0)</f>
        <v>499</v>
      </c>
      <c r="E160" s="2">
        <f>IFERROR(__xludf.DUMMYFUNCTION("""COMPUTED_VALUE"""),6.0)</f>
        <v>6</v>
      </c>
      <c r="F160" s="2">
        <f>IFERROR(__xludf.DUMMYFUNCTION("""COMPUTED_VALUE"""),5.0)</f>
        <v>5</v>
      </c>
      <c r="G160" s="2">
        <f>IFERROR(__xludf.DUMMYFUNCTION("""COMPUTED_VALUE"""),0.0)</f>
        <v>0</v>
      </c>
      <c r="H160" s="2">
        <f>IFERROR(__xludf.DUMMYFUNCTION("""COMPUTED_VALUE"""),499.0)</f>
        <v>499</v>
      </c>
      <c r="I160" s="2">
        <f>IFERROR(__xludf.DUMMYFUNCTION("""COMPUTED_VALUE"""),0.0)</f>
        <v>0</v>
      </c>
    </row>
    <row r="161" ht="22.5" customHeight="1">
      <c r="A161" s="2" t="str">
        <f>IFERROR(__xludf.DUMMYFUNCTION("""COMPUTED_VALUE"""),"2026-04")</f>
        <v>2026-04</v>
      </c>
      <c r="B161" s="2" t="str">
        <f>IFERROR(__xludf.DUMMYFUNCTION("""COMPUTED_VALUE"""),"LSCINSD0005-LX")</f>
        <v>LSCINSD0005-LX</v>
      </c>
      <c r="C161" s="2">
        <f>IFERROR(__xludf.DUMMYFUNCTION("""COMPUTED_VALUE"""),0.0)</f>
        <v>0</v>
      </c>
      <c r="D161" s="2">
        <f>IFERROR(__xludf.DUMMYFUNCTION("""COMPUTED_VALUE"""),499.0)</f>
        <v>499</v>
      </c>
      <c r="E161" s="2">
        <f>IFERROR(__xludf.DUMMYFUNCTION("""COMPUTED_VALUE"""),6.0)</f>
        <v>6</v>
      </c>
      <c r="F161" s="2">
        <f>IFERROR(__xludf.DUMMYFUNCTION("""COMPUTED_VALUE"""),5.0)</f>
        <v>5</v>
      </c>
      <c r="G161" s="2">
        <f>IFERROR(__xludf.DUMMYFUNCTION("""COMPUTED_VALUE"""),0.0)</f>
        <v>0</v>
      </c>
      <c r="H161" s="2">
        <f>IFERROR(__xludf.DUMMYFUNCTION("""COMPUTED_VALUE"""),499.0)</f>
        <v>499</v>
      </c>
      <c r="I161" s="2">
        <f>IFERROR(__xludf.DUMMYFUNCTION("""COMPUTED_VALUE"""),0.0)</f>
        <v>0</v>
      </c>
    </row>
    <row r="162" ht="22.5" customHeight="1">
      <c r="A162" s="2" t="str">
        <f>IFERROR(__xludf.DUMMYFUNCTION("""COMPUTED_VALUE"""),"2026-05")</f>
        <v>2026-05</v>
      </c>
      <c r="B162" s="2" t="str">
        <f>IFERROR(__xludf.DUMMYFUNCTION("""COMPUTED_VALUE"""),"LSCINSD0005-LX")</f>
        <v>LSCINSD0005-LX</v>
      </c>
      <c r="C162" s="2">
        <f>IFERROR(__xludf.DUMMYFUNCTION("""COMPUTED_VALUE"""),0.0)</f>
        <v>0</v>
      </c>
      <c r="D162" s="2">
        <f>IFERROR(__xludf.DUMMYFUNCTION("""COMPUTED_VALUE"""),499.0)</f>
        <v>499</v>
      </c>
      <c r="E162" s="2">
        <f>IFERROR(__xludf.DUMMYFUNCTION("""COMPUTED_VALUE"""),6.0)</f>
        <v>6</v>
      </c>
      <c r="F162" s="2">
        <f>IFERROR(__xludf.DUMMYFUNCTION("""COMPUTED_VALUE"""),5.0)</f>
        <v>5</v>
      </c>
      <c r="G162" s="2">
        <f>IFERROR(__xludf.DUMMYFUNCTION("""COMPUTED_VALUE"""),0.0)</f>
        <v>0</v>
      </c>
      <c r="H162" s="2">
        <f>IFERROR(__xludf.DUMMYFUNCTION("""COMPUTED_VALUE"""),499.0)</f>
        <v>499</v>
      </c>
      <c r="I162" s="2">
        <f>IFERROR(__xludf.DUMMYFUNCTION("""COMPUTED_VALUE"""),0.0)</f>
        <v>0</v>
      </c>
    </row>
    <row r="163" ht="22.5" customHeight="1">
      <c r="A163" s="2" t="str">
        <f>IFERROR(__xludf.DUMMYFUNCTION("""COMPUTED_VALUE"""),"2026-06")</f>
        <v>2026-06</v>
      </c>
      <c r="B163" s="2" t="str">
        <f>IFERROR(__xludf.DUMMYFUNCTION("""COMPUTED_VALUE"""),"LSCINSD0005-LX")</f>
        <v>LSCINSD0005-LX</v>
      </c>
      <c r="C163" s="2">
        <f>IFERROR(__xludf.DUMMYFUNCTION("""COMPUTED_VALUE"""),0.0)</f>
        <v>0</v>
      </c>
      <c r="D163" s="2">
        <f>IFERROR(__xludf.DUMMYFUNCTION("""COMPUTED_VALUE"""),499.0)</f>
        <v>499</v>
      </c>
      <c r="E163" s="2">
        <f>IFERROR(__xludf.DUMMYFUNCTION("""COMPUTED_VALUE"""),6.0)</f>
        <v>6</v>
      </c>
      <c r="F163" s="2">
        <f>IFERROR(__xludf.DUMMYFUNCTION("""COMPUTED_VALUE"""),5.0)</f>
        <v>5</v>
      </c>
      <c r="G163" s="2">
        <f>IFERROR(__xludf.DUMMYFUNCTION("""COMPUTED_VALUE"""),0.0)</f>
        <v>0</v>
      </c>
      <c r="H163" s="2">
        <f>IFERROR(__xludf.DUMMYFUNCTION("""COMPUTED_VALUE"""),499.0)</f>
        <v>499</v>
      </c>
      <c r="I163" s="2">
        <f>IFERROR(__xludf.DUMMYFUNCTION("""COMPUTED_VALUE"""),0.0)</f>
        <v>0</v>
      </c>
    </row>
    <row r="164" ht="22.5" customHeight="1">
      <c r="A164" s="2" t="str">
        <f>IFERROR(__xludf.DUMMYFUNCTION("""COMPUTED_VALUE"""),"2026-07")</f>
        <v>2026-07</v>
      </c>
      <c r="B164" s="2" t="str">
        <f>IFERROR(__xludf.DUMMYFUNCTION("""COMPUTED_VALUE"""),"LSCINSD0005-LX")</f>
        <v>LSCINSD0005-LX</v>
      </c>
      <c r="C164" s="2">
        <f>IFERROR(__xludf.DUMMYFUNCTION("""COMPUTED_VALUE"""),0.0)</f>
        <v>0</v>
      </c>
      <c r="D164" s="2">
        <f>IFERROR(__xludf.DUMMYFUNCTION("""COMPUTED_VALUE"""),499.0)</f>
        <v>499</v>
      </c>
      <c r="E164" s="2">
        <f>IFERROR(__xludf.DUMMYFUNCTION("""COMPUTED_VALUE"""),6.0)</f>
        <v>6</v>
      </c>
      <c r="F164" s="2">
        <f>IFERROR(__xludf.DUMMYFUNCTION("""COMPUTED_VALUE"""),5.0)</f>
        <v>5</v>
      </c>
      <c r="G164" s="2">
        <f>IFERROR(__xludf.DUMMYFUNCTION("""COMPUTED_VALUE"""),0.0)</f>
        <v>0</v>
      </c>
      <c r="H164" s="2">
        <f>IFERROR(__xludf.DUMMYFUNCTION("""COMPUTED_VALUE"""),499.0)</f>
        <v>499</v>
      </c>
      <c r="I164" s="2">
        <f>IFERROR(__xludf.DUMMYFUNCTION("""COMPUTED_VALUE"""),0.0)</f>
        <v>0</v>
      </c>
    </row>
    <row r="165" ht="22.5" customHeight="1">
      <c r="A165" s="2" t="str">
        <f>IFERROR(__xludf.DUMMYFUNCTION("""COMPUTED_VALUE"""),"2026-08")</f>
        <v>2026-08</v>
      </c>
      <c r="B165" s="2" t="str">
        <f>IFERROR(__xludf.DUMMYFUNCTION("""COMPUTED_VALUE"""),"LSCINSD0005-LX")</f>
        <v>LSCINSD0005-LX</v>
      </c>
      <c r="C165" s="2">
        <f>IFERROR(__xludf.DUMMYFUNCTION("""COMPUTED_VALUE"""),0.0)</f>
        <v>0</v>
      </c>
      <c r="D165" s="2">
        <f>IFERROR(__xludf.DUMMYFUNCTION("""COMPUTED_VALUE"""),499.0)</f>
        <v>499</v>
      </c>
      <c r="E165" s="2">
        <f>IFERROR(__xludf.DUMMYFUNCTION("""COMPUTED_VALUE"""),6.0)</f>
        <v>6</v>
      </c>
      <c r="F165" s="2">
        <f>IFERROR(__xludf.DUMMYFUNCTION("""COMPUTED_VALUE"""),5.0)</f>
        <v>5</v>
      </c>
      <c r="G165" s="2">
        <f>IFERROR(__xludf.DUMMYFUNCTION("""COMPUTED_VALUE"""),0.0)</f>
        <v>0</v>
      </c>
      <c r="H165" s="2">
        <f>IFERROR(__xludf.DUMMYFUNCTION("""COMPUTED_VALUE"""),499.0)</f>
        <v>499</v>
      </c>
      <c r="I165" s="2">
        <f>IFERROR(__xludf.DUMMYFUNCTION("""COMPUTED_VALUE"""),0.0)</f>
        <v>0</v>
      </c>
    </row>
    <row r="166" ht="22.5" customHeight="1">
      <c r="A166" s="2" t="str">
        <f>IFERROR(__xludf.DUMMYFUNCTION("""COMPUTED_VALUE"""),"2026-09")</f>
        <v>2026-09</v>
      </c>
      <c r="B166" s="2" t="str">
        <f>IFERROR(__xludf.DUMMYFUNCTION("""COMPUTED_VALUE"""),"LSCINSD0005-LX")</f>
        <v>LSCINSD0005-LX</v>
      </c>
      <c r="C166" s="2">
        <f>IFERROR(__xludf.DUMMYFUNCTION("""COMPUTED_VALUE"""),0.0)</f>
        <v>0</v>
      </c>
      <c r="D166" s="2">
        <f>IFERROR(__xludf.DUMMYFUNCTION("""COMPUTED_VALUE"""),499.0)</f>
        <v>499</v>
      </c>
      <c r="E166" s="2">
        <f>IFERROR(__xludf.DUMMYFUNCTION("""COMPUTED_VALUE"""),6.0)</f>
        <v>6</v>
      </c>
      <c r="F166" s="2">
        <f>IFERROR(__xludf.DUMMYFUNCTION("""COMPUTED_VALUE"""),5.0)</f>
        <v>5</v>
      </c>
      <c r="G166" s="2">
        <f>IFERROR(__xludf.DUMMYFUNCTION("""COMPUTED_VALUE"""),0.0)</f>
        <v>0</v>
      </c>
      <c r="H166" s="2">
        <f>IFERROR(__xludf.DUMMYFUNCTION("""COMPUTED_VALUE"""),499.0)</f>
        <v>499</v>
      </c>
      <c r="I166" s="2">
        <f>IFERROR(__xludf.DUMMYFUNCTION("""COMPUTED_VALUE"""),0.0)</f>
        <v>0</v>
      </c>
    </row>
    <row r="167" ht="22.5" customHeight="1">
      <c r="A167" s="2" t="str">
        <f>IFERROR(__xludf.DUMMYFUNCTION("""COMPUTED_VALUE"""),"2026-10")</f>
        <v>2026-10</v>
      </c>
      <c r="B167" s="2" t="str">
        <f>IFERROR(__xludf.DUMMYFUNCTION("""COMPUTED_VALUE"""),"LSCINSD0005-LX")</f>
        <v>LSCINSD0005-LX</v>
      </c>
      <c r="C167" s="2">
        <f>IFERROR(__xludf.DUMMYFUNCTION("""COMPUTED_VALUE"""),0.0)</f>
        <v>0</v>
      </c>
      <c r="D167" s="2">
        <f>IFERROR(__xludf.DUMMYFUNCTION("""COMPUTED_VALUE"""),499.0)</f>
        <v>499</v>
      </c>
      <c r="E167" s="2">
        <f>IFERROR(__xludf.DUMMYFUNCTION("""COMPUTED_VALUE"""),6.0)</f>
        <v>6</v>
      </c>
      <c r="F167" s="2">
        <f>IFERROR(__xludf.DUMMYFUNCTION("""COMPUTED_VALUE"""),5.0)</f>
        <v>5</v>
      </c>
      <c r="G167" s="2">
        <f>IFERROR(__xludf.DUMMYFUNCTION("""COMPUTED_VALUE"""),0.0)</f>
        <v>0</v>
      </c>
      <c r="H167" s="2">
        <f>IFERROR(__xludf.DUMMYFUNCTION("""COMPUTED_VALUE"""),499.0)</f>
        <v>499</v>
      </c>
      <c r="I167" s="2">
        <f>IFERROR(__xludf.DUMMYFUNCTION("""COMPUTED_VALUE"""),0.0)</f>
        <v>0</v>
      </c>
    </row>
    <row r="168" ht="22.5" customHeight="1">
      <c r="A168" s="2" t="str">
        <f>IFERROR(__xludf.DUMMYFUNCTION("""COMPUTED_VALUE"""),"2026-11")</f>
        <v>2026-11</v>
      </c>
      <c r="B168" s="2" t="str">
        <f>IFERROR(__xludf.DUMMYFUNCTION("""COMPUTED_VALUE"""),"LSCINSD0005-LX")</f>
        <v>LSCINSD0005-LX</v>
      </c>
      <c r="C168" s="2">
        <f>IFERROR(__xludf.DUMMYFUNCTION("""COMPUTED_VALUE"""),0.0)</f>
        <v>0</v>
      </c>
      <c r="D168" s="2">
        <f>IFERROR(__xludf.DUMMYFUNCTION("""COMPUTED_VALUE"""),499.0)</f>
        <v>499</v>
      </c>
      <c r="E168" s="2">
        <f>IFERROR(__xludf.DUMMYFUNCTION("""COMPUTED_VALUE"""),6.0)</f>
        <v>6</v>
      </c>
      <c r="F168" s="2">
        <f>IFERROR(__xludf.DUMMYFUNCTION("""COMPUTED_VALUE"""),5.0)</f>
        <v>5</v>
      </c>
      <c r="G168" s="2">
        <f>IFERROR(__xludf.DUMMYFUNCTION("""COMPUTED_VALUE"""),0.0)</f>
        <v>0</v>
      </c>
      <c r="H168" s="2">
        <f>IFERROR(__xludf.DUMMYFUNCTION("""COMPUTED_VALUE"""),499.0)</f>
        <v>499</v>
      </c>
      <c r="I168" s="2">
        <f>IFERROR(__xludf.DUMMYFUNCTION("""COMPUTED_VALUE"""),0.0)</f>
        <v>0</v>
      </c>
    </row>
    <row r="169" ht="22.5" customHeight="1">
      <c r="A169" s="2" t="str">
        <f>IFERROR(__xludf.DUMMYFUNCTION("""COMPUTED_VALUE"""),"2026-12")</f>
        <v>2026-12</v>
      </c>
      <c r="B169" s="2" t="str">
        <f>IFERROR(__xludf.DUMMYFUNCTION("""COMPUTED_VALUE"""),"LSCINSD0005-LX")</f>
        <v>LSCINSD0005-LX</v>
      </c>
      <c r="C169" s="2">
        <f>IFERROR(__xludf.DUMMYFUNCTION("""COMPUTED_VALUE"""),0.0)</f>
        <v>0</v>
      </c>
      <c r="D169" s="2">
        <f>IFERROR(__xludf.DUMMYFUNCTION("""COMPUTED_VALUE"""),499.0)</f>
        <v>499</v>
      </c>
      <c r="E169" s="2">
        <f>IFERROR(__xludf.DUMMYFUNCTION("""COMPUTED_VALUE"""),6.0)</f>
        <v>6</v>
      </c>
      <c r="F169" s="2">
        <f>IFERROR(__xludf.DUMMYFUNCTION("""COMPUTED_VALUE"""),5.0)</f>
        <v>5</v>
      </c>
      <c r="G169" s="2">
        <f>IFERROR(__xludf.DUMMYFUNCTION("""COMPUTED_VALUE"""),0.0)</f>
        <v>0</v>
      </c>
      <c r="H169" s="2">
        <f>IFERROR(__xludf.DUMMYFUNCTION("""COMPUTED_VALUE"""),499.0)</f>
        <v>499</v>
      </c>
      <c r="I169" s="2">
        <f>IFERROR(__xludf.DUMMYFUNCTION("""COMPUTED_VALUE"""),0.0)</f>
        <v>0</v>
      </c>
    </row>
    <row r="170" ht="22.5" customHeight="1">
      <c r="A170" s="2" t="str">
        <f>IFERROR(__xludf.DUMMYFUNCTION("""COMPUTED_VALUE"""),"2026-01")</f>
        <v>2026-01</v>
      </c>
      <c r="B170" s="2" t="str">
        <f>IFERROR(__xludf.DUMMYFUNCTION("""COMPUTED_VALUE"""),"LSCINSV0010")</f>
        <v>LSCINSV0010</v>
      </c>
      <c r="C170" s="2">
        <f>IFERROR(__xludf.DUMMYFUNCTION("""COMPUTED_VALUE"""),0.0)</f>
        <v>0</v>
      </c>
      <c r="D170" s="2">
        <f>IFERROR(__xludf.DUMMYFUNCTION("""COMPUTED_VALUE"""),554.0)</f>
        <v>554</v>
      </c>
      <c r="E170" s="2">
        <f>IFERROR(__xludf.DUMMYFUNCTION("""COMPUTED_VALUE"""),5.0)</f>
        <v>5</v>
      </c>
      <c r="F170" s="2">
        <f>IFERROR(__xludf.DUMMYFUNCTION("""COMPUTED_VALUE"""),46.0)</f>
        <v>46</v>
      </c>
      <c r="G170" s="2">
        <f>IFERROR(__xludf.DUMMYFUNCTION("""COMPUTED_VALUE"""),90.0)</f>
        <v>90</v>
      </c>
      <c r="H170" s="2">
        <f>IFERROR(__xludf.DUMMYFUNCTION("""COMPUTED_VALUE"""),627.0)</f>
        <v>627</v>
      </c>
      <c r="I170" s="2">
        <f>IFERROR(__xludf.DUMMYFUNCTION("""COMPUTED_VALUE"""),17.0)</f>
        <v>17</v>
      </c>
    </row>
    <row r="171" ht="22.5" customHeight="1">
      <c r="A171" s="2" t="str">
        <f>IFERROR(__xludf.DUMMYFUNCTION("""COMPUTED_VALUE"""),"2026-02")</f>
        <v>2026-02</v>
      </c>
      <c r="B171" s="2" t="str">
        <f>IFERROR(__xludf.DUMMYFUNCTION("""COMPUTED_VALUE"""),"LSCINSV0010")</f>
        <v>LSCINSV0010</v>
      </c>
      <c r="C171" s="2">
        <f>IFERROR(__xludf.DUMMYFUNCTION("""COMPUTED_VALUE"""),17.0)</f>
        <v>17</v>
      </c>
      <c r="D171" s="2">
        <f>IFERROR(__xludf.DUMMYFUNCTION("""COMPUTED_VALUE"""),758.0)</f>
        <v>758</v>
      </c>
      <c r="E171" s="2">
        <f>IFERROR(__xludf.DUMMYFUNCTION("""COMPUTED_VALUE"""),7.0)</f>
        <v>7</v>
      </c>
      <c r="F171" s="2">
        <f>IFERROR(__xludf.DUMMYFUNCTION("""COMPUTED_VALUE"""),82.0)</f>
        <v>82</v>
      </c>
      <c r="G171" s="2">
        <f>IFERROR(__xludf.DUMMYFUNCTION("""COMPUTED_VALUE"""),0.0)</f>
        <v>0</v>
      </c>
      <c r="H171" s="2">
        <f>IFERROR(__xludf.DUMMYFUNCTION("""COMPUTED_VALUE"""),740.0)</f>
        <v>740</v>
      </c>
      <c r="I171" s="2">
        <f>IFERROR(__xludf.DUMMYFUNCTION("""COMPUTED_VALUE"""),35.0)</f>
        <v>35</v>
      </c>
    </row>
    <row r="172" ht="22.5" customHeight="1">
      <c r="A172" s="2" t="str">
        <f>IFERROR(__xludf.DUMMYFUNCTION("""COMPUTED_VALUE"""),"2026-03")</f>
        <v>2026-03</v>
      </c>
      <c r="B172" s="2" t="str">
        <f>IFERROR(__xludf.DUMMYFUNCTION("""COMPUTED_VALUE"""),"LSCINSV0010")</f>
        <v>LSCINSV0010</v>
      </c>
      <c r="C172" s="2">
        <f>IFERROR(__xludf.DUMMYFUNCTION("""COMPUTED_VALUE"""),35.0)</f>
        <v>35</v>
      </c>
      <c r="D172" s="2">
        <f>IFERROR(__xludf.DUMMYFUNCTION("""COMPUTED_VALUE"""),705.0)</f>
        <v>705</v>
      </c>
      <c r="E172" s="2">
        <f>IFERROR(__xludf.DUMMYFUNCTION("""COMPUTED_VALUE"""),6.0)</f>
        <v>6</v>
      </c>
      <c r="F172" s="2">
        <f>IFERROR(__xludf.DUMMYFUNCTION("""COMPUTED_VALUE"""),15.0)</f>
        <v>15</v>
      </c>
      <c r="G172" s="2">
        <f>IFERROR(__xludf.DUMMYFUNCTION("""COMPUTED_VALUE"""),0.0)</f>
        <v>0</v>
      </c>
      <c r="H172" s="2">
        <f>IFERROR(__xludf.DUMMYFUNCTION("""COMPUTED_VALUE"""),740.0)</f>
        <v>740</v>
      </c>
      <c r="I172" s="2">
        <f>IFERROR(__xludf.DUMMYFUNCTION("""COMPUTED_VALUE"""),0.0)</f>
        <v>0</v>
      </c>
    </row>
    <row r="173" ht="22.5" customHeight="1">
      <c r="A173" s="2" t="str">
        <f>IFERROR(__xludf.DUMMYFUNCTION("""COMPUTED_VALUE"""),"2026-04")</f>
        <v>2026-04</v>
      </c>
      <c r="B173" s="2" t="str">
        <f>IFERROR(__xludf.DUMMYFUNCTION("""COMPUTED_VALUE"""),"LSCINSV0010")</f>
        <v>LSCINSV0010</v>
      </c>
      <c r="C173" s="2">
        <f>IFERROR(__xludf.DUMMYFUNCTION("""COMPUTED_VALUE"""),0.0)</f>
        <v>0</v>
      </c>
      <c r="D173" s="2">
        <f>IFERROR(__xludf.DUMMYFUNCTION("""COMPUTED_VALUE"""),740.0)</f>
        <v>740</v>
      </c>
      <c r="E173" s="2">
        <f>IFERROR(__xludf.DUMMYFUNCTION("""COMPUTED_VALUE"""),7.0)</f>
        <v>7</v>
      </c>
      <c r="F173" s="2">
        <f>IFERROR(__xludf.DUMMYFUNCTION("""COMPUTED_VALUE"""),100.0)</f>
        <v>100</v>
      </c>
      <c r="G173" s="2">
        <f>IFERROR(__xludf.DUMMYFUNCTION("""COMPUTED_VALUE"""),0.0)</f>
        <v>0</v>
      </c>
      <c r="H173" s="2">
        <f>IFERROR(__xludf.DUMMYFUNCTION("""COMPUTED_VALUE"""),740.0)</f>
        <v>740</v>
      </c>
      <c r="I173" s="2">
        <f>IFERROR(__xludf.DUMMYFUNCTION("""COMPUTED_VALUE"""),0.0)</f>
        <v>0</v>
      </c>
    </row>
    <row r="174" ht="22.5" customHeight="1">
      <c r="A174" s="2" t="str">
        <f>IFERROR(__xludf.DUMMYFUNCTION("""COMPUTED_VALUE"""),"2026-05")</f>
        <v>2026-05</v>
      </c>
      <c r="B174" s="2" t="str">
        <f>IFERROR(__xludf.DUMMYFUNCTION("""COMPUTED_VALUE"""),"LSCINSV0010")</f>
        <v>LSCINSV0010</v>
      </c>
      <c r="C174" s="2">
        <f>IFERROR(__xludf.DUMMYFUNCTION("""COMPUTED_VALUE"""),0.0)</f>
        <v>0</v>
      </c>
      <c r="D174" s="2">
        <f>IFERROR(__xludf.DUMMYFUNCTION("""COMPUTED_VALUE"""),740.0)</f>
        <v>740</v>
      </c>
      <c r="E174" s="2">
        <f>IFERROR(__xludf.DUMMYFUNCTION("""COMPUTED_VALUE"""),7.0)</f>
        <v>7</v>
      </c>
      <c r="F174" s="2">
        <f>IFERROR(__xludf.DUMMYFUNCTION("""COMPUTED_VALUE"""),100.0)</f>
        <v>100</v>
      </c>
      <c r="G174" s="2">
        <f>IFERROR(__xludf.DUMMYFUNCTION("""COMPUTED_VALUE"""),0.0)</f>
        <v>0</v>
      </c>
      <c r="H174" s="2">
        <f>IFERROR(__xludf.DUMMYFUNCTION("""COMPUTED_VALUE"""),740.0)</f>
        <v>740</v>
      </c>
      <c r="I174" s="2">
        <f>IFERROR(__xludf.DUMMYFUNCTION("""COMPUTED_VALUE"""),0.0)</f>
        <v>0</v>
      </c>
    </row>
    <row r="175" ht="22.5" customHeight="1">
      <c r="A175" s="2" t="str">
        <f>IFERROR(__xludf.DUMMYFUNCTION("""COMPUTED_VALUE"""),"2026-06")</f>
        <v>2026-06</v>
      </c>
      <c r="B175" s="2" t="str">
        <f>IFERROR(__xludf.DUMMYFUNCTION("""COMPUTED_VALUE"""),"LSCINSV0010")</f>
        <v>LSCINSV0010</v>
      </c>
      <c r="C175" s="2">
        <f>IFERROR(__xludf.DUMMYFUNCTION("""COMPUTED_VALUE"""),0.0)</f>
        <v>0</v>
      </c>
      <c r="D175" s="2">
        <f>IFERROR(__xludf.DUMMYFUNCTION("""COMPUTED_VALUE"""),741.0)</f>
        <v>741</v>
      </c>
      <c r="E175" s="2">
        <f>IFERROR(__xludf.DUMMYFUNCTION("""COMPUTED_VALUE"""),8.0)</f>
        <v>8</v>
      </c>
      <c r="F175" s="2">
        <f>IFERROR(__xludf.DUMMYFUNCTION("""COMPUTED_VALUE"""),219.0)</f>
        <v>219</v>
      </c>
      <c r="G175" s="2">
        <f>IFERROR(__xludf.DUMMYFUNCTION("""COMPUTED_VALUE"""),0.0)</f>
        <v>0</v>
      </c>
      <c r="H175" s="2">
        <f>IFERROR(__xludf.DUMMYFUNCTION("""COMPUTED_VALUE"""),740.0)</f>
        <v>740</v>
      </c>
      <c r="I175" s="2">
        <f>IFERROR(__xludf.DUMMYFUNCTION("""COMPUTED_VALUE"""),1.0)</f>
        <v>1</v>
      </c>
    </row>
    <row r="176" ht="22.5" customHeight="1">
      <c r="A176" s="2" t="str">
        <f>IFERROR(__xludf.DUMMYFUNCTION("""COMPUTED_VALUE"""),"2026-07")</f>
        <v>2026-07</v>
      </c>
      <c r="B176" s="2" t="str">
        <f>IFERROR(__xludf.DUMMYFUNCTION("""COMPUTED_VALUE"""),"LSCINSV0010")</f>
        <v>LSCINSV0010</v>
      </c>
      <c r="C176" s="2">
        <f>IFERROR(__xludf.DUMMYFUNCTION("""COMPUTED_VALUE"""),1.0)</f>
        <v>1</v>
      </c>
      <c r="D176" s="2">
        <f>IFERROR(__xludf.DUMMYFUNCTION("""COMPUTED_VALUE"""),739.0)</f>
        <v>739</v>
      </c>
      <c r="E176" s="2">
        <f>IFERROR(__xludf.DUMMYFUNCTION("""COMPUTED_VALUE"""),7.0)</f>
        <v>7</v>
      </c>
      <c r="F176" s="2">
        <f>IFERROR(__xludf.DUMMYFUNCTION("""COMPUTED_VALUE"""),101.0)</f>
        <v>101</v>
      </c>
      <c r="G176" s="2">
        <f>IFERROR(__xludf.DUMMYFUNCTION("""COMPUTED_VALUE"""),0.0)</f>
        <v>0</v>
      </c>
      <c r="H176" s="2">
        <f>IFERROR(__xludf.DUMMYFUNCTION("""COMPUTED_VALUE"""),740.0)</f>
        <v>740</v>
      </c>
      <c r="I176" s="2">
        <f>IFERROR(__xludf.DUMMYFUNCTION("""COMPUTED_VALUE"""),0.0)</f>
        <v>0</v>
      </c>
    </row>
    <row r="177" ht="22.5" customHeight="1">
      <c r="A177" s="2" t="str">
        <f>IFERROR(__xludf.DUMMYFUNCTION("""COMPUTED_VALUE"""),"2026-08")</f>
        <v>2026-08</v>
      </c>
      <c r="B177" s="2" t="str">
        <f>IFERROR(__xludf.DUMMYFUNCTION("""COMPUTED_VALUE"""),"LSCINSV0010")</f>
        <v>LSCINSV0010</v>
      </c>
      <c r="C177" s="2">
        <f>IFERROR(__xludf.DUMMYFUNCTION("""COMPUTED_VALUE"""),0.0)</f>
        <v>0</v>
      </c>
      <c r="D177" s="2">
        <f>IFERROR(__xludf.DUMMYFUNCTION("""COMPUTED_VALUE"""),740.0)</f>
        <v>740</v>
      </c>
      <c r="E177" s="2">
        <f>IFERROR(__xludf.DUMMYFUNCTION("""COMPUTED_VALUE"""),7.0)</f>
        <v>7</v>
      </c>
      <c r="F177" s="2">
        <f>IFERROR(__xludf.DUMMYFUNCTION("""COMPUTED_VALUE"""),100.0)</f>
        <v>100</v>
      </c>
      <c r="G177" s="2">
        <f>IFERROR(__xludf.DUMMYFUNCTION("""COMPUTED_VALUE"""),0.0)</f>
        <v>0</v>
      </c>
      <c r="H177" s="2">
        <f>IFERROR(__xludf.DUMMYFUNCTION("""COMPUTED_VALUE"""),740.0)</f>
        <v>740</v>
      </c>
      <c r="I177" s="2">
        <f>IFERROR(__xludf.DUMMYFUNCTION("""COMPUTED_VALUE"""),0.0)</f>
        <v>0</v>
      </c>
    </row>
    <row r="178" ht="22.5" customHeight="1">
      <c r="A178" s="2" t="str">
        <f>IFERROR(__xludf.DUMMYFUNCTION("""COMPUTED_VALUE"""),"2026-09")</f>
        <v>2026-09</v>
      </c>
      <c r="B178" s="2" t="str">
        <f>IFERROR(__xludf.DUMMYFUNCTION("""COMPUTED_VALUE"""),"LSCINSV0010")</f>
        <v>LSCINSV0010</v>
      </c>
      <c r="C178" s="2">
        <f>IFERROR(__xludf.DUMMYFUNCTION("""COMPUTED_VALUE"""),0.0)</f>
        <v>0</v>
      </c>
      <c r="D178" s="2">
        <f>IFERROR(__xludf.DUMMYFUNCTION("""COMPUTED_VALUE"""),740.0)</f>
        <v>740</v>
      </c>
      <c r="E178" s="2">
        <f>IFERROR(__xludf.DUMMYFUNCTION("""COMPUTED_VALUE"""),7.0)</f>
        <v>7</v>
      </c>
      <c r="F178" s="2">
        <f>IFERROR(__xludf.DUMMYFUNCTION("""COMPUTED_VALUE"""),100.0)</f>
        <v>100</v>
      </c>
      <c r="G178" s="2">
        <f>IFERROR(__xludf.DUMMYFUNCTION("""COMPUTED_VALUE"""),0.0)</f>
        <v>0</v>
      </c>
      <c r="H178" s="2">
        <f>IFERROR(__xludf.DUMMYFUNCTION("""COMPUTED_VALUE"""),740.0)</f>
        <v>740</v>
      </c>
      <c r="I178" s="2">
        <f>IFERROR(__xludf.DUMMYFUNCTION("""COMPUTED_VALUE"""),0.0)</f>
        <v>0</v>
      </c>
    </row>
    <row r="179" ht="22.5" customHeight="1">
      <c r="A179" s="2" t="str">
        <f>IFERROR(__xludf.DUMMYFUNCTION("""COMPUTED_VALUE"""),"2026-10")</f>
        <v>2026-10</v>
      </c>
      <c r="B179" s="2" t="str">
        <f>IFERROR(__xludf.DUMMYFUNCTION("""COMPUTED_VALUE"""),"LSCINSV0010")</f>
        <v>LSCINSV0010</v>
      </c>
      <c r="C179" s="2">
        <f>IFERROR(__xludf.DUMMYFUNCTION("""COMPUTED_VALUE"""),0.0)</f>
        <v>0</v>
      </c>
      <c r="D179" s="2">
        <f>IFERROR(__xludf.DUMMYFUNCTION("""COMPUTED_VALUE"""),740.0)</f>
        <v>740</v>
      </c>
      <c r="E179" s="2">
        <f>IFERROR(__xludf.DUMMYFUNCTION("""COMPUTED_VALUE"""),7.0)</f>
        <v>7</v>
      </c>
      <c r="F179" s="2">
        <f>IFERROR(__xludf.DUMMYFUNCTION("""COMPUTED_VALUE"""),100.0)</f>
        <v>100</v>
      </c>
      <c r="G179" s="2">
        <f>IFERROR(__xludf.DUMMYFUNCTION("""COMPUTED_VALUE"""),0.0)</f>
        <v>0</v>
      </c>
      <c r="H179" s="2">
        <f>IFERROR(__xludf.DUMMYFUNCTION("""COMPUTED_VALUE"""),740.0)</f>
        <v>740</v>
      </c>
      <c r="I179" s="2">
        <f>IFERROR(__xludf.DUMMYFUNCTION("""COMPUTED_VALUE"""),0.0)</f>
        <v>0</v>
      </c>
    </row>
    <row r="180" ht="22.5" customHeight="1">
      <c r="A180" s="2" t="str">
        <f>IFERROR(__xludf.DUMMYFUNCTION("""COMPUTED_VALUE"""),"2026-11")</f>
        <v>2026-11</v>
      </c>
      <c r="B180" s="2" t="str">
        <f>IFERROR(__xludf.DUMMYFUNCTION("""COMPUTED_VALUE"""),"LSCINSV0010")</f>
        <v>LSCINSV0010</v>
      </c>
      <c r="C180" s="2">
        <f>IFERROR(__xludf.DUMMYFUNCTION("""COMPUTED_VALUE"""),0.0)</f>
        <v>0</v>
      </c>
      <c r="D180" s="2">
        <f>IFERROR(__xludf.DUMMYFUNCTION("""COMPUTED_VALUE"""),744.0)</f>
        <v>744</v>
      </c>
      <c r="E180" s="2">
        <f>IFERROR(__xludf.DUMMYFUNCTION("""COMPUTED_VALUE"""),7.0)</f>
        <v>7</v>
      </c>
      <c r="F180" s="2">
        <f>IFERROR(__xludf.DUMMYFUNCTION("""COMPUTED_VALUE"""),96.0)</f>
        <v>96</v>
      </c>
      <c r="G180" s="2">
        <f>IFERROR(__xludf.DUMMYFUNCTION("""COMPUTED_VALUE"""),0.0)</f>
        <v>0</v>
      </c>
      <c r="H180" s="2">
        <f>IFERROR(__xludf.DUMMYFUNCTION("""COMPUTED_VALUE"""),740.0)</f>
        <v>740</v>
      </c>
      <c r="I180" s="2">
        <f>IFERROR(__xludf.DUMMYFUNCTION("""COMPUTED_VALUE"""),4.0)</f>
        <v>4</v>
      </c>
    </row>
    <row r="181" ht="22.5" customHeight="1">
      <c r="A181" s="2" t="str">
        <f>IFERROR(__xludf.DUMMYFUNCTION("""COMPUTED_VALUE"""),"2026-12")</f>
        <v>2026-12</v>
      </c>
      <c r="B181" s="2" t="str">
        <f>IFERROR(__xludf.DUMMYFUNCTION("""COMPUTED_VALUE"""),"LSCINSV0010")</f>
        <v>LSCINSV0010</v>
      </c>
      <c r="C181" s="2">
        <f>IFERROR(__xludf.DUMMYFUNCTION("""COMPUTED_VALUE"""),4.0)</f>
        <v>4</v>
      </c>
      <c r="D181" s="2">
        <f>IFERROR(__xludf.DUMMYFUNCTION("""COMPUTED_VALUE"""),736.0)</f>
        <v>736</v>
      </c>
      <c r="E181" s="2">
        <f>IFERROR(__xludf.DUMMYFUNCTION("""COMPUTED_VALUE"""),7.0)</f>
        <v>7</v>
      </c>
      <c r="F181" s="2">
        <f>IFERROR(__xludf.DUMMYFUNCTION("""COMPUTED_VALUE"""),104.0)</f>
        <v>104</v>
      </c>
      <c r="G181" s="2">
        <f>IFERROR(__xludf.DUMMYFUNCTION("""COMPUTED_VALUE"""),0.0)</f>
        <v>0</v>
      </c>
      <c r="H181" s="2">
        <f>IFERROR(__xludf.DUMMYFUNCTION("""COMPUTED_VALUE"""),740.0)</f>
        <v>740</v>
      </c>
      <c r="I181" s="2">
        <f>IFERROR(__xludf.DUMMYFUNCTION("""COMPUTED_VALUE"""),0.0)</f>
        <v>0</v>
      </c>
    </row>
    <row r="182" ht="22.5" customHeight="1">
      <c r="A182" s="2" t="str">
        <f>IFERROR(__xludf.DUMMYFUNCTION("""COMPUTED_VALUE"""),"2026-01")</f>
        <v>2026-01</v>
      </c>
      <c r="B182" s="2" t="str">
        <f>IFERROR(__xludf.DUMMYFUNCTION("""COMPUTED_VALUE"""),"LSCINSV0010-LX")</f>
        <v>LSCINSV0010-LX</v>
      </c>
      <c r="C182" s="2">
        <f>IFERROR(__xludf.DUMMYFUNCTION("""COMPUTED_VALUE"""),0.0)</f>
        <v>0</v>
      </c>
      <c r="D182" s="2">
        <f>IFERROR(__xludf.DUMMYFUNCTION("""COMPUTED_VALUE"""),312.0)</f>
        <v>312</v>
      </c>
      <c r="E182" s="2">
        <f>IFERROR(__xludf.DUMMYFUNCTION("""COMPUTED_VALUE"""),4.0)</f>
        <v>4</v>
      </c>
      <c r="F182" s="2">
        <f>IFERROR(__xludf.DUMMYFUNCTION("""COMPUTED_VALUE"""),24.0)</f>
        <v>24</v>
      </c>
      <c r="G182" s="2">
        <f>IFERROR(__xludf.DUMMYFUNCTION("""COMPUTED_VALUE"""),68.0)</f>
        <v>68</v>
      </c>
      <c r="H182" s="2">
        <f>IFERROR(__xludf.DUMMYFUNCTION("""COMPUTED_VALUE"""),380.0)</f>
        <v>380</v>
      </c>
      <c r="I182" s="2">
        <f>IFERROR(__xludf.DUMMYFUNCTION("""COMPUTED_VALUE"""),0.0)</f>
        <v>0</v>
      </c>
    </row>
    <row r="183" ht="22.5" customHeight="1">
      <c r="A183" s="2" t="str">
        <f>IFERROR(__xludf.DUMMYFUNCTION("""COMPUTED_VALUE"""),"2026-02")</f>
        <v>2026-02</v>
      </c>
      <c r="B183" s="2" t="str">
        <f>IFERROR(__xludf.DUMMYFUNCTION("""COMPUTED_VALUE"""),"LSCINSV0010-LX")</f>
        <v>LSCINSV0010-LX</v>
      </c>
      <c r="C183" s="2">
        <f>IFERROR(__xludf.DUMMYFUNCTION("""COMPUTED_VALUE"""),0.0)</f>
        <v>0</v>
      </c>
      <c r="D183" s="2">
        <f>IFERROR(__xludf.DUMMYFUNCTION("""COMPUTED_VALUE"""),492.0)</f>
        <v>492</v>
      </c>
      <c r="E183" s="2">
        <f>IFERROR(__xludf.DUMMYFUNCTION("""COMPUTED_VALUE"""),6.0)</f>
        <v>6</v>
      </c>
      <c r="F183" s="2">
        <f>IFERROR(__xludf.DUMMYFUNCTION("""COMPUTED_VALUE"""),12.0)</f>
        <v>12</v>
      </c>
      <c r="G183" s="2">
        <f>IFERROR(__xludf.DUMMYFUNCTION("""COMPUTED_VALUE"""),0.0)</f>
        <v>0</v>
      </c>
      <c r="H183" s="2">
        <f>IFERROR(__xludf.DUMMYFUNCTION("""COMPUTED_VALUE"""),492.0)</f>
        <v>492</v>
      </c>
      <c r="I183" s="2">
        <f>IFERROR(__xludf.DUMMYFUNCTION("""COMPUTED_VALUE"""),0.0)</f>
        <v>0</v>
      </c>
    </row>
    <row r="184" ht="22.5" customHeight="1">
      <c r="A184" s="2" t="str">
        <f>IFERROR(__xludf.DUMMYFUNCTION("""COMPUTED_VALUE"""),"2026-03")</f>
        <v>2026-03</v>
      </c>
      <c r="B184" s="2" t="str">
        <f>IFERROR(__xludf.DUMMYFUNCTION("""COMPUTED_VALUE"""),"LSCINSV0010-LX")</f>
        <v>LSCINSV0010-LX</v>
      </c>
      <c r="C184" s="2">
        <f>IFERROR(__xludf.DUMMYFUNCTION("""COMPUTED_VALUE"""),0.0)</f>
        <v>0</v>
      </c>
      <c r="D184" s="2">
        <f>IFERROR(__xludf.DUMMYFUNCTION("""COMPUTED_VALUE"""),492.0)</f>
        <v>492</v>
      </c>
      <c r="E184" s="2">
        <f>IFERROR(__xludf.DUMMYFUNCTION("""COMPUTED_VALUE"""),6.0)</f>
        <v>6</v>
      </c>
      <c r="F184" s="2">
        <f>IFERROR(__xludf.DUMMYFUNCTION("""COMPUTED_VALUE"""),12.0)</f>
        <v>12</v>
      </c>
      <c r="G184" s="2">
        <f>IFERROR(__xludf.DUMMYFUNCTION("""COMPUTED_VALUE"""),0.0)</f>
        <v>0</v>
      </c>
      <c r="H184" s="2">
        <f>IFERROR(__xludf.DUMMYFUNCTION("""COMPUTED_VALUE"""),492.0)</f>
        <v>492</v>
      </c>
      <c r="I184" s="2">
        <f>IFERROR(__xludf.DUMMYFUNCTION("""COMPUTED_VALUE"""),0.0)</f>
        <v>0</v>
      </c>
    </row>
    <row r="185" ht="22.5" customHeight="1">
      <c r="A185" s="2" t="str">
        <f>IFERROR(__xludf.DUMMYFUNCTION("""COMPUTED_VALUE"""),"2026-04")</f>
        <v>2026-04</v>
      </c>
      <c r="B185" s="2" t="str">
        <f>IFERROR(__xludf.DUMMYFUNCTION("""COMPUTED_VALUE"""),"LSCINSV0010-LX")</f>
        <v>LSCINSV0010-LX</v>
      </c>
      <c r="C185" s="2">
        <f>IFERROR(__xludf.DUMMYFUNCTION("""COMPUTED_VALUE"""),0.0)</f>
        <v>0</v>
      </c>
      <c r="D185" s="2">
        <f>IFERROR(__xludf.DUMMYFUNCTION("""COMPUTED_VALUE"""),492.0)</f>
        <v>492</v>
      </c>
      <c r="E185" s="2">
        <f>IFERROR(__xludf.DUMMYFUNCTION("""COMPUTED_VALUE"""),6.0)</f>
        <v>6</v>
      </c>
      <c r="F185" s="2">
        <f>IFERROR(__xludf.DUMMYFUNCTION("""COMPUTED_VALUE"""),12.0)</f>
        <v>12</v>
      </c>
      <c r="G185" s="2">
        <f>IFERROR(__xludf.DUMMYFUNCTION("""COMPUTED_VALUE"""),0.0)</f>
        <v>0</v>
      </c>
      <c r="H185" s="2">
        <f>IFERROR(__xludf.DUMMYFUNCTION("""COMPUTED_VALUE"""),492.0)</f>
        <v>492</v>
      </c>
      <c r="I185" s="2">
        <f>IFERROR(__xludf.DUMMYFUNCTION("""COMPUTED_VALUE"""),0.0)</f>
        <v>0</v>
      </c>
    </row>
    <row r="186" ht="22.5" customHeight="1">
      <c r="A186" s="2" t="str">
        <f>IFERROR(__xludf.DUMMYFUNCTION("""COMPUTED_VALUE"""),"2026-05")</f>
        <v>2026-05</v>
      </c>
      <c r="B186" s="2" t="str">
        <f>IFERROR(__xludf.DUMMYFUNCTION("""COMPUTED_VALUE"""),"LSCINSV0010-LX")</f>
        <v>LSCINSV0010-LX</v>
      </c>
      <c r="C186" s="2">
        <f>IFERROR(__xludf.DUMMYFUNCTION("""COMPUTED_VALUE"""),0.0)</f>
        <v>0</v>
      </c>
      <c r="D186" s="2">
        <f>IFERROR(__xludf.DUMMYFUNCTION("""COMPUTED_VALUE"""),492.0)</f>
        <v>492</v>
      </c>
      <c r="E186" s="2">
        <f>IFERROR(__xludf.DUMMYFUNCTION("""COMPUTED_VALUE"""),6.0)</f>
        <v>6</v>
      </c>
      <c r="F186" s="2">
        <f>IFERROR(__xludf.DUMMYFUNCTION("""COMPUTED_VALUE"""),12.0)</f>
        <v>12</v>
      </c>
      <c r="G186" s="2">
        <f>IFERROR(__xludf.DUMMYFUNCTION("""COMPUTED_VALUE"""),0.0)</f>
        <v>0</v>
      </c>
      <c r="H186" s="2">
        <f>IFERROR(__xludf.DUMMYFUNCTION("""COMPUTED_VALUE"""),492.0)</f>
        <v>492</v>
      </c>
      <c r="I186" s="2">
        <f>IFERROR(__xludf.DUMMYFUNCTION("""COMPUTED_VALUE"""),0.0)</f>
        <v>0</v>
      </c>
    </row>
    <row r="187" ht="22.5" customHeight="1">
      <c r="A187" s="2" t="str">
        <f>IFERROR(__xludf.DUMMYFUNCTION("""COMPUTED_VALUE"""),"2026-06")</f>
        <v>2026-06</v>
      </c>
      <c r="B187" s="2" t="str">
        <f>IFERROR(__xludf.DUMMYFUNCTION("""COMPUTED_VALUE"""),"LSCINSV0010-LX")</f>
        <v>LSCINSV0010-LX</v>
      </c>
      <c r="C187" s="2">
        <f>IFERROR(__xludf.DUMMYFUNCTION("""COMPUTED_VALUE"""),0.0)</f>
        <v>0</v>
      </c>
      <c r="D187" s="2">
        <f>IFERROR(__xludf.DUMMYFUNCTION("""COMPUTED_VALUE"""),492.0)</f>
        <v>492</v>
      </c>
      <c r="E187" s="2">
        <f>IFERROR(__xludf.DUMMYFUNCTION("""COMPUTED_VALUE"""),6.0)</f>
        <v>6</v>
      </c>
      <c r="F187" s="2">
        <f>IFERROR(__xludf.DUMMYFUNCTION("""COMPUTED_VALUE"""),12.0)</f>
        <v>12</v>
      </c>
      <c r="G187" s="2">
        <f>IFERROR(__xludf.DUMMYFUNCTION("""COMPUTED_VALUE"""),0.0)</f>
        <v>0</v>
      </c>
      <c r="H187" s="2">
        <f>IFERROR(__xludf.DUMMYFUNCTION("""COMPUTED_VALUE"""),492.0)</f>
        <v>492</v>
      </c>
      <c r="I187" s="2">
        <f>IFERROR(__xludf.DUMMYFUNCTION("""COMPUTED_VALUE"""),0.0)</f>
        <v>0</v>
      </c>
    </row>
    <row r="188" ht="22.5" customHeight="1">
      <c r="A188" s="2" t="str">
        <f>IFERROR(__xludf.DUMMYFUNCTION("""COMPUTED_VALUE"""),"2026-07")</f>
        <v>2026-07</v>
      </c>
      <c r="B188" s="2" t="str">
        <f>IFERROR(__xludf.DUMMYFUNCTION("""COMPUTED_VALUE"""),"LSCINSV0010-LX")</f>
        <v>LSCINSV0010-LX</v>
      </c>
      <c r="C188" s="2">
        <f>IFERROR(__xludf.DUMMYFUNCTION("""COMPUTED_VALUE"""),0.0)</f>
        <v>0</v>
      </c>
      <c r="D188" s="2">
        <f>IFERROR(__xludf.DUMMYFUNCTION("""COMPUTED_VALUE"""),492.0)</f>
        <v>492</v>
      </c>
      <c r="E188" s="2">
        <f>IFERROR(__xludf.DUMMYFUNCTION("""COMPUTED_VALUE"""),6.0)</f>
        <v>6</v>
      </c>
      <c r="F188" s="2">
        <f>IFERROR(__xludf.DUMMYFUNCTION("""COMPUTED_VALUE"""),12.0)</f>
        <v>12</v>
      </c>
      <c r="G188" s="2">
        <f>IFERROR(__xludf.DUMMYFUNCTION("""COMPUTED_VALUE"""),0.0)</f>
        <v>0</v>
      </c>
      <c r="H188" s="2">
        <f>IFERROR(__xludf.DUMMYFUNCTION("""COMPUTED_VALUE"""),492.0)</f>
        <v>492</v>
      </c>
      <c r="I188" s="2">
        <f>IFERROR(__xludf.DUMMYFUNCTION("""COMPUTED_VALUE"""),0.0)</f>
        <v>0</v>
      </c>
    </row>
    <row r="189" ht="22.5" customHeight="1">
      <c r="A189" s="2" t="str">
        <f>IFERROR(__xludf.DUMMYFUNCTION("""COMPUTED_VALUE"""),"2026-08")</f>
        <v>2026-08</v>
      </c>
      <c r="B189" s="2" t="str">
        <f>IFERROR(__xludf.DUMMYFUNCTION("""COMPUTED_VALUE"""),"LSCINSV0010-LX")</f>
        <v>LSCINSV0010-LX</v>
      </c>
      <c r="C189" s="2">
        <f>IFERROR(__xludf.DUMMYFUNCTION("""COMPUTED_VALUE"""),0.0)</f>
        <v>0</v>
      </c>
      <c r="D189" s="2">
        <f>IFERROR(__xludf.DUMMYFUNCTION("""COMPUTED_VALUE"""),492.0)</f>
        <v>492</v>
      </c>
      <c r="E189" s="2">
        <f>IFERROR(__xludf.DUMMYFUNCTION("""COMPUTED_VALUE"""),6.0)</f>
        <v>6</v>
      </c>
      <c r="F189" s="2">
        <f>IFERROR(__xludf.DUMMYFUNCTION("""COMPUTED_VALUE"""),12.0)</f>
        <v>12</v>
      </c>
      <c r="G189" s="2">
        <f>IFERROR(__xludf.DUMMYFUNCTION("""COMPUTED_VALUE"""),0.0)</f>
        <v>0</v>
      </c>
      <c r="H189" s="2">
        <f>IFERROR(__xludf.DUMMYFUNCTION("""COMPUTED_VALUE"""),492.0)</f>
        <v>492</v>
      </c>
      <c r="I189" s="2">
        <f>IFERROR(__xludf.DUMMYFUNCTION("""COMPUTED_VALUE"""),0.0)</f>
        <v>0</v>
      </c>
    </row>
    <row r="190" ht="22.5" customHeight="1">
      <c r="A190" s="2" t="str">
        <f>IFERROR(__xludf.DUMMYFUNCTION("""COMPUTED_VALUE"""),"2026-09")</f>
        <v>2026-09</v>
      </c>
      <c r="B190" s="2" t="str">
        <f>IFERROR(__xludf.DUMMYFUNCTION("""COMPUTED_VALUE"""),"LSCINSV0010-LX")</f>
        <v>LSCINSV0010-LX</v>
      </c>
      <c r="C190" s="2">
        <f>IFERROR(__xludf.DUMMYFUNCTION("""COMPUTED_VALUE"""),0.0)</f>
        <v>0</v>
      </c>
      <c r="D190" s="2">
        <f>IFERROR(__xludf.DUMMYFUNCTION("""COMPUTED_VALUE"""),492.0)</f>
        <v>492</v>
      </c>
      <c r="E190" s="2">
        <f>IFERROR(__xludf.DUMMYFUNCTION("""COMPUTED_VALUE"""),6.0)</f>
        <v>6</v>
      </c>
      <c r="F190" s="2">
        <f>IFERROR(__xludf.DUMMYFUNCTION("""COMPUTED_VALUE"""),12.0)</f>
        <v>12</v>
      </c>
      <c r="G190" s="2">
        <f>IFERROR(__xludf.DUMMYFUNCTION("""COMPUTED_VALUE"""),0.0)</f>
        <v>0</v>
      </c>
      <c r="H190" s="2">
        <f>IFERROR(__xludf.DUMMYFUNCTION("""COMPUTED_VALUE"""),492.0)</f>
        <v>492</v>
      </c>
      <c r="I190" s="2">
        <f>IFERROR(__xludf.DUMMYFUNCTION("""COMPUTED_VALUE"""),0.0)</f>
        <v>0</v>
      </c>
    </row>
    <row r="191" ht="22.5" customHeight="1">
      <c r="A191" s="2" t="str">
        <f>IFERROR(__xludf.DUMMYFUNCTION("""COMPUTED_VALUE"""),"2026-10")</f>
        <v>2026-10</v>
      </c>
      <c r="B191" s="2" t="str">
        <f>IFERROR(__xludf.DUMMYFUNCTION("""COMPUTED_VALUE"""),"LSCINSV0010-LX")</f>
        <v>LSCINSV0010-LX</v>
      </c>
      <c r="C191" s="2">
        <f>IFERROR(__xludf.DUMMYFUNCTION("""COMPUTED_VALUE"""),0.0)</f>
        <v>0</v>
      </c>
      <c r="D191" s="2">
        <f>IFERROR(__xludf.DUMMYFUNCTION("""COMPUTED_VALUE"""),492.0)</f>
        <v>492</v>
      </c>
      <c r="E191" s="2">
        <f>IFERROR(__xludf.DUMMYFUNCTION("""COMPUTED_VALUE"""),6.0)</f>
        <v>6</v>
      </c>
      <c r="F191" s="2">
        <f>IFERROR(__xludf.DUMMYFUNCTION("""COMPUTED_VALUE"""),12.0)</f>
        <v>12</v>
      </c>
      <c r="G191" s="2">
        <f>IFERROR(__xludf.DUMMYFUNCTION("""COMPUTED_VALUE"""),0.0)</f>
        <v>0</v>
      </c>
      <c r="H191" s="2">
        <f>IFERROR(__xludf.DUMMYFUNCTION("""COMPUTED_VALUE"""),492.0)</f>
        <v>492</v>
      </c>
      <c r="I191" s="2">
        <f>IFERROR(__xludf.DUMMYFUNCTION("""COMPUTED_VALUE"""),0.0)</f>
        <v>0</v>
      </c>
    </row>
    <row r="192" ht="22.5" customHeight="1">
      <c r="A192" s="2" t="str">
        <f>IFERROR(__xludf.DUMMYFUNCTION("""COMPUTED_VALUE"""),"2026-11")</f>
        <v>2026-11</v>
      </c>
      <c r="B192" s="2" t="str">
        <f>IFERROR(__xludf.DUMMYFUNCTION("""COMPUTED_VALUE"""),"LSCINSV0010-LX")</f>
        <v>LSCINSV0010-LX</v>
      </c>
      <c r="C192" s="2">
        <f>IFERROR(__xludf.DUMMYFUNCTION("""COMPUTED_VALUE"""),0.0)</f>
        <v>0</v>
      </c>
      <c r="D192" s="2">
        <f>IFERROR(__xludf.DUMMYFUNCTION("""COMPUTED_VALUE"""),492.0)</f>
        <v>492</v>
      </c>
      <c r="E192" s="2">
        <f>IFERROR(__xludf.DUMMYFUNCTION("""COMPUTED_VALUE"""),6.0)</f>
        <v>6</v>
      </c>
      <c r="F192" s="2">
        <f>IFERROR(__xludf.DUMMYFUNCTION("""COMPUTED_VALUE"""),12.0)</f>
        <v>12</v>
      </c>
      <c r="G192" s="2">
        <f>IFERROR(__xludf.DUMMYFUNCTION("""COMPUTED_VALUE"""),0.0)</f>
        <v>0</v>
      </c>
      <c r="H192" s="2">
        <f>IFERROR(__xludf.DUMMYFUNCTION("""COMPUTED_VALUE"""),492.0)</f>
        <v>492</v>
      </c>
      <c r="I192" s="2">
        <f>IFERROR(__xludf.DUMMYFUNCTION("""COMPUTED_VALUE"""),0.0)</f>
        <v>0</v>
      </c>
    </row>
    <row r="193" ht="22.5" customHeight="1">
      <c r="A193" s="2" t="str">
        <f>IFERROR(__xludf.DUMMYFUNCTION("""COMPUTED_VALUE"""),"2026-12")</f>
        <v>2026-12</v>
      </c>
      <c r="B193" s="2" t="str">
        <f>IFERROR(__xludf.DUMMYFUNCTION("""COMPUTED_VALUE"""),"LSCINSV0010-LX")</f>
        <v>LSCINSV0010-LX</v>
      </c>
      <c r="C193" s="2">
        <f>IFERROR(__xludf.DUMMYFUNCTION("""COMPUTED_VALUE"""),0.0)</f>
        <v>0</v>
      </c>
      <c r="D193" s="2">
        <f>IFERROR(__xludf.DUMMYFUNCTION("""COMPUTED_VALUE"""),492.0)</f>
        <v>492</v>
      </c>
      <c r="E193" s="2">
        <f>IFERROR(__xludf.DUMMYFUNCTION("""COMPUTED_VALUE"""),6.0)</f>
        <v>6</v>
      </c>
      <c r="F193" s="2">
        <f>IFERROR(__xludf.DUMMYFUNCTION("""COMPUTED_VALUE"""),12.0)</f>
        <v>12</v>
      </c>
      <c r="G193" s="2">
        <f>IFERROR(__xludf.DUMMYFUNCTION("""COMPUTED_VALUE"""),0.0)</f>
        <v>0</v>
      </c>
      <c r="H193" s="2">
        <f>IFERROR(__xludf.DUMMYFUNCTION("""COMPUTED_VALUE"""),492.0)</f>
        <v>492</v>
      </c>
      <c r="I193" s="2">
        <f>IFERROR(__xludf.DUMMYFUNCTION("""COMPUTED_VALUE"""),0.0)</f>
        <v>0</v>
      </c>
    </row>
    <row r="194" ht="22.5" customHeight="1">
      <c r="A194" s="2" t="str">
        <f>IFERROR(__xludf.DUMMYFUNCTION("""COMPUTED_VALUE"""),"2026-01")</f>
        <v>2026-01</v>
      </c>
      <c r="B194" s="2" t="str">
        <f>IFERROR(__xludf.DUMMYFUNCTION("""COMPUTED_VALUE"""),"LSCTRSD0002")</f>
        <v>LSCTRSD0002</v>
      </c>
      <c r="C194" s="2">
        <f>IFERROR(__xludf.DUMMYFUNCTION("""COMPUTED_VALUE"""),0.0)</f>
        <v>0</v>
      </c>
      <c r="D194" s="2">
        <f>IFERROR(__xludf.DUMMYFUNCTION("""COMPUTED_VALUE"""),0.0)</f>
        <v>0</v>
      </c>
      <c r="E194" s="2">
        <f>IFERROR(__xludf.DUMMYFUNCTION("""COMPUTED_VALUE"""),0.0)</f>
        <v>0</v>
      </c>
      <c r="F194" s="2">
        <f>IFERROR(__xludf.DUMMYFUNCTION("""COMPUTED_VALUE"""),0.0)</f>
        <v>0</v>
      </c>
      <c r="G194" s="2">
        <f>IFERROR(__xludf.DUMMYFUNCTION("""COMPUTED_VALUE"""),591.0)</f>
        <v>591</v>
      </c>
      <c r="H194" s="2">
        <f>IFERROR(__xludf.DUMMYFUNCTION("""COMPUTED_VALUE"""),591.0)</f>
        <v>591</v>
      </c>
      <c r="I194" s="2">
        <f>IFERROR(__xludf.DUMMYFUNCTION("""COMPUTED_VALUE"""),0.0)</f>
        <v>0</v>
      </c>
    </row>
    <row r="195" ht="22.5" customHeight="1">
      <c r="A195" s="2" t="str">
        <f>IFERROR(__xludf.DUMMYFUNCTION("""COMPUTED_VALUE"""),"2026-02")</f>
        <v>2026-02</v>
      </c>
      <c r="B195" s="2" t="str">
        <f>IFERROR(__xludf.DUMMYFUNCTION("""COMPUTED_VALUE"""),"LSCTRSD0002")</f>
        <v>LSCTRSD0002</v>
      </c>
      <c r="C195" s="2">
        <f>IFERROR(__xludf.DUMMYFUNCTION("""COMPUTED_VALUE"""),0.0)</f>
        <v>0</v>
      </c>
      <c r="D195" s="2">
        <f>IFERROR(__xludf.DUMMYFUNCTION("""COMPUTED_VALUE"""),222.0)</f>
        <v>222</v>
      </c>
      <c r="E195" s="2">
        <f>IFERROR(__xludf.DUMMYFUNCTION("""COMPUTED_VALUE"""),6.0)</f>
        <v>6</v>
      </c>
      <c r="F195" s="2">
        <f>IFERROR(__xludf.DUMMYFUNCTION("""COMPUTED_VALUE"""),18.0)</f>
        <v>18</v>
      </c>
      <c r="G195" s="2">
        <f>IFERROR(__xludf.DUMMYFUNCTION("""COMPUTED_VALUE"""),480.0)</f>
        <v>480</v>
      </c>
      <c r="H195" s="2">
        <f>IFERROR(__xludf.DUMMYFUNCTION("""COMPUTED_VALUE"""),702.0)</f>
        <v>702</v>
      </c>
      <c r="I195" s="2">
        <f>IFERROR(__xludf.DUMMYFUNCTION("""COMPUTED_VALUE"""),0.0)</f>
        <v>0</v>
      </c>
    </row>
    <row r="196" ht="22.5" customHeight="1">
      <c r="A196" s="2" t="str">
        <f>IFERROR(__xludf.DUMMYFUNCTION("""COMPUTED_VALUE"""),"2026-03")</f>
        <v>2026-03</v>
      </c>
      <c r="B196" s="2" t="str">
        <f>IFERROR(__xludf.DUMMYFUNCTION("""COMPUTED_VALUE"""),"LSCTRSD0002")</f>
        <v>LSCTRSD0002</v>
      </c>
      <c r="C196" s="2">
        <f>IFERROR(__xludf.DUMMYFUNCTION("""COMPUTED_VALUE"""),0.0)</f>
        <v>0</v>
      </c>
      <c r="D196" s="2">
        <f>IFERROR(__xludf.DUMMYFUNCTION("""COMPUTED_VALUE"""),750.0)</f>
        <v>750</v>
      </c>
      <c r="E196" s="2">
        <f>IFERROR(__xludf.DUMMYFUNCTION("""COMPUTED_VALUE"""),19.0)</f>
        <v>19</v>
      </c>
      <c r="F196" s="2">
        <f>IFERROR(__xludf.DUMMYFUNCTION("""COMPUTED_VALUE"""),10.0)</f>
        <v>10</v>
      </c>
      <c r="G196" s="2">
        <f>IFERROR(__xludf.DUMMYFUNCTION("""COMPUTED_VALUE"""),0.0)</f>
        <v>0</v>
      </c>
      <c r="H196" s="2">
        <f>IFERROR(__xludf.DUMMYFUNCTION("""COMPUTED_VALUE"""),750.0)</f>
        <v>750</v>
      </c>
      <c r="I196" s="2">
        <f>IFERROR(__xludf.DUMMYFUNCTION("""COMPUTED_VALUE"""),0.0)</f>
        <v>0</v>
      </c>
    </row>
    <row r="197" ht="22.5" customHeight="1">
      <c r="A197" s="2" t="str">
        <f>IFERROR(__xludf.DUMMYFUNCTION("""COMPUTED_VALUE"""),"2026-04")</f>
        <v>2026-04</v>
      </c>
      <c r="B197" s="2" t="str">
        <f>IFERROR(__xludf.DUMMYFUNCTION("""COMPUTED_VALUE"""),"LSCTRSD0002")</f>
        <v>LSCTRSD0002</v>
      </c>
      <c r="C197" s="2">
        <f>IFERROR(__xludf.DUMMYFUNCTION("""COMPUTED_VALUE"""),0.0)</f>
        <v>0</v>
      </c>
      <c r="D197" s="2">
        <f>IFERROR(__xludf.DUMMYFUNCTION("""COMPUTED_VALUE"""),750.0)</f>
        <v>750</v>
      </c>
      <c r="E197" s="2">
        <f>IFERROR(__xludf.DUMMYFUNCTION("""COMPUTED_VALUE"""),19.0)</f>
        <v>19</v>
      </c>
      <c r="F197" s="2">
        <f>IFERROR(__xludf.DUMMYFUNCTION("""COMPUTED_VALUE"""),10.0)</f>
        <v>10</v>
      </c>
      <c r="G197" s="2">
        <f>IFERROR(__xludf.DUMMYFUNCTION("""COMPUTED_VALUE"""),0.0)</f>
        <v>0</v>
      </c>
      <c r="H197" s="2">
        <f>IFERROR(__xludf.DUMMYFUNCTION("""COMPUTED_VALUE"""),750.0)</f>
        <v>750</v>
      </c>
      <c r="I197" s="2">
        <f>IFERROR(__xludf.DUMMYFUNCTION("""COMPUTED_VALUE"""),0.0)</f>
        <v>0</v>
      </c>
    </row>
    <row r="198" ht="22.5" customHeight="1">
      <c r="A198" s="2" t="str">
        <f>IFERROR(__xludf.DUMMYFUNCTION("""COMPUTED_VALUE"""),"2026-05")</f>
        <v>2026-05</v>
      </c>
      <c r="B198" s="2" t="str">
        <f>IFERROR(__xludf.DUMMYFUNCTION("""COMPUTED_VALUE"""),"LSCTRSD0002")</f>
        <v>LSCTRSD0002</v>
      </c>
      <c r="C198" s="2">
        <f>IFERROR(__xludf.DUMMYFUNCTION("""COMPUTED_VALUE"""),0.0)</f>
        <v>0</v>
      </c>
      <c r="D198" s="2">
        <f>IFERROR(__xludf.DUMMYFUNCTION("""COMPUTED_VALUE"""),750.0)</f>
        <v>750</v>
      </c>
      <c r="E198" s="2">
        <f>IFERROR(__xludf.DUMMYFUNCTION("""COMPUTED_VALUE"""),19.0)</f>
        <v>19</v>
      </c>
      <c r="F198" s="2">
        <f>IFERROR(__xludf.DUMMYFUNCTION("""COMPUTED_VALUE"""),10.0)</f>
        <v>10</v>
      </c>
      <c r="G198" s="2">
        <f>IFERROR(__xludf.DUMMYFUNCTION("""COMPUTED_VALUE"""),0.0)</f>
        <v>0</v>
      </c>
      <c r="H198" s="2">
        <f>IFERROR(__xludf.DUMMYFUNCTION("""COMPUTED_VALUE"""),750.0)</f>
        <v>750</v>
      </c>
      <c r="I198" s="2">
        <f>IFERROR(__xludf.DUMMYFUNCTION("""COMPUTED_VALUE"""),0.0)</f>
        <v>0</v>
      </c>
    </row>
    <row r="199" ht="22.5" customHeight="1">
      <c r="A199" s="2" t="str">
        <f>IFERROR(__xludf.DUMMYFUNCTION("""COMPUTED_VALUE"""),"2026-06")</f>
        <v>2026-06</v>
      </c>
      <c r="B199" s="2" t="str">
        <f>IFERROR(__xludf.DUMMYFUNCTION("""COMPUTED_VALUE"""),"LSCTRSD0002")</f>
        <v>LSCTRSD0002</v>
      </c>
      <c r="C199" s="2">
        <f>IFERROR(__xludf.DUMMYFUNCTION("""COMPUTED_VALUE"""),0.0)</f>
        <v>0</v>
      </c>
      <c r="D199" s="2">
        <f>IFERROR(__xludf.DUMMYFUNCTION("""COMPUTED_VALUE"""),750.0)</f>
        <v>750</v>
      </c>
      <c r="E199" s="2">
        <f>IFERROR(__xludf.DUMMYFUNCTION("""COMPUTED_VALUE"""),19.0)</f>
        <v>19</v>
      </c>
      <c r="F199" s="2">
        <f>IFERROR(__xludf.DUMMYFUNCTION("""COMPUTED_VALUE"""),10.0)</f>
        <v>10</v>
      </c>
      <c r="G199" s="2">
        <f>IFERROR(__xludf.DUMMYFUNCTION("""COMPUTED_VALUE"""),0.0)</f>
        <v>0</v>
      </c>
      <c r="H199" s="2">
        <f>IFERROR(__xludf.DUMMYFUNCTION("""COMPUTED_VALUE"""),750.0)</f>
        <v>750</v>
      </c>
      <c r="I199" s="2">
        <f>IFERROR(__xludf.DUMMYFUNCTION("""COMPUTED_VALUE"""),0.0)</f>
        <v>0</v>
      </c>
    </row>
    <row r="200" ht="22.5" customHeight="1">
      <c r="A200" s="2" t="str">
        <f>IFERROR(__xludf.DUMMYFUNCTION("""COMPUTED_VALUE"""),"2026-07")</f>
        <v>2026-07</v>
      </c>
      <c r="B200" s="2" t="str">
        <f>IFERROR(__xludf.DUMMYFUNCTION("""COMPUTED_VALUE"""),"LSCTRSD0002")</f>
        <v>LSCTRSD0002</v>
      </c>
      <c r="C200" s="2">
        <f>IFERROR(__xludf.DUMMYFUNCTION("""COMPUTED_VALUE"""),0.0)</f>
        <v>0</v>
      </c>
      <c r="D200" s="2">
        <f>IFERROR(__xludf.DUMMYFUNCTION("""COMPUTED_VALUE"""),750.0)</f>
        <v>750</v>
      </c>
      <c r="E200" s="2">
        <f>IFERROR(__xludf.DUMMYFUNCTION("""COMPUTED_VALUE"""),19.0)</f>
        <v>19</v>
      </c>
      <c r="F200" s="2">
        <f>IFERROR(__xludf.DUMMYFUNCTION("""COMPUTED_VALUE"""),10.0)</f>
        <v>10</v>
      </c>
      <c r="G200" s="2">
        <f>IFERROR(__xludf.DUMMYFUNCTION("""COMPUTED_VALUE"""),0.0)</f>
        <v>0</v>
      </c>
      <c r="H200" s="2">
        <f>IFERROR(__xludf.DUMMYFUNCTION("""COMPUTED_VALUE"""),750.0)</f>
        <v>750</v>
      </c>
      <c r="I200" s="2">
        <f>IFERROR(__xludf.DUMMYFUNCTION("""COMPUTED_VALUE"""),0.0)</f>
        <v>0</v>
      </c>
    </row>
    <row r="201" ht="22.5" customHeight="1">
      <c r="A201" s="2" t="str">
        <f>IFERROR(__xludf.DUMMYFUNCTION("""COMPUTED_VALUE"""),"2026-08")</f>
        <v>2026-08</v>
      </c>
      <c r="B201" s="2" t="str">
        <f>IFERROR(__xludf.DUMMYFUNCTION("""COMPUTED_VALUE"""),"LSCTRSD0002")</f>
        <v>LSCTRSD0002</v>
      </c>
      <c r="C201" s="2">
        <f>IFERROR(__xludf.DUMMYFUNCTION("""COMPUTED_VALUE"""),0.0)</f>
        <v>0</v>
      </c>
      <c r="D201" s="2">
        <f>IFERROR(__xludf.DUMMYFUNCTION("""COMPUTED_VALUE"""),750.0)</f>
        <v>750</v>
      </c>
      <c r="E201" s="2">
        <f>IFERROR(__xludf.DUMMYFUNCTION("""COMPUTED_VALUE"""),19.0)</f>
        <v>19</v>
      </c>
      <c r="F201" s="2">
        <f>IFERROR(__xludf.DUMMYFUNCTION("""COMPUTED_VALUE"""),10.0)</f>
        <v>10</v>
      </c>
      <c r="G201" s="2">
        <f>IFERROR(__xludf.DUMMYFUNCTION("""COMPUTED_VALUE"""),0.0)</f>
        <v>0</v>
      </c>
      <c r="H201" s="2">
        <f>IFERROR(__xludf.DUMMYFUNCTION("""COMPUTED_VALUE"""),750.0)</f>
        <v>750</v>
      </c>
      <c r="I201" s="2">
        <f>IFERROR(__xludf.DUMMYFUNCTION("""COMPUTED_VALUE"""),0.0)</f>
        <v>0</v>
      </c>
    </row>
    <row r="202" ht="22.5" customHeight="1">
      <c r="A202" s="2" t="str">
        <f>IFERROR(__xludf.DUMMYFUNCTION("""COMPUTED_VALUE"""),"2026-09")</f>
        <v>2026-09</v>
      </c>
      <c r="B202" s="2" t="str">
        <f>IFERROR(__xludf.DUMMYFUNCTION("""COMPUTED_VALUE"""),"LSCTRSD0002")</f>
        <v>LSCTRSD0002</v>
      </c>
      <c r="C202" s="2">
        <f>IFERROR(__xludf.DUMMYFUNCTION("""COMPUTED_VALUE"""),0.0)</f>
        <v>0</v>
      </c>
      <c r="D202" s="2">
        <f>IFERROR(__xludf.DUMMYFUNCTION("""COMPUTED_VALUE"""),750.0)</f>
        <v>750</v>
      </c>
      <c r="E202" s="2">
        <f>IFERROR(__xludf.DUMMYFUNCTION("""COMPUTED_VALUE"""),19.0)</f>
        <v>19</v>
      </c>
      <c r="F202" s="2">
        <f>IFERROR(__xludf.DUMMYFUNCTION("""COMPUTED_VALUE"""),10.0)</f>
        <v>10</v>
      </c>
      <c r="G202" s="2">
        <f>IFERROR(__xludf.DUMMYFUNCTION("""COMPUTED_VALUE"""),0.0)</f>
        <v>0</v>
      </c>
      <c r="H202" s="2">
        <f>IFERROR(__xludf.DUMMYFUNCTION("""COMPUTED_VALUE"""),750.0)</f>
        <v>750</v>
      </c>
      <c r="I202" s="2">
        <f>IFERROR(__xludf.DUMMYFUNCTION("""COMPUTED_VALUE"""),0.0)</f>
        <v>0</v>
      </c>
    </row>
    <row r="203" ht="22.5" customHeight="1">
      <c r="A203" s="2" t="str">
        <f>IFERROR(__xludf.DUMMYFUNCTION("""COMPUTED_VALUE"""),"2026-10")</f>
        <v>2026-10</v>
      </c>
      <c r="B203" s="2" t="str">
        <f>IFERROR(__xludf.DUMMYFUNCTION("""COMPUTED_VALUE"""),"LSCTRSD0002")</f>
        <v>LSCTRSD0002</v>
      </c>
      <c r="C203" s="2">
        <f>IFERROR(__xludf.DUMMYFUNCTION("""COMPUTED_VALUE"""),0.0)</f>
        <v>0</v>
      </c>
      <c r="D203" s="2">
        <f>IFERROR(__xludf.DUMMYFUNCTION("""COMPUTED_VALUE"""),750.0)</f>
        <v>750</v>
      </c>
      <c r="E203" s="2">
        <f>IFERROR(__xludf.DUMMYFUNCTION("""COMPUTED_VALUE"""),19.0)</f>
        <v>19</v>
      </c>
      <c r="F203" s="2">
        <f>IFERROR(__xludf.DUMMYFUNCTION("""COMPUTED_VALUE"""),10.0)</f>
        <v>10</v>
      </c>
      <c r="G203" s="2">
        <f>IFERROR(__xludf.DUMMYFUNCTION("""COMPUTED_VALUE"""),0.0)</f>
        <v>0</v>
      </c>
      <c r="H203" s="2">
        <f>IFERROR(__xludf.DUMMYFUNCTION("""COMPUTED_VALUE"""),750.0)</f>
        <v>750</v>
      </c>
      <c r="I203" s="2">
        <f>IFERROR(__xludf.DUMMYFUNCTION("""COMPUTED_VALUE"""),0.0)</f>
        <v>0</v>
      </c>
    </row>
    <row r="204" ht="22.5" customHeight="1">
      <c r="A204" s="2" t="str">
        <f>IFERROR(__xludf.DUMMYFUNCTION("""COMPUTED_VALUE"""),"2026-11")</f>
        <v>2026-11</v>
      </c>
      <c r="B204" s="2" t="str">
        <f>IFERROR(__xludf.DUMMYFUNCTION("""COMPUTED_VALUE"""),"LSCTRSD0002")</f>
        <v>LSCTRSD0002</v>
      </c>
      <c r="C204" s="2">
        <f>IFERROR(__xludf.DUMMYFUNCTION("""COMPUTED_VALUE"""),0.0)</f>
        <v>0</v>
      </c>
      <c r="D204" s="2">
        <f>IFERROR(__xludf.DUMMYFUNCTION("""COMPUTED_VALUE"""),750.0)</f>
        <v>750</v>
      </c>
      <c r="E204" s="2">
        <f>IFERROR(__xludf.DUMMYFUNCTION("""COMPUTED_VALUE"""),19.0)</f>
        <v>19</v>
      </c>
      <c r="F204" s="2">
        <f>IFERROR(__xludf.DUMMYFUNCTION("""COMPUTED_VALUE"""),10.0)</f>
        <v>10</v>
      </c>
      <c r="G204" s="2">
        <f>IFERROR(__xludf.DUMMYFUNCTION("""COMPUTED_VALUE"""),0.0)</f>
        <v>0</v>
      </c>
      <c r="H204" s="2">
        <f>IFERROR(__xludf.DUMMYFUNCTION("""COMPUTED_VALUE"""),750.0)</f>
        <v>750</v>
      </c>
      <c r="I204" s="2">
        <f>IFERROR(__xludf.DUMMYFUNCTION("""COMPUTED_VALUE"""),0.0)</f>
        <v>0</v>
      </c>
    </row>
    <row r="205" ht="22.5" customHeight="1">
      <c r="A205" s="2" t="str">
        <f>IFERROR(__xludf.DUMMYFUNCTION("""COMPUTED_VALUE"""),"2026-12")</f>
        <v>2026-12</v>
      </c>
      <c r="B205" s="2" t="str">
        <f>IFERROR(__xludf.DUMMYFUNCTION("""COMPUTED_VALUE"""),"LSCTRSD0002")</f>
        <v>LSCTRSD0002</v>
      </c>
      <c r="C205" s="2">
        <f>IFERROR(__xludf.DUMMYFUNCTION("""COMPUTED_VALUE"""),0.0)</f>
        <v>0</v>
      </c>
      <c r="D205" s="2">
        <f>IFERROR(__xludf.DUMMYFUNCTION("""COMPUTED_VALUE"""),750.0)</f>
        <v>750</v>
      </c>
      <c r="E205" s="2">
        <f>IFERROR(__xludf.DUMMYFUNCTION("""COMPUTED_VALUE"""),19.0)</f>
        <v>19</v>
      </c>
      <c r="F205" s="2">
        <f>IFERROR(__xludf.DUMMYFUNCTION("""COMPUTED_VALUE"""),10.0)</f>
        <v>10</v>
      </c>
      <c r="G205" s="2">
        <f>IFERROR(__xludf.DUMMYFUNCTION("""COMPUTED_VALUE"""),0.0)</f>
        <v>0</v>
      </c>
      <c r="H205" s="2">
        <f>IFERROR(__xludf.DUMMYFUNCTION("""COMPUTED_VALUE"""),750.0)</f>
        <v>750</v>
      </c>
      <c r="I205" s="2">
        <f>IFERROR(__xludf.DUMMYFUNCTION("""COMPUTED_VALUE"""),0.0)</f>
        <v>0</v>
      </c>
    </row>
    <row r="206" ht="22.5" customHeight="1">
      <c r="A206" s="2" t="str">
        <f>IFERROR(__xludf.DUMMYFUNCTION("""COMPUTED_VALUE"""),"2026-01")</f>
        <v>2026-01</v>
      </c>
      <c r="B206" s="2" t="str">
        <f>IFERROR(__xludf.DUMMYFUNCTION("""COMPUTED_VALUE"""),"LSCTRSD0002-LX")</f>
        <v>LSCTRSD0002-LX</v>
      </c>
      <c r="C206" s="2">
        <f>IFERROR(__xludf.DUMMYFUNCTION("""COMPUTED_VALUE"""),0.0)</f>
        <v>0</v>
      </c>
      <c r="D206" s="2">
        <f>IFERROR(__xludf.DUMMYFUNCTION("""COMPUTED_VALUE"""),0.0)</f>
        <v>0</v>
      </c>
      <c r="E206" s="2">
        <f>IFERROR(__xludf.DUMMYFUNCTION("""COMPUTED_VALUE"""),0.0)</f>
        <v>0</v>
      </c>
      <c r="F206" s="2">
        <f>IFERROR(__xludf.DUMMYFUNCTION("""COMPUTED_VALUE"""),0.0)</f>
        <v>0</v>
      </c>
      <c r="G206" s="2">
        <f>IFERROR(__xludf.DUMMYFUNCTION("""COMPUTED_VALUE"""),592.0)</f>
        <v>592</v>
      </c>
      <c r="H206" s="2">
        <f>IFERROR(__xludf.DUMMYFUNCTION("""COMPUTED_VALUE"""),401.0)</f>
        <v>401</v>
      </c>
      <c r="I206" s="2">
        <f>IFERROR(__xludf.DUMMYFUNCTION("""COMPUTED_VALUE"""),191.0)</f>
        <v>191</v>
      </c>
    </row>
    <row r="207" ht="22.5" customHeight="1">
      <c r="A207" s="2" t="str">
        <f>IFERROR(__xludf.DUMMYFUNCTION("""COMPUTED_VALUE"""),"2026-02")</f>
        <v>2026-02</v>
      </c>
      <c r="B207" s="2" t="str">
        <f>IFERROR(__xludf.DUMMYFUNCTION("""COMPUTED_VALUE"""),"LSCTRSD0002-LX")</f>
        <v>LSCTRSD0002-LX</v>
      </c>
      <c r="C207" s="2">
        <f>IFERROR(__xludf.DUMMYFUNCTION("""COMPUTED_VALUE"""),191.0)</f>
        <v>191</v>
      </c>
      <c r="D207" s="2">
        <f>IFERROR(__xludf.DUMMYFUNCTION("""COMPUTED_VALUE"""),0.0)</f>
        <v>0</v>
      </c>
      <c r="E207" s="2">
        <f>IFERROR(__xludf.DUMMYFUNCTION("""COMPUTED_VALUE"""),0.0)</f>
        <v>0</v>
      </c>
      <c r="F207" s="2">
        <f>IFERROR(__xludf.DUMMYFUNCTION("""COMPUTED_VALUE"""),0.0)</f>
        <v>0</v>
      </c>
      <c r="G207" s="2">
        <f>IFERROR(__xludf.DUMMYFUNCTION("""COMPUTED_VALUE"""),265.0)</f>
        <v>265</v>
      </c>
      <c r="H207" s="2">
        <f>IFERROR(__xludf.DUMMYFUNCTION("""COMPUTED_VALUE"""),456.0)</f>
        <v>456</v>
      </c>
      <c r="I207" s="2">
        <f>IFERROR(__xludf.DUMMYFUNCTION("""COMPUTED_VALUE"""),0.0)</f>
        <v>0</v>
      </c>
    </row>
    <row r="208" ht="22.5" customHeight="1">
      <c r="A208" s="2" t="str">
        <f>IFERROR(__xludf.DUMMYFUNCTION("""COMPUTED_VALUE"""),"2026-03")</f>
        <v>2026-03</v>
      </c>
      <c r="B208" s="2" t="str">
        <f>IFERROR(__xludf.DUMMYFUNCTION("""COMPUTED_VALUE"""),"LSCTRSD0002-LX")</f>
        <v>LSCTRSD0002-LX</v>
      </c>
      <c r="C208" s="2">
        <f>IFERROR(__xludf.DUMMYFUNCTION("""COMPUTED_VALUE"""),0.0)</f>
        <v>0</v>
      </c>
      <c r="D208" s="2">
        <f>IFERROR(__xludf.DUMMYFUNCTION("""COMPUTED_VALUE"""),325.0)</f>
        <v>325</v>
      </c>
      <c r="E208" s="2">
        <f>IFERROR(__xludf.DUMMYFUNCTION("""COMPUTED_VALUE"""),12.0)</f>
        <v>12</v>
      </c>
      <c r="F208" s="2">
        <f>IFERROR(__xludf.DUMMYFUNCTION("""COMPUTED_VALUE"""),11.0)</f>
        <v>11</v>
      </c>
      <c r="G208" s="2">
        <f>IFERROR(__xludf.DUMMYFUNCTION("""COMPUTED_VALUE"""),174.0)</f>
        <v>174</v>
      </c>
      <c r="H208" s="2">
        <f>IFERROR(__xludf.DUMMYFUNCTION("""COMPUTED_VALUE"""),499.0)</f>
        <v>499</v>
      </c>
      <c r="I208" s="2">
        <f>IFERROR(__xludf.DUMMYFUNCTION("""COMPUTED_VALUE"""),0.0)</f>
        <v>0</v>
      </c>
    </row>
    <row r="209" ht="22.5" customHeight="1">
      <c r="A209" s="2" t="str">
        <f>IFERROR(__xludf.DUMMYFUNCTION("""COMPUTED_VALUE"""),"2026-04")</f>
        <v>2026-04</v>
      </c>
      <c r="B209" s="2" t="str">
        <f>IFERROR(__xludf.DUMMYFUNCTION("""COMPUTED_VALUE"""),"LSCTRSD0002-LX")</f>
        <v>LSCTRSD0002-LX</v>
      </c>
      <c r="C209" s="2">
        <f>IFERROR(__xludf.DUMMYFUNCTION("""COMPUTED_VALUE"""),0.0)</f>
        <v>0</v>
      </c>
      <c r="D209" s="2">
        <f>IFERROR(__xludf.DUMMYFUNCTION("""COMPUTED_VALUE"""),499.0)</f>
        <v>499</v>
      </c>
      <c r="E209" s="2">
        <f>IFERROR(__xludf.DUMMYFUNCTION("""COMPUTED_VALUE"""),18.0)</f>
        <v>18</v>
      </c>
      <c r="F209" s="2">
        <f>IFERROR(__xludf.DUMMYFUNCTION("""COMPUTED_VALUE"""),5.0)</f>
        <v>5</v>
      </c>
      <c r="G209" s="2">
        <f>IFERROR(__xludf.DUMMYFUNCTION("""COMPUTED_VALUE"""),0.0)</f>
        <v>0</v>
      </c>
      <c r="H209" s="2">
        <f>IFERROR(__xludf.DUMMYFUNCTION("""COMPUTED_VALUE"""),499.0)</f>
        <v>499</v>
      </c>
      <c r="I209" s="2">
        <f>IFERROR(__xludf.DUMMYFUNCTION("""COMPUTED_VALUE"""),0.0)</f>
        <v>0</v>
      </c>
    </row>
    <row r="210" ht="22.5" customHeight="1">
      <c r="A210" s="2" t="str">
        <f>IFERROR(__xludf.DUMMYFUNCTION("""COMPUTED_VALUE"""),"2026-05")</f>
        <v>2026-05</v>
      </c>
      <c r="B210" s="2" t="str">
        <f>IFERROR(__xludf.DUMMYFUNCTION("""COMPUTED_VALUE"""),"LSCTRSD0002-LX")</f>
        <v>LSCTRSD0002-LX</v>
      </c>
      <c r="C210" s="2">
        <f>IFERROR(__xludf.DUMMYFUNCTION("""COMPUTED_VALUE"""),0.0)</f>
        <v>0</v>
      </c>
      <c r="D210" s="2">
        <f>IFERROR(__xludf.DUMMYFUNCTION("""COMPUTED_VALUE"""),499.0)</f>
        <v>499</v>
      </c>
      <c r="E210" s="2">
        <f>IFERROR(__xludf.DUMMYFUNCTION("""COMPUTED_VALUE"""),18.0)</f>
        <v>18</v>
      </c>
      <c r="F210" s="2">
        <f>IFERROR(__xludf.DUMMYFUNCTION("""COMPUTED_VALUE"""),5.0)</f>
        <v>5</v>
      </c>
      <c r="G210" s="2">
        <f>IFERROR(__xludf.DUMMYFUNCTION("""COMPUTED_VALUE"""),0.0)</f>
        <v>0</v>
      </c>
      <c r="H210" s="2">
        <f>IFERROR(__xludf.DUMMYFUNCTION("""COMPUTED_VALUE"""),499.0)</f>
        <v>499</v>
      </c>
      <c r="I210" s="2">
        <f>IFERROR(__xludf.DUMMYFUNCTION("""COMPUTED_VALUE"""),0.0)</f>
        <v>0</v>
      </c>
    </row>
    <row r="211" ht="22.5" customHeight="1">
      <c r="A211" s="2" t="str">
        <f>IFERROR(__xludf.DUMMYFUNCTION("""COMPUTED_VALUE"""),"2026-06")</f>
        <v>2026-06</v>
      </c>
      <c r="B211" s="2" t="str">
        <f>IFERROR(__xludf.DUMMYFUNCTION("""COMPUTED_VALUE"""),"LSCTRSD0002-LX")</f>
        <v>LSCTRSD0002-LX</v>
      </c>
      <c r="C211" s="2">
        <f>IFERROR(__xludf.DUMMYFUNCTION("""COMPUTED_VALUE"""),0.0)</f>
        <v>0</v>
      </c>
      <c r="D211" s="2">
        <f>IFERROR(__xludf.DUMMYFUNCTION("""COMPUTED_VALUE"""),499.0)</f>
        <v>499</v>
      </c>
      <c r="E211" s="2">
        <f>IFERROR(__xludf.DUMMYFUNCTION("""COMPUTED_VALUE"""),18.0)</f>
        <v>18</v>
      </c>
      <c r="F211" s="2">
        <f>IFERROR(__xludf.DUMMYFUNCTION("""COMPUTED_VALUE"""),5.0)</f>
        <v>5</v>
      </c>
      <c r="G211" s="2">
        <f>IFERROR(__xludf.DUMMYFUNCTION("""COMPUTED_VALUE"""),0.0)</f>
        <v>0</v>
      </c>
      <c r="H211" s="2">
        <f>IFERROR(__xludf.DUMMYFUNCTION("""COMPUTED_VALUE"""),499.0)</f>
        <v>499</v>
      </c>
      <c r="I211" s="2">
        <f>IFERROR(__xludf.DUMMYFUNCTION("""COMPUTED_VALUE"""),0.0)</f>
        <v>0</v>
      </c>
    </row>
    <row r="212" ht="22.5" customHeight="1">
      <c r="A212" s="2" t="str">
        <f>IFERROR(__xludf.DUMMYFUNCTION("""COMPUTED_VALUE"""),"2026-07")</f>
        <v>2026-07</v>
      </c>
      <c r="B212" s="2" t="str">
        <f>IFERROR(__xludf.DUMMYFUNCTION("""COMPUTED_VALUE"""),"LSCTRSD0002-LX")</f>
        <v>LSCTRSD0002-LX</v>
      </c>
      <c r="C212" s="2">
        <f>IFERROR(__xludf.DUMMYFUNCTION("""COMPUTED_VALUE"""),0.0)</f>
        <v>0</v>
      </c>
      <c r="D212" s="2">
        <f>IFERROR(__xludf.DUMMYFUNCTION("""COMPUTED_VALUE"""),499.0)</f>
        <v>499</v>
      </c>
      <c r="E212" s="2">
        <f>IFERROR(__xludf.DUMMYFUNCTION("""COMPUTED_VALUE"""),18.0)</f>
        <v>18</v>
      </c>
      <c r="F212" s="2">
        <f>IFERROR(__xludf.DUMMYFUNCTION("""COMPUTED_VALUE"""),5.0)</f>
        <v>5</v>
      </c>
      <c r="G212" s="2">
        <f>IFERROR(__xludf.DUMMYFUNCTION("""COMPUTED_VALUE"""),0.0)</f>
        <v>0</v>
      </c>
      <c r="H212" s="2">
        <f>IFERROR(__xludf.DUMMYFUNCTION("""COMPUTED_VALUE"""),499.0)</f>
        <v>499</v>
      </c>
      <c r="I212" s="2">
        <f>IFERROR(__xludf.DUMMYFUNCTION("""COMPUTED_VALUE"""),0.0)</f>
        <v>0</v>
      </c>
    </row>
    <row r="213" ht="22.5" customHeight="1">
      <c r="A213" s="2" t="str">
        <f>IFERROR(__xludf.DUMMYFUNCTION("""COMPUTED_VALUE"""),"2026-08")</f>
        <v>2026-08</v>
      </c>
      <c r="B213" s="2" t="str">
        <f>IFERROR(__xludf.DUMMYFUNCTION("""COMPUTED_VALUE"""),"LSCTRSD0002-LX")</f>
        <v>LSCTRSD0002-LX</v>
      </c>
      <c r="C213" s="2">
        <f>IFERROR(__xludf.DUMMYFUNCTION("""COMPUTED_VALUE"""),0.0)</f>
        <v>0</v>
      </c>
      <c r="D213" s="2">
        <f>IFERROR(__xludf.DUMMYFUNCTION("""COMPUTED_VALUE"""),499.0)</f>
        <v>499</v>
      </c>
      <c r="E213" s="2">
        <f>IFERROR(__xludf.DUMMYFUNCTION("""COMPUTED_VALUE"""),18.0)</f>
        <v>18</v>
      </c>
      <c r="F213" s="2">
        <f>IFERROR(__xludf.DUMMYFUNCTION("""COMPUTED_VALUE"""),5.0)</f>
        <v>5</v>
      </c>
      <c r="G213" s="2">
        <f>IFERROR(__xludf.DUMMYFUNCTION("""COMPUTED_VALUE"""),0.0)</f>
        <v>0</v>
      </c>
      <c r="H213" s="2">
        <f>IFERROR(__xludf.DUMMYFUNCTION("""COMPUTED_VALUE"""),499.0)</f>
        <v>499</v>
      </c>
      <c r="I213" s="2">
        <f>IFERROR(__xludf.DUMMYFUNCTION("""COMPUTED_VALUE"""),0.0)</f>
        <v>0</v>
      </c>
    </row>
    <row r="214" ht="22.5" customHeight="1">
      <c r="A214" s="2" t="str">
        <f>IFERROR(__xludf.DUMMYFUNCTION("""COMPUTED_VALUE"""),"2026-09")</f>
        <v>2026-09</v>
      </c>
      <c r="B214" s="2" t="str">
        <f>IFERROR(__xludf.DUMMYFUNCTION("""COMPUTED_VALUE"""),"LSCTRSD0002-LX")</f>
        <v>LSCTRSD0002-LX</v>
      </c>
      <c r="C214" s="2">
        <f>IFERROR(__xludf.DUMMYFUNCTION("""COMPUTED_VALUE"""),0.0)</f>
        <v>0</v>
      </c>
      <c r="D214" s="2">
        <f>IFERROR(__xludf.DUMMYFUNCTION("""COMPUTED_VALUE"""),499.0)</f>
        <v>499</v>
      </c>
      <c r="E214" s="2">
        <f>IFERROR(__xludf.DUMMYFUNCTION("""COMPUTED_VALUE"""),18.0)</f>
        <v>18</v>
      </c>
      <c r="F214" s="2">
        <f>IFERROR(__xludf.DUMMYFUNCTION("""COMPUTED_VALUE"""),5.0)</f>
        <v>5</v>
      </c>
      <c r="G214" s="2">
        <f>IFERROR(__xludf.DUMMYFUNCTION("""COMPUTED_VALUE"""),0.0)</f>
        <v>0</v>
      </c>
      <c r="H214" s="2">
        <f>IFERROR(__xludf.DUMMYFUNCTION("""COMPUTED_VALUE"""),499.0)</f>
        <v>499</v>
      </c>
      <c r="I214" s="2">
        <f>IFERROR(__xludf.DUMMYFUNCTION("""COMPUTED_VALUE"""),0.0)</f>
        <v>0</v>
      </c>
    </row>
    <row r="215" ht="22.5" customHeight="1">
      <c r="A215" s="2" t="str">
        <f>IFERROR(__xludf.DUMMYFUNCTION("""COMPUTED_VALUE"""),"2026-10")</f>
        <v>2026-10</v>
      </c>
      <c r="B215" s="2" t="str">
        <f>IFERROR(__xludf.DUMMYFUNCTION("""COMPUTED_VALUE"""),"LSCTRSD0002-LX")</f>
        <v>LSCTRSD0002-LX</v>
      </c>
      <c r="C215" s="2">
        <f>IFERROR(__xludf.DUMMYFUNCTION("""COMPUTED_VALUE"""),0.0)</f>
        <v>0</v>
      </c>
      <c r="D215" s="2">
        <f>IFERROR(__xludf.DUMMYFUNCTION("""COMPUTED_VALUE"""),499.0)</f>
        <v>499</v>
      </c>
      <c r="E215" s="2">
        <f>IFERROR(__xludf.DUMMYFUNCTION("""COMPUTED_VALUE"""),18.0)</f>
        <v>18</v>
      </c>
      <c r="F215" s="2">
        <f>IFERROR(__xludf.DUMMYFUNCTION("""COMPUTED_VALUE"""),5.0)</f>
        <v>5</v>
      </c>
      <c r="G215" s="2">
        <f>IFERROR(__xludf.DUMMYFUNCTION("""COMPUTED_VALUE"""),0.0)</f>
        <v>0</v>
      </c>
      <c r="H215" s="2">
        <f>IFERROR(__xludf.DUMMYFUNCTION("""COMPUTED_VALUE"""),499.0)</f>
        <v>499</v>
      </c>
      <c r="I215" s="2">
        <f>IFERROR(__xludf.DUMMYFUNCTION("""COMPUTED_VALUE"""),0.0)</f>
        <v>0</v>
      </c>
    </row>
    <row r="216" ht="22.5" customHeight="1">
      <c r="A216" s="2" t="str">
        <f>IFERROR(__xludf.DUMMYFUNCTION("""COMPUTED_VALUE"""),"2026-11")</f>
        <v>2026-11</v>
      </c>
      <c r="B216" s="2" t="str">
        <f>IFERROR(__xludf.DUMMYFUNCTION("""COMPUTED_VALUE"""),"LSCTRSD0002-LX")</f>
        <v>LSCTRSD0002-LX</v>
      </c>
      <c r="C216" s="2">
        <f>IFERROR(__xludf.DUMMYFUNCTION("""COMPUTED_VALUE"""),0.0)</f>
        <v>0</v>
      </c>
      <c r="D216" s="2">
        <f>IFERROR(__xludf.DUMMYFUNCTION("""COMPUTED_VALUE"""),499.0)</f>
        <v>499</v>
      </c>
      <c r="E216" s="2">
        <f>IFERROR(__xludf.DUMMYFUNCTION("""COMPUTED_VALUE"""),18.0)</f>
        <v>18</v>
      </c>
      <c r="F216" s="2">
        <f>IFERROR(__xludf.DUMMYFUNCTION("""COMPUTED_VALUE"""),5.0)</f>
        <v>5</v>
      </c>
      <c r="G216" s="2">
        <f>IFERROR(__xludf.DUMMYFUNCTION("""COMPUTED_VALUE"""),0.0)</f>
        <v>0</v>
      </c>
      <c r="H216" s="2">
        <f>IFERROR(__xludf.DUMMYFUNCTION("""COMPUTED_VALUE"""),499.0)</f>
        <v>499</v>
      </c>
      <c r="I216" s="2">
        <f>IFERROR(__xludf.DUMMYFUNCTION("""COMPUTED_VALUE"""),0.0)</f>
        <v>0</v>
      </c>
    </row>
    <row r="217" ht="22.5" customHeight="1">
      <c r="A217" s="2" t="str">
        <f>IFERROR(__xludf.DUMMYFUNCTION("""COMPUTED_VALUE"""),"2026-12")</f>
        <v>2026-12</v>
      </c>
      <c r="B217" s="2" t="str">
        <f>IFERROR(__xludf.DUMMYFUNCTION("""COMPUTED_VALUE"""),"LSCTRSD0002-LX")</f>
        <v>LSCTRSD0002-LX</v>
      </c>
      <c r="C217" s="2">
        <f>IFERROR(__xludf.DUMMYFUNCTION("""COMPUTED_VALUE"""),0.0)</f>
        <v>0</v>
      </c>
      <c r="D217" s="2">
        <f>IFERROR(__xludf.DUMMYFUNCTION("""COMPUTED_VALUE"""),499.0)</f>
        <v>499</v>
      </c>
      <c r="E217" s="2">
        <f>IFERROR(__xludf.DUMMYFUNCTION("""COMPUTED_VALUE"""),18.0)</f>
        <v>18</v>
      </c>
      <c r="F217" s="2">
        <f>IFERROR(__xludf.DUMMYFUNCTION("""COMPUTED_VALUE"""),5.0)</f>
        <v>5</v>
      </c>
      <c r="G217" s="2">
        <f>IFERROR(__xludf.DUMMYFUNCTION("""COMPUTED_VALUE"""),0.0)</f>
        <v>0</v>
      </c>
      <c r="H217" s="2">
        <f>IFERROR(__xludf.DUMMYFUNCTION("""COMPUTED_VALUE"""),499.0)</f>
        <v>499</v>
      </c>
      <c r="I217" s="2">
        <f>IFERROR(__xludf.DUMMYFUNCTION("""COMPUTED_VALUE"""),0.0)</f>
        <v>0</v>
      </c>
    </row>
    <row r="218" ht="22.5" customHeight="1">
      <c r="A218" s="2" t="str">
        <f>IFERROR(__xludf.DUMMYFUNCTION("""COMPUTED_VALUE"""),"2026-01")</f>
        <v>2026-01</v>
      </c>
      <c r="B218" s="2" t="str">
        <f>IFERROR(__xludf.DUMMYFUNCTION("""COMPUTED_VALUE"""),"LSCTRSV0007")</f>
        <v>LSCTRSV0007</v>
      </c>
      <c r="C218" s="2">
        <f>IFERROR(__xludf.DUMMYFUNCTION("""COMPUTED_VALUE"""),0.0)</f>
        <v>0</v>
      </c>
      <c r="D218" s="2">
        <f>IFERROR(__xludf.DUMMYFUNCTION("""COMPUTED_VALUE"""),0.0)</f>
        <v>0</v>
      </c>
      <c r="E218" s="2">
        <f>IFERROR(__xludf.DUMMYFUNCTION("""COMPUTED_VALUE"""),0.0)</f>
        <v>0</v>
      </c>
      <c r="F218" s="2">
        <f>IFERROR(__xludf.DUMMYFUNCTION("""COMPUTED_VALUE"""),0.0)</f>
        <v>0</v>
      </c>
      <c r="G218" s="2">
        <f>IFERROR(__xludf.DUMMYFUNCTION("""COMPUTED_VALUE"""),627.0)</f>
        <v>627</v>
      </c>
      <c r="H218" s="2">
        <f>IFERROR(__xludf.DUMMYFUNCTION("""COMPUTED_VALUE"""),627.0)</f>
        <v>627</v>
      </c>
      <c r="I218" s="2">
        <f>IFERROR(__xludf.DUMMYFUNCTION("""COMPUTED_VALUE"""),0.0)</f>
        <v>0</v>
      </c>
    </row>
    <row r="219" ht="22.5" customHeight="1">
      <c r="A219" s="2" t="str">
        <f>IFERROR(__xludf.DUMMYFUNCTION("""COMPUTED_VALUE"""),"2026-02")</f>
        <v>2026-02</v>
      </c>
      <c r="B219" s="2" t="str">
        <f>IFERROR(__xludf.DUMMYFUNCTION("""COMPUTED_VALUE"""),"LSCTRSV0007")</f>
        <v>LSCTRSV0007</v>
      </c>
      <c r="C219" s="2">
        <f>IFERROR(__xludf.DUMMYFUNCTION("""COMPUTED_VALUE"""),0.0)</f>
        <v>0</v>
      </c>
      <c r="D219" s="2">
        <f>IFERROR(__xludf.DUMMYFUNCTION("""COMPUTED_VALUE"""),254.0)</f>
        <v>254</v>
      </c>
      <c r="E219" s="2">
        <f>IFERROR(__xludf.DUMMYFUNCTION("""COMPUTED_VALUE"""),7.0)</f>
        <v>7</v>
      </c>
      <c r="F219" s="2">
        <f>IFERROR(__xludf.DUMMYFUNCTION("""COMPUTED_VALUE"""),26.0)</f>
        <v>26</v>
      </c>
      <c r="G219" s="2">
        <f>IFERROR(__xludf.DUMMYFUNCTION("""COMPUTED_VALUE"""),486.0)</f>
        <v>486</v>
      </c>
      <c r="H219" s="2">
        <f>IFERROR(__xludf.DUMMYFUNCTION("""COMPUTED_VALUE"""),740.0)</f>
        <v>740</v>
      </c>
      <c r="I219" s="2">
        <f>IFERROR(__xludf.DUMMYFUNCTION("""COMPUTED_VALUE"""),0.0)</f>
        <v>0</v>
      </c>
    </row>
    <row r="220" ht="22.5" customHeight="1">
      <c r="A220" s="2" t="str">
        <f>IFERROR(__xludf.DUMMYFUNCTION("""COMPUTED_VALUE"""),"2026-03")</f>
        <v>2026-03</v>
      </c>
      <c r="B220" s="2" t="str">
        <f>IFERROR(__xludf.DUMMYFUNCTION("""COMPUTED_VALUE"""),"LSCTRSV0007")</f>
        <v>LSCTRSV0007</v>
      </c>
      <c r="C220" s="2">
        <f>IFERROR(__xludf.DUMMYFUNCTION("""COMPUTED_VALUE"""),0.0)</f>
        <v>0</v>
      </c>
      <c r="D220" s="2">
        <f>IFERROR(__xludf.DUMMYFUNCTION("""COMPUTED_VALUE"""),740.0)</f>
        <v>740</v>
      </c>
      <c r="E220" s="2">
        <f>IFERROR(__xludf.DUMMYFUNCTION("""COMPUTED_VALUE"""),19.0)</f>
        <v>19</v>
      </c>
      <c r="F220" s="2">
        <f>IFERROR(__xludf.DUMMYFUNCTION("""COMPUTED_VALUE"""),20.0)</f>
        <v>20</v>
      </c>
      <c r="G220" s="2">
        <f>IFERROR(__xludf.DUMMYFUNCTION("""COMPUTED_VALUE"""),0.0)</f>
        <v>0</v>
      </c>
      <c r="H220" s="2">
        <f>IFERROR(__xludf.DUMMYFUNCTION("""COMPUTED_VALUE"""),740.0)</f>
        <v>740</v>
      </c>
      <c r="I220" s="2">
        <f>IFERROR(__xludf.DUMMYFUNCTION("""COMPUTED_VALUE"""),0.0)</f>
        <v>0</v>
      </c>
    </row>
    <row r="221" ht="22.5" customHeight="1">
      <c r="A221" s="2" t="str">
        <f>IFERROR(__xludf.DUMMYFUNCTION("""COMPUTED_VALUE"""),"2026-04")</f>
        <v>2026-04</v>
      </c>
      <c r="B221" s="2" t="str">
        <f>IFERROR(__xludf.DUMMYFUNCTION("""COMPUTED_VALUE"""),"LSCTRSV0007")</f>
        <v>LSCTRSV0007</v>
      </c>
      <c r="C221" s="2">
        <f>IFERROR(__xludf.DUMMYFUNCTION("""COMPUTED_VALUE"""),0.0)</f>
        <v>0</v>
      </c>
      <c r="D221" s="2">
        <f>IFERROR(__xludf.DUMMYFUNCTION("""COMPUTED_VALUE"""),740.0)</f>
        <v>740</v>
      </c>
      <c r="E221" s="2">
        <f>IFERROR(__xludf.DUMMYFUNCTION("""COMPUTED_VALUE"""),19.0)</f>
        <v>19</v>
      </c>
      <c r="F221" s="2">
        <f>IFERROR(__xludf.DUMMYFUNCTION("""COMPUTED_VALUE"""),20.0)</f>
        <v>20</v>
      </c>
      <c r="G221" s="2">
        <f>IFERROR(__xludf.DUMMYFUNCTION("""COMPUTED_VALUE"""),0.0)</f>
        <v>0</v>
      </c>
      <c r="H221" s="2">
        <f>IFERROR(__xludf.DUMMYFUNCTION("""COMPUTED_VALUE"""),740.0)</f>
        <v>740</v>
      </c>
      <c r="I221" s="2">
        <f>IFERROR(__xludf.DUMMYFUNCTION("""COMPUTED_VALUE"""),0.0)</f>
        <v>0</v>
      </c>
    </row>
    <row r="222" ht="22.5" customHeight="1">
      <c r="A222" s="2" t="str">
        <f>IFERROR(__xludf.DUMMYFUNCTION("""COMPUTED_VALUE"""),"2026-05")</f>
        <v>2026-05</v>
      </c>
      <c r="B222" s="2" t="str">
        <f>IFERROR(__xludf.DUMMYFUNCTION("""COMPUTED_VALUE"""),"LSCTRSV0007")</f>
        <v>LSCTRSV0007</v>
      </c>
      <c r="C222" s="2">
        <f>IFERROR(__xludf.DUMMYFUNCTION("""COMPUTED_VALUE"""),0.0)</f>
        <v>0</v>
      </c>
      <c r="D222" s="2">
        <f>IFERROR(__xludf.DUMMYFUNCTION("""COMPUTED_VALUE"""),740.0)</f>
        <v>740</v>
      </c>
      <c r="E222" s="2">
        <f>IFERROR(__xludf.DUMMYFUNCTION("""COMPUTED_VALUE"""),19.0)</f>
        <v>19</v>
      </c>
      <c r="F222" s="2">
        <f>IFERROR(__xludf.DUMMYFUNCTION("""COMPUTED_VALUE"""),20.0)</f>
        <v>20</v>
      </c>
      <c r="G222" s="2">
        <f>IFERROR(__xludf.DUMMYFUNCTION("""COMPUTED_VALUE"""),0.0)</f>
        <v>0</v>
      </c>
      <c r="H222" s="2">
        <f>IFERROR(__xludf.DUMMYFUNCTION("""COMPUTED_VALUE"""),740.0)</f>
        <v>740</v>
      </c>
      <c r="I222" s="2">
        <f>IFERROR(__xludf.DUMMYFUNCTION("""COMPUTED_VALUE"""),0.0)</f>
        <v>0</v>
      </c>
    </row>
    <row r="223" ht="22.5" customHeight="1">
      <c r="A223" s="2" t="str">
        <f>IFERROR(__xludf.DUMMYFUNCTION("""COMPUTED_VALUE"""),"2026-06")</f>
        <v>2026-06</v>
      </c>
      <c r="B223" s="2" t="str">
        <f>IFERROR(__xludf.DUMMYFUNCTION("""COMPUTED_VALUE"""),"LSCTRSV0007")</f>
        <v>LSCTRSV0007</v>
      </c>
      <c r="C223" s="2">
        <f>IFERROR(__xludf.DUMMYFUNCTION("""COMPUTED_VALUE"""),0.0)</f>
        <v>0</v>
      </c>
      <c r="D223" s="2">
        <f>IFERROR(__xludf.DUMMYFUNCTION("""COMPUTED_VALUE"""),740.0)</f>
        <v>740</v>
      </c>
      <c r="E223" s="2">
        <f>IFERROR(__xludf.DUMMYFUNCTION("""COMPUTED_VALUE"""),19.0)</f>
        <v>19</v>
      </c>
      <c r="F223" s="2">
        <f>IFERROR(__xludf.DUMMYFUNCTION("""COMPUTED_VALUE"""),20.0)</f>
        <v>20</v>
      </c>
      <c r="G223" s="2">
        <f>IFERROR(__xludf.DUMMYFUNCTION("""COMPUTED_VALUE"""),0.0)</f>
        <v>0</v>
      </c>
      <c r="H223" s="2">
        <f>IFERROR(__xludf.DUMMYFUNCTION("""COMPUTED_VALUE"""),740.0)</f>
        <v>740</v>
      </c>
      <c r="I223" s="2">
        <f>IFERROR(__xludf.DUMMYFUNCTION("""COMPUTED_VALUE"""),0.0)</f>
        <v>0</v>
      </c>
    </row>
    <row r="224" ht="22.5" customHeight="1">
      <c r="A224" s="2" t="str">
        <f>IFERROR(__xludf.DUMMYFUNCTION("""COMPUTED_VALUE"""),"2026-07")</f>
        <v>2026-07</v>
      </c>
      <c r="B224" s="2" t="str">
        <f>IFERROR(__xludf.DUMMYFUNCTION("""COMPUTED_VALUE"""),"LSCTRSV0007")</f>
        <v>LSCTRSV0007</v>
      </c>
      <c r="C224" s="2">
        <f>IFERROR(__xludf.DUMMYFUNCTION("""COMPUTED_VALUE"""),0.0)</f>
        <v>0</v>
      </c>
      <c r="D224" s="2">
        <f>IFERROR(__xludf.DUMMYFUNCTION("""COMPUTED_VALUE"""),740.0)</f>
        <v>740</v>
      </c>
      <c r="E224" s="2">
        <f>IFERROR(__xludf.DUMMYFUNCTION("""COMPUTED_VALUE"""),19.0)</f>
        <v>19</v>
      </c>
      <c r="F224" s="2">
        <f>IFERROR(__xludf.DUMMYFUNCTION("""COMPUTED_VALUE"""),20.0)</f>
        <v>20</v>
      </c>
      <c r="G224" s="2">
        <f>IFERROR(__xludf.DUMMYFUNCTION("""COMPUTED_VALUE"""),0.0)</f>
        <v>0</v>
      </c>
      <c r="H224" s="2">
        <f>IFERROR(__xludf.DUMMYFUNCTION("""COMPUTED_VALUE"""),740.0)</f>
        <v>740</v>
      </c>
      <c r="I224" s="2">
        <f>IFERROR(__xludf.DUMMYFUNCTION("""COMPUTED_VALUE"""),0.0)</f>
        <v>0</v>
      </c>
    </row>
    <row r="225" ht="22.5" customHeight="1">
      <c r="A225" s="2" t="str">
        <f>IFERROR(__xludf.DUMMYFUNCTION("""COMPUTED_VALUE"""),"2026-08")</f>
        <v>2026-08</v>
      </c>
      <c r="B225" s="2" t="str">
        <f>IFERROR(__xludf.DUMMYFUNCTION("""COMPUTED_VALUE"""),"LSCTRSV0007")</f>
        <v>LSCTRSV0007</v>
      </c>
      <c r="C225" s="2">
        <f>IFERROR(__xludf.DUMMYFUNCTION("""COMPUTED_VALUE"""),0.0)</f>
        <v>0</v>
      </c>
      <c r="D225" s="2">
        <f>IFERROR(__xludf.DUMMYFUNCTION("""COMPUTED_VALUE"""),740.0)</f>
        <v>740</v>
      </c>
      <c r="E225" s="2">
        <f>IFERROR(__xludf.DUMMYFUNCTION("""COMPUTED_VALUE"""),19.0)</f>
        <v>19</v>
      </c>
      <c r="F225" s="2">
        <f>IFERROR(__xludf.DUMMYFUNCTION("""COMPUTED_VALUE"""),20.0)</f>
        <v>20</v>
      </c>
      <c r="G225" s="2">
        <f>IFERROR(__xludf.DUMMYFUNCTION("""COMPUTED_VALUE"""),0.0)</f>
        <v>0</v>
      </c>
      <c r="H225" s="2">
        <f>IFERROR(__xludf.DUMMYFUNCTION("""COMPUTED_VALUE"""),740.0)</f>
        <v>740</v>
      </c>
      <c r="I225" s="2">
        <f>IFERROR(__xludf.DUMMYFUNCTION("""COMPUTED_VALUE"""),0.0)</f>
        <v>0</v>
      </c>
    </row>
    <row r="226" ht="22.5" customHeight="1">
      <c r="A226" s="2" t="str">
        <f>IFERROR(__xludf.DUMMYFUNCTION("""COMPUTED_VALUE"""),"2026-09")</f>
        <v>2026-09</v>
      </c>
      <c r="B226" s="2" t="str">
        <f>IFERROR(__xludf.DUMMYFUNCTION("""COMPUTED_VALUE"""),"LSCTRSV0007")</f>
        <v>LSCTRSV0007</v>
      </c>
      <c r="C226" s="2">
        <f>IFERROR(__xludf.DUMMYFUNCTION("""COMPUTED_VALUE"""),0.0)</f>
        <v>0</v>
      </c>
      <c r="D226" s="2">
        <f>IFERROR(__xludf.DUMMYFUNCTION("""COMPUTED_VALUE"""),740.0)</f>
        <v>740</v>
      </c>
      <c r="E226" s="2">
        <f>IFERROR(__xludf.DUMMYFUNCTION("""COMPUTED_VALUE"""),19.0)</f>
        <v>19</v>
      </c>
      <c r="F226" s="2">
        <f>IFERROR(__xludf.DUMMYFUNCTION("""COMPUTED_VALUE"""),20.0)</f>
        <v>20</v>
      </c>
      <c r="G226" s="2">
        <f>IFERROR(__xludf.DUMMYFUNCTION("""COMPUTED_VALUE"""),0.0)</f>
        <v>0</v>
      </c>
      <c r="H226" s="2">
        <f>IFERROR(__xludf.DUMMYFUNCTION("""COMPUTED_VALUE"""),740.0)</f>
        <v>740</v>
      </c>
      <c r="I226" s="2">
        <f>IFERROR(__xludf.DUMMYFUNCTION("""COMPUTED_VALUE"""),0.0)</f>
        <v>0</v>
      </c>
    </row>
    <row r="227" ht="22.5" customHeight="1">
      <c r="A227" s="2" t="str">
        <f>IFERROR(__xludf.DUMMYFUNCTION("""COMPUTED_VALUE"""),"2026-10")</f>
        <v>2026-10</v>
      </c>
      <c r="B227" s="2" t="str">
        <f>IFERROR(__xludf.DUMMYFUNCTION("""COMPUTED_VALUE"""),"LSCTRSV0007")</f>
        <v>LSCTRSV0007</v>
      </c>
      <c r="C227" s="2">
        <f>IFERROR(__xludf.DUMMYFUNCTION("""COMPUTED_VALUE"""),0.0)</f>
        <v>0</v>
      </c>
      <c r="D227" s="2">
        <f>IFERROR(__xludf.DUMMYFUNCTION("""COMPUTED_VALUE"""),740.0)</f>
        <v>740</v>
      </c>
      <c r="E227" s="2">
        <f>IFERROR(__xludf.DUMMYFUNCTION("""COMPUTED_VALUE"""),19.0)</f>
        <v>19</v>
      </c>
      <c r="F227" s="2">
        <f>IFERROR(__xludf.DUMMYFUNCTION("""COMPUTED_VALUE"""),20.0)</f>
        <v>20</v>
      </c>
      <c r="G227" s="2">
        <f>IFERROR(__xludf.DUMMYFUNCTION("""COMPUTED_VALUE"""),0.0)</f>
        <v>0</v>
      </c>
      <c r="H227" s="2">
        <f>IFERROR(__xludf.DUMMYFUNCTION("""COMPUTED_VALUE"""),740.0)</f>
        <v>740</v>
      </c>
      <c r="I227" s="2">
        <f>IFERROR(__xludf.DUMMYFUNCTION("""COMPUTED_VALUE"""),0.0)</f>
        <v>0</v>
      </c>
    </row>
    <row r="228" ht="22.5" customHeight="1">
      <c r="A228" s="2" t="str">
        <f>IFERROR(__xludf.DUMMYFUNCTION("""COMPUTED_VALUE"""),"2026-11")</f>
        <v>2026-11</v>
      </c>
      <c r="B228" s="2" t="str">
        <f>IFERROR(__xludf.DUMMYFUNCTION("""COMPUTED_VALUE"""),"LSCTRSV0007")</f>
        <v>LSCTRSV0007</v>
      </c>
      <c r="C228" s="2">
        <f>IFERROR(__xludf.DUMMYFUNCTION("""COMPUTED_VALUE"""),0.0)</f>
        <v>0</v>
      </c>
      <c r="D228" s="2">
        <f>IFERROR(__xludf.DUMMYFUNCTION("""COMPUTED_VALUE"""),740.0)</f>
        <v>740</v>
      </c>
      <c r="E228" s="2">
        <f>IFERROR(__xludf.DUMMYFUNCTION("""COMPUTED_VALUE"""),19.0)</f>
        <v>19</v>
      </c>
      <c r="F228" s="2">
        <f>IFERROR(__xludf.DUMMYFUNCTION("""COMPUTED_VALUE"""),20.0)</f>
        <v>20</v>
      </c>
      <c r="G228" s="2">
        <f>IFERROR(__xludf.DUMMYFUNCTION("""COMPUTED_VALUE"""),0.0)</f>
        <v>0</v>
      </c>
      <c r="H228" s="2">
        <f>IFERROR(__xludf.DUMMYFUNCTION("""COMPUTED_VALUE"""),740.0)</f>
        <v>740</v>
      </c>
      <c r="I228" s="2">
        <f>IFERROR(__xludf.DUMMYFUNCTION("""COMPUTED_VALUE"""),0.0)</f>
        <v>0</v>
      </c>
    </row>
    <row r="229" ht="22.5" customHeight="1">
      <c r="A229" s="2" t="str">
        <f>IFERROR(__xludf.DUMMYFUNCTION("""COMPUTED_VALUE"""),"2026-12")</f>
        <v>2026-12</v>
      </c>
      <c r="B229" s="2" t="str">
        <f>IFERROR(__xludf.DUMMYFUNCTION("""COMPUTED_VALUE"""),"LSCTRSV0007")</f>
        <v>LSCTRSV0007</v>
      </c>
      <c r="C229" s="2">
        <f>IFERROR(__xludf.DUMMYFUNCTION("""COMPUTED_VALUE"""),0.0)</f>
        <v>0</v>
      </c>
      <c r="D229" s="2">
        <f>IFERROR(__xludf.DUMMYFUNCTION("""COMPUTED_VALUE"""),740.0)</f>
        <v>740</v>
      </c>
      <c r="E229" s="2">
        <f>IFERROR(__xludf.DUMMYFUNCTION("""COMPUTED_VALUE"""),19.0)</f>
        <v>19</v>
      </c>
      <c r="F229" s="2">
        <f>IFERROR(__xludf.DUMMYFUNCTION("""COMPUTED_VALUE"""),20.0)</f>
        <v>20</v>
      </c>
      <c r="G229" s="2">
        <f>IFERROR(__xludf.DUMMYFUNCTION("""COMPUTED_VALUE"""),0.0)</f>
        <v>0</v>
      </c>
      <c r="H229" s="2">
        <f>IFERROR(__xludf.DUMMYFUNCTION("""COMPUTED_VALUE"""),740.0)</f>
        <v>740</v>
      </c>
      <c r="I229" s="2">
        <f>IFERROR(__xludf.DUMMYFUNCTION("""COMPUTED_VALUE"""),0.0)</f>
        <v>0</v>
      </c>
    </row>
    <row r="230" ht="22.5" customHeight="1">
      <c r="A230" s="2" t="str">
        <f>IFERROR(__xludf.DUMMYFUNCTION("""COMPUTED_VALUE"""),"2026-01")</f>
        <v>2026-01</v>
      </c>
      <c r="B230" s="2" t="str">
        <f>IFERROR(__xludf.DUMMYFUNCTION("""COMPUTED_VALUE"""),"LSCTRSV0007-LX")</f>
        <v>LSCTRSV0007-LX</v>
      </c>
      <c r="C230" s="2">
        <f>IFERROR(__xludf.DUMMYFUNCTION("""COMPUTED_VALUE"""),0.0)</f>
        <v>0</v>
      </c>
      <c r="D230" s="2">
        <f>IFERROR(__xludf.DUMMYFUNCTION("""COMPUTED_VALUE"""),25.0)</f>
        <v>25</v>
      </c>
      <c r="E230" s="2">
        <f>IFERROR(__xludf.DUMMYFUNCTION("""COMPUTED_VALUE"""),1.0)</f>
        <v>1</v>
      </c>
      <c r="F230" s="2">
        <f>IFERROR(__xludf.DUMMYFUNCTION("""COMPUTED_VALUE"""),3.0)</f>
        <v>3</v>
      </c>
      <c r="G230" s="2">
        <f>IFERROR(__xludf.DUMMYFUNCTION("""COMPUTED_VALUE"""),355.0)</f>
        <v>355</v>
      </c>
      <c r="H230" s="2">
        <f>IFERROR(__xludf.DUMMYFUNCTION("""COMPUTED_VALUE"""),380.0)</f>
        <v>380</v>
      </c>
      <c r="I230" s="2">
        <f>IFERROR(__xludf.DUMMYFUNCTION("""COMPUTED_VALUE"""),0.0)</f>
        <v>0</v>
      </c>
    </row>
    <row r="231" ht="22.5" customHeight="1">
      <c r="A231" s="2" t="str">
        <f>IFERROR(__xludf.DUMMYFUNCTION("""COMPUTED_VALUE"""),"2026-02")</f>
        <v>2026-02</v>
      </c>
      <c r="B231" s="2" t="str">
        <f>IFERROR(__xludf.DUMMYFUNCTION("""COMPUTED_VALUE"""),"LSCTRSV0007-LX")</f>
        <v>LSCTRSV0007-LX</v>
      </c>
      <c r="C231" s="2">
        <f>IFERROR(__xludf.DUMMYFUNCTION("""COMPUTED_VALUE"""),0.0)</f>
        <v>0</v>
      </c>
      <c r="D231" s="2">
        <f>IFERROR(__xludf.DUMMYFUNCTION("""COMPUTED_VALUE"""),0.0)</f>
        <v>0</v>
      </c>
      <c r="E231" s="2">
        <f>IFERROR(__xludf.DUMMYFUNCTION("""COMPUTED_VALUE"""),0.0)</f>
        <v>0</v>
      </c>
      <c r="F231" s="2">
        <f>IFERROR(__xludf.DUMMYFUNCTION("""COMPUTED_VALUE"""),0.0)</f>
        <v>0</v>
      </c>
      <c r="G231" s="2">
        <f>IFERROR(__xludf.DUMMYFUNCTION("""COMPUTED_VALUE"""),492.0)</f>
        <v>492</v>
      </c>
      <c r="H231" s="2">
        <f>IFERROR(__xludf.DUMMYFUNCTION("""COMPUTED_VALUE"""),492.0)</f>
        <v>492</v>
      </c>
      <c r="I231" s="2">
        <f>IFERROR(__xludf.DUMMYFUNCTION("""COMPUTED_VALUE"""),0.0)</f>
        <v>0</v>
      </c>
    </row>
    <row r="232" ht="22.5" customHeight="1">
      <c r="A232" s="2" t="str">
        <f>IFERROR(__xludf.DUMMYFUNCTION("""COMPUTED_VALUE"""),"2026-03")</f>
        <v>2026-03</v>
      </c>
      <c r="B232" s="2" t="str">
        <f>IFERROR(__xludf.DUMMYFUNCTION("""COMPUTED_VALUE"""),"LSCTRSV0007-LX")</f>
        <v>LSCTRSV0007-LX</v>
      </c>
      <c r="C232" s="2">
        <f>IFERROR(__xludf.DUMMYFUNCTION("""COMPUTED_VALUE"""),0.0)</f>
        <v>0</v>
      </c>
      <c r="D232" s="2">
        <f>IFERROR(__xludf.DUMMYFUNCTION("""COMPUTED_VALUE"""),403.0)</f>
        <v>403</v>
      </c>
      <c r="E232" s="2">
        <f>IFERROR(__xludf.DUMMYFUNCTION("""COMPUTED_VALUE"""),15.0)</f>
        <v>15</v>
      </c>
      <c r="F232" s="2">
        <f>IFERROR(__xludf.DUMMYFUNCTION("""COMPUTED_VALUE"""),17.0)</f>
        <v>17</v>
      </c>
      <c r="G232" s="2">
        <f>IFERROR(__xludf.DUMMYFUNCTION("""COMPUTED_VALUE"""),89.0)</f>
        <v>89</v>
      </c>
      <c r="H232" s="2">
        <f>IFERROR(__xludf.DUMMYFUNCTION("""COMPUTED_VALUE"""),492.0)</f>
        <v>492</v>
      </c>
      <c r="I232" s="2">
        <f>IFERROR(__xludf.DUMMYFUNCTION("""COMPUTED_VALUE"""),0.0)</f>
        <v>0</v>
      </c>
    </row>
    <row r="233" ht="22.5" customHeight="1">
      <c r="A233" s="2" t="str">
        <f>IFERROR(__xludf.DUMMYFUNCTION("""COMPUTED_VALUE"""),"2026-04")</f>
        <v>2026-04</v>
      </c>
      <c r="B233" s="2" t="str">
        <f>IFERROR(__xludf.DUMMYFUNCTION("""COMPUTED_VALUE"""),"LSCTRSV0007-LX")</f>
        <v>LSCTRSV0007-LX</v>
      </c>
      <c r="C233" s="2">
        <f>IFERROR(__xludf.DUMMYFUNCTION("""COMPUTED_VALUE"""),0.0)</f>
        <v>0</v>
      </c>
      <c r="D233" s="2">
        <f>IFERROR(__xludf.DUMMYFUNCTION("""COMPUTED_VALUE"""),492.0)</f>
        <v>492</v>
      </c>
      <c r="E233" s="2">
        <f>IFERROR(__xludf.DUMMYFUNCTION("""COMPUTED_VALUE"""),18.0)</f>
        <v>18</v>
      </c>
      <c r="F233" s="2">
        <f>IFERROR(__xludf.DUMMYFUNCTION("""COMPUTED_VALUE"""),12.0)</f>
        <v>12</v>
      </c>
      <c r="G233" s="2">
        <f>IFERROR(__xludf.DUMMYFUNCTION("""COMPUTED_VALUE"""),0.0)</f>
        <v>0</v>
      </c>
      <c r="H233" s="2">
        <f>IFERROR(__xludf.DUMMYFUNCTION("""COMPUTED_VALUE"""),492.0)</f>
        <v>492</v>
      </c>
      <c r="I233" s="2">
        <f>IFERROR(__xludf.DUMMYFUNCTION("""COMPUTED_VALUE"""),0.0)</f>
        <v>0</v>
      </c>
    </row>
    <row r="234" ht="22.5" customHeight="1">
      <c r="A234" s="2" t="str">
        <f>IFERROR(__xludf.DUMMYFUNCTION("""COMPUTED_VALUE"""),"2026-05")</f>
        <v>2026-05</v>
      </c>
      <c r="B234" s="2" t="str">
        <f>IFERROR(__xludf.DUMMYFUNCTION("""COMPUTED_VALUE"""),"LSCTRSV0007-LX")</f>
        <v>LSCTRSV0007-LX</v>
      </c>
      <c r="C234" s="2">
        <f>IFERROR(__xludf.DUMMYFUNCTION("""COMPUTED_VALUE"""),0.0)</f>
        <v>0</v>
      </c>
      <c r="D234" s="2">
        <f>IFERROR(__xludf.DUMMYFUNCTION("""COMPUTED_VALUE"""),493.0)</f>
        <v>493</v>
      </c>
      <c r="E234" s="2">
        <f>IFERROR(__xludf.DUMMYFUNCTION("""COMPUTED_VALUE"""),18.0)</f>
        <v>18</v>
      </c>
      <c r="F234" s="2">
        <f>IFERROR(__xludf.DUMMYFUNCTION("""COMPUTED_VALUE"""),11.0)</f>
        <v>11</v>
      </c>
      <c r="G234" s="2">
        <f>IFERROR(__xludf.DUMMYFUNCTION("""COMPUTED_VALUE"""),0.0)</f>
        <v>0</v>
      </c>
      <c r="H234" s="2">
        <f>IFERROR(__xludf.DUMMYFUNCTION("""COMPUTED_VALUE"""),492.0)</f>
        <v>492</v>
      </c>
      <c r="I234" s="2">
        <f>IFERROR(__xludf.DUMMYFUNCTION("""COMPUTED_VALUE"""),1.0)</f>
        <v>1</v>
      </c>
    </row>
    <row r="235" ht="22.5" customHeight="1">
      <c r="A235" s="2" t="str">
        <f>IFERROR(__xludf.DUMMYFUNCTION("""COMPUTED_VALUE"""),"2026-06")</f>
        <v>2026-06</v>
      </c>
      <c r="B235" s="2" t="str">
        <f>IFERROR(__xludf.DUMMYFUNCTION("""COMPUTED_VALUE"""),"LSCTRSV0007-LX")</f>
        <v>LSCTRSV0007-LX</v>
      </c>
      <c r="C235" s="2">
        <f>IFERROR(__xludf.DUMMYFUNCTION("""COMPUTED_VALUE"""),1.0)</f>
        <v>1</v>
      </c>
      <c r="D235" s="2">
        <f>IFERROR(__xludf.DUMMYFUNCTION("""COMPUTED_VALUE"""),491.0)</f>
        <v>491</v>
      </c>
      <c r="E235" s="2">
        <f>IFERROR(__xludf.DUMMYFUNCTION("""COMPUTED_VALUE"""),18.0)</f>
        <v>18</v>
      </c>
      <c r="F235" s="2">
        <f>IFERROR(__xludf.DUMMYFUNCTION("""COMPUTED_VALUE"""),13.0)</f>
        <v>13</v>
      </c>
      <c r="G235" s="2">
        <f>IFERROR(__xludf.DUMMYFUNCTION("""COMPUTED_VALUE"""),0.0)</f>
        <v>0</v>
      </c>
      <c r="H235" s="2">
        <f>IFERROR(__xludf.DUMMYFUNCTION("""COMPUTED_VALUE"""),492.0)</f>
        <v>492</v>
      </c>
      <c r="I235" s="2">
        <f>IFERROR(__xludf.DUMMYFUNCTION("""COMPUTED_VALUE"""),0.0)</f>
        <v>0</v>
      </c>
    </row>
    <row r="236" ht="22.5" customHeight="1">
      <c r="A236" s="2" t="str">
        <f>IFERROR(__xludf.DUMMYFUNCTION("""COMPUTED_VALUE"""),"2026-07")</f>
        <v>2026-07</v>
      </c>
      <c r="B236" s="2" t="str">
        <f>IFERROR(__xludf.DUMMYFUNCTION("""COMPUTED_VALUE"""),"LSCTRSV0007-LX")</f>
        <v>LSCTRSV0007-LX</v>
      </c>
      <c r="C236" s="2">
        <f>IFERROR(__xludf.DUMMYFUNCTION("""COMPUTED_VALUE"""),0.0)</f>
        <v>0</v>
      </c>
      <c r="D236" s="2">
        <f>IFERROR(__xludf.DUMMYFUNCTION("""COMPUTED_VALUE"""),492.0)</f>
        <v>492</v>
      </c>
      <c r="E236" s="2">
        <f>IFERROR(__xludf.DUMMYFUNCTION("""COMPUTED_VALUE"""),18.0)</f>
        <v>18</v>
      </c>
      <c r="F236" s="2">
        <f>IFERROR(__xludf.DUMMYFUNCTION("""COMPUTED_VALUE"""),12.0)</f>
        <v>12</v>
      </c>
      <c r="G236" s="2">
        <f>IFERROR(__xludf.DUMMYFUNCTION("""COMPUTED_VALUE"""),0.0)</f>
        <v>0</v>
      </c>
      <c r="H236" s="2">
        <f>IFERROR(__xludf.DUMMYFUNCTION("""COMPUTED_VALUE"""),492.0)</f>
        <v>492</v>
      </c>
      <c r="I236" s="2">
        <f>IFERROR(__xludf.DUMMYFUNCTION("""COMPUTED_VALUE"""),0.0)</f>
        <v>0</v>
      </c>
    </row>
    <row r="237" ht="22.5" customHeight="1">
      <c r="A237" s="2" t="str">
        <f>IFERROR(__xludf.DUMMYFUNCTION("""COMPUTED_VALUE"""),"2026-08")</f>
        <v>2026-08</v>
      </c>
      <c r="B237" s="2" t="str">
        <f>IFERROR(__xludf.DUMMYFUNCTION("""COMPUTED_VALUE"""),"LSCTRSV0007-LX")</f>
        <v>LSCTRSV0007-LX</v>
      </c>
      <c r="C237" s="2">
        <f>IFERROR(__xludf.DUMMYFUNCTION("""COMPUTED_VALUE"""),0.0)</f>
        <v>0</v>
      </c>
      <c r="D237" s="2">
        <f>IFERROR(__xludf.DUMMYFUNCTION("""COMPUTED_VALUE"""),492.0)</f>
        <v>492</v>
      </c>
      <c r="E237" s="2">
        <f>IFERROR(__xludf.DUMMYFUNCTION("""COMPUTED_VALUE"""),18.0)</f>
        <v>18</v>
      </c>
      <c r="F237" s="2">
        <f>IFERROR(__xludf.DUMMYFUNCTION("""COMPUTED_VALUE"""),12.0)</f>
        <v>12</v>
      </c>
      <c r="G237" s="2">
        <f>IFERROR(__xludf.DUMMYFUNCTION("""COMPUTED_VALUE"""),0.0)</f>
        <v>0</v>
      </c>
      <c r="H237" s="2">
        <f>IFERROR(__xludf.DUMMYFUNCTION("""COMPUTED_VALUE"""),492.0)</f>
        <v>492</v>
      </c>
      <c r="I237" s="2">
        <f>IFERROR(__xludf.DUMMYFUNCTION("""COMPUTED_VALUE"""),0.0)</f>
        <v>0</v>
      </c>
    </row>
    <row r="238" ht="22.5" customHeight="1">
      <c r="A238" s="2" t="str">
        <f>IFERROR(__xludf.DUMMYFUNCTION("""COMPUTED_VALUE"""),"2026-09")</f>
        <v>2026-09</v>
      </c>
      <c r="B238" s="2" t="str">
        <f>IFERROR(__xludf.DUMMYFUNCTION("""COMPUTED_VALUE"""),"LSCTRSV0007-LX")</f>
        <v>LSCTRSV0007-LX</v>
      </c>
      <c r="C238" s="2">
        <f>IFERROR(__xludf.DUMMYFUNCTION("""COMPUTED_VALUE"""),0.0)</f>
        <v>0</v>
      </c>
      <c r="D238" s="2">
        <f>IFERROR(__xludf.DUMMYFUNCTION("""COMPUTED_VALUE"""),492.0)</f>
        <v>492</v>
      </c>
      <c r="E238" s="2">
        <f>IFERROR(__xludf.DUMMYFUNCTION("""COMPUTED_VALUE"""),18.0)</f>
        <v>18</v>
      </c>
      <c r="F238" s="2">
        <f>IFERROR(__xludf.DUMMYFUNCTION("""COMPUTED_VALUE"""),12.0)</f>
        <v>12</v>
      </c>
      <c r="G238" s="2">
        <f>IFERROR(__xludf.DUMMYFUNCTION("""COMPUTED_VALUE"""),0.0)</f>
        <v>0</v>
      </c>
      <c r="H238" s="2">
        <f>IFERROR(__xludf.DUMMYFUNCTION("""COMPUTED_VALUE"""),492.0)</f>
        <v>492</v>
      </c>
      <c r="I238" s="2">
        <f>IFERROR(__xludf.DUMMYFUNCTION("""COMPUTED_VALUE"""),0.0)</f>
        <v>0</v>
      </c>
    </row>
    <row r="239" ht="22.5" customHeight="1">
      <c r="A239" s="2" t="str">
        <f>IFERROR(__xludf.DUMMYFUNCTION("""COMPUTED_VALUE"""),"2026-10")</f>
        <v>2026-10</v>
      </c>
      <c r="B239" s="2" t="str">
        <f>IFERROR(__xludf.DUMMYFUNCTION("""COMPUTED_VALUE"""),"LSCTRSV0007-LX")</f>
        <v>LSCTRSV0007-LX</v>
      </c>
      <c r="C239" s="2">
        <f>IFERROR(__xludf.DUMMYFUNCTION("""COMPUTED_VALUE"""),0.0)</f>
        <v>0</v>
      </c>
      <c r="D239" s="2">
        <f>IFERROR(__xludf.DUMMYFUNCTION("""COMPUTED_VALUE"""),492.0)</f>
        <v>492</v>
      </c>
      <c r="E239" s="2">
        <f>IFERROR(__xludf.DUMMYFUNCTION("""COMPUTED_VALUE"""),18.0)</f>
        <v>18</v>
      </c>
      <c r="F239" s="2">
        <f>IFERROR(__xludf.DUMMYFUNCTION("""COMPUTED_VALUE"""),12.0)</f>
        <v>12</v>
      </c>
      <c r="G239" s="2">
        <f>IFERROR(__xludf.DUMMYFUNCTION("""COMPUTED_VALUE"""),0.0)</f>
        <v>0</v>
      </c>
      <c r="H239" s="2">
        <f>IFERROR(__xludf.DUMMYFUNCTION("""COMPUTED_VALUE"""),492.0)</f>
        <v>492</v>
      </c>
      <c r="I239" s="2">
        <f>IFERROR(__xludf.DUMMYFUNCTION("""COMPUTED_VALUE"""),0.0)</f>
        <v>0</v>
      </c>
    </row>
    <row r="240" ht="22.5" customHeight="1">
      <c r="A240" s="2" t="str">
        <f>IFERROR(__xludf.DUMMYFUNCTION("""COMPUTED_VALUE"""),"2026-11")</f>
        <v>2026-11</v>
      </c>
      <c r="B240" s="2" t="str">
        <f>IFERROR(__xludf.DUMMYFUNCTION("""COMPUTED_VALUE"""),"LSCTRSV0007-LX")</f>
        <v>LSCTRSV0007-LX</v>
      </c>
      <c r="C240" s="2">
        <f>IFERROR(__xludf.DUMMYFUNCTION("""COMPUTED_VALUE"""),0.0)</f>
        <v>0</v>
      </c>
      <c r="D240" s="2">
        <f>IFERROR(__xludf.DUMMYFUNCTION("""COMPUTED_VALUE"""),492.0)</f>
        <v>492</v>
      </c>
      <c r="E240" s="2">
        <f>IFERROR(__xludf.DUMMYFUNCTION("""COMPUTED_VALUE"""),18.0)</f>
        <v>18</v>
      </c>
      <c r="F240" s="2">
        <f>IFERROR(__xludf.DUMMYFUNCTION("""COMPUTED_VALUE"""),12.0)</f>
        <v>12</v>
      </c>
      <c r="G240" s="2">
        <f>IFERROR(__xludf.DUMMYFUNCTION("""COMPUTED_VALUE"""),0.0)</f>
        <v>0</v>
      </c>
      <c r="H240" s="2">
        <f>IFERROR(__xludf.DUMMYFUNCTION("""COMPUTED_VALUE"""),492.0)</f>
        <v>492</v>
      </c>
      <c r="I240" s="2">
        <f>IFERROR(__xludf.DUMMYFUNCTION("""COMPUTED_VALUE"""),0.0)</f>
        <v>0</v>
      </c>
    </row>
    <row r="241" ht="22.5" customHeight="1">
      <c r="A241" s="2" t="str">
        <f>IFERROR(__xludf.DUMMYFUNCTION("""COMPUTED_VALUE"""),"2026-12")</f>
        <v>2026-12</v>
      </c>
      <c r="B241" s="2" t="str">
        <f>IFERROR(__xludf.DUMMYFUNCTION("""COMPUTED_VALUE"""),"LSCTRSV0007-LX")</f>
        <v>LSCTRSV0007-LX</v>
      </c>
      <c r="C241" s="2">
        <f>IFERROR(__xludf.DUMMYFUNCTION("""COMPUTED_VALUE"""),0.0)</f>
        <v>0</v>
      </c>
      <c r="D241" s="2">
        <f>IFERROR(__xludf.DUMMYFUNCTION("""COMPUTED_VALUE"""),492.0)</f>
        <v>492</v>
      </c>
      <c r="E241" s="2">
        <f>IFERROR(__xludf.DUMMYFUNCTION("""COMPUTED_VALUE"""),18.0)</f>
        <v>18</v>
      </c>
      <c r="F241" s="2">
        <f>IFERROR(__xludf.DUMMYFUNCTION("""COMPUTED_VALUE"""),12.0)</f>
        <v>12</v>
      </c>
      <c r="G241" s="2">
        <f>IFERROR(__xludf.DUMMYFUNCTION("""COMPUTED_VALUE"""),0.0)</f>
        <v>0</v>
      </c>
      <c r="H241" s="2">
        <f>IFERROR(__xludf.DUMMYFUNCTION("""COMPUTED_VALUE"""),492.0)</f>
        <v>492</v>
      </c>
      <c r="I241" s="2">
        <f>IFERROR(__xludf.DUMMYFUNCTION("""COMPUTED_VALUE"""),0.0)</f>
        <v>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38"/>
    <col customWidth="1" min="5" max="5" width="19.63"/>
    <col customWidth="1" min="6" max="6" width="28.63"/>
    <col customWidth="1" min="7" max="7" width="17.38"/>
    <col customWidth="1" min="8" max="8" width="15.5"/>
  </cols>
  <sheetData>
    <row r="1" ht="22.5" customHeight="1">
      <c r="A1" s="3" t="s">
        <v>0</v>
      </c>
      <c r="B1" s="3" t="s">
        <v>14</v>
      </c>
      <c r="C1" s="3" t="s">
        <v>15</v>
      </c>
      <c r="D1" s="3" t="s">
        <v>8</v>
      </c>
      <c r="E1" s="3" t="s">
        <v>9</v>
      </c>
      <c r="F1" s="3" t="s">
        <v>10</v>
      </c>
      <c r="G1" s="3" t="s">
        <v>16</v>
      </c>
      <c r="H1" s="3" t="s">
        <v>17</v>
      </c>
    </row>
    <row r="2" ht="22.5" customHeight="1">
      <c r="A2" s="2" t="str">
        <f>IFERROR(__xludf.DUMMYFUNCTION("IMPORTRANGE(""https://docs.google.com/spreadsheets/d/1cuUEDJt1Vm931IMxiPU4Nr4m2KtD68iuWoRbEMiJusk/edit?usp=sharing"",""L2_PLAN!A2:Z10000"")"),"2026-01")</f>
        <v>2026-01</v>
      </c>
      <c r="B2" s="2" t="str">
        <f>IFERROR(__xludf.DUMMYFUNCTION("""COMPUTED_VALUE"""),"CYL-SD")</f>
        <v>CYL-SD</v>
      </c>
      <c r="C2" s="2">
        <f>IFERROR(__xludf.DUMMYFUNCTION("""COMPUTED_VALUE"""),885.0)</f>
        <v>885</v>
      </c>
      <c r="D2" s="2">
        <f>IFERROR(__xludf.DUMMYFUNCTION("""COMPUTED_VALUE"""),0.0)</f>
        <v>0</v>
      </c>
      <c r="E2" s="2">
        <f>IFERROR(__xludf.DUMMYFUNCTION("""COMPUTED_VALUE"""),0.0)</f>
        <v>0</v>
      </c>
      <c r="F2" s="2">
        <f>IFERROR(__xludf.DUMMYFUNCTION("""COMPUTED_VALUE"""),0.0)</f>
        <v>0</v>
      </c>
      <c r="G2" s="2">
        <f>IFERROR(__xludf.DUMMYFUNCTION("""COMPUTED_VALUE"""),211.0)</f>
        <v>211</v>
      </c>
      <c r="H2" s="2">
        <f>IFERROR(__xludf.DUMMYFUNCTION("""COMPUTED_VALUE"""),674.0)</f>
        <v>674</v>
      </c>
    </row>
    <row r="3" ht="22.5" customHeight="1">
      <c r="A3" s="2" t="str">
        <f>IFERROR(__xludf.DUMMYFUNCTION("""COMPUTED_VALUE"""),"2026-02")</f>
        <v>2026-02</v>
      </c>
      <c r="B3" s="2" t="str">
        <f>IFERROR(__xludf.DUMMYFUNCTION("""COMPUTED_VALUE"""),"CYL-SD")</f>
        <v>CYL-SD</v>
      </c>
      <c r="C3" s="2">
        <f>IFERROR(__xludf.DUMMYFUNCTION("""COMPUTED_VALUE"""),674.0)</f>
        <v>674</v>
      </c>
      <c r="D3" s="2">
        <f>IFERROR(__xludf.DUMMYFUNCTION("""COMPUTED_VALUE"""),0.0)</f>
        <v>0</v>
      </c>
      <c r="E3" s="2">
        <f>IFERROR(__xludf.DUMMYFUNCTION("""COMPUTED_VALUE"""),0.0)</f>
        <v>0</v>
      </c>
      <c r="F3" s="2">
        <f>IFERROR(__xludf.DUMMYFUNCTION("""COMPUTED_VALUE"""),0.0)</f>
        <v>0</v>
      </c>
      <c r="G3" s="2">
        <f>IFERROR(__xludf.DUMMYFUNCTION("""COMPUTED_VALUE"""),0.0)</f>
        <v>0</v>
      </c>
      <c r="H3" s="2">
        <f>IFERROR(__xludf.DUMMYFUNCTION("""COMPUTED_VALUE"""),674.0)</f>
        <v>674</v>
      </c>
    </row>
    <row r="4" ht="22.5" customHeight="1">
      <c r="A4" s="2" t="str">
        <f>IFERROR(__xludf.DUMMYFUNCTION("""COMPUTED_VALUE"""),"2026-03")</f>
        <v>2026-03</v>
      </c>
      <c r="B4" s="2" t="str">
        <f>IFERROR(__xludf.DUMMYFUNCTION("""COMPUTED_VALUE"""),"CYL-SD")</f>
        <v>CYL-SD</v>
      </c>
      <c r="C4" s="2">
        <f>IFERROR(__xludf.DUMMYFUNCTION("""COMPUTED_VALUE"""),674.0)</f>
        <v>674</v>
      </c>
      <c r="D4" s="2">
        <f>IFERROR(__xludf.DUMMYFUNCTION("""COMPUTED_VALUE"""),0.0)</f>
        <v>0</v>
      </c>
      <c r="E4" s="2">
        <f>IFERROR(__xludf.DUMMYFUNCTION("""COMPUTED_VALUE"""),0.0)</f>
        <v>0</v>
      </c>
      <c r="F4" s="2">
        <f>IFERROR(__xludf.DUMMYFUNCTION("""COMPUTED_VALUE"""),0.0)</f>
        <v>0</v>
      </c>
      <c r="G4" s="2">
        <f>IFERROR(__xludf.DUMMYFUNCTION("""COMPUTED_VALUE"""),0.0)</f>
        <v>0</v>
      </c>
      <c r="H4" s="2">
        <f>IFERROR(__xludf.DUMMYFUNCTION("""COMPUTED_VALUE"""),674.0)</f>
        <v>674</v>
      </c>
    </row>
    <row r="5" ht="22.5" customHeight="1">
      <c r="A5" s="2" t="str">
        <f>IFERROR(__xludf.DUMMYFUNCTION("""COMPUTED_VALUE"""),"2026-04")</f>
        <v>2026-04</v>
      </c>
      <c r="B5" s="2" t="str">
        <f>IFERROR(__xludf.DUMMYFUNCTION("""COMPUTED_VALUE"""),"CYL-SD")</f>
        <v>CYL-SD</v>
      </c>
      <c r="C5" s="2">
        <f>IFERROR(__xludf.DUMMYFUNCTION("""COMPUTED_VALUE"""),674.0)</f>
        <v>674</v>
      </c>
      <c r="D5" s="2">
        <f>IFERROR(__xludf.DUMMYFUNCTION("""COMPUTED_VALUE"""),0.0)</f>
        <v>0</v>
      </c>
      <c r="E5" s="2">
        <f>IFERROR(__xludf.DUMMYFUNCTION("""COMPUTED_VALUE"""),0.0)</f>
        <v>0</v>
      </c>
      <c r="F5" s="2">
        <f>IFERROR(__xludf.DUMMYFUNCTION("""COMPUTED_VALUE"""),0.0)</f>
        <v>0</v>
      </c>
      <c r="G5" s="2">
        <f>IFERROR(__xludf.DUMMYFUNCTION("""COMPUTED_VALUE"""),0.0)</f>
        <v>0</v>
      </c>
      <c r="H5" s="2">
        <f>IFERROR(__xludf.DUMMYFUNCTION("""COMPUTED_VALUE"""),674.0)</f>
        <v>674</v>
      </c>
    </row>
    <row r="6" ht="22.5" customHeight="1">
      <c r="A6" s="2" t="str">
        <f>IFERROR(__xludf.DUMMYFUNCTION("""COMPUTED_VALUE"""),"2026-05")</f>
        <v>2026-05</v>
      </c>
      <c r="B6" s="2" t="str">
        <f>IFERROR(__xludf.DUMMYFUNCTION("""COMPUTED_VALUE"""),"CYL-SD")</f>
        <v>CYL-SD</v>
      </c>
      <c r="C6" s="2">
        <f>IFERROR(__xludf.DUMMYFUNCTION("""COMPUTED_VALUE"""),674.0)</f>
        <v>674</v>
      </c>
      <c r="D6" s="2">
        <f>IFERROR(__xludf.DUMMYFUNCTION("""COMPUTED_VALUE"""),0.0)</f>
        <v>0</v>
      </c>
      <c r="E6" s="2">
        <f>IFERROR(__xludf.DUMMYFUNCTION("""COMPUTED_VALUE"""),0.0)</f>
        <v>0</v>
      </c>
      <c r="F6" s="2">
        <f>IFERROR(__xludf.DUMMYFUNCTION("""COMPUTED_VALUE"""),0.0)</f>
        <v>0</v>
      </c>
      <c r="G6" s="2">
        <f>IFERROR(__xludf.DUMMYFUNCTION("""COMPUTED_VALUE"""),0.0)</f>
        <v>0</v>
      </c>
      <c r="H6" s="2">
        <f>IFERROR(__xludf.DUMMYFUNCTION("""COMPUTED_VALUE"""),674.0)</f>
        <v>674</v>
      </c>
    </row>
    <row r="7" ht="22.5" customHeight="1">
      <c r="A7" s="2" t="str">
        <f>IFERROR(__xludf.DUMMYFUNCTION("""COMPUTED_VALUE"""),"2026-06")</f>
        <v>2026-06</v>
      </c>
      <c r="B7" s="2" t="str">
        <f>IFERROR(__xludf.DUMMYFUNCTION("""COMPUTED_VALUE"""),"CYL-SD")</f>
        <v>CYL-SD</v>
      </c>
      <c r="C7" s="2">
        <f>IFERROR(__xludf.DUMMYFUNCTION("""COMPUTED_VALUE"""),674.0)</f>
        <v>674</v>
      </c>
      <c r="D7" s="2">
        <f>IFERROR(__xludf.DUMMYFUNCTION("""COMPUTED_VALUE"""),0.0)</f>
        <v>0</v>
      </c>
      <c r="E7" s="2">
        <f>IFERROR(__xludf.DUMMYFUNCTION("""COMPUTED_VALUE"""),0.0)</f>
        <v>0</v>
      </c>
      <c r="F7" s="2">
        <f>IFERROR(__xludf.DUMMYFUNCTION("""COMPUTED_VALUE"""),0.0)</f>
        <v>0</v>
      </c>
      <c r="G7" s="2">
        <f>IFERROR(__xludf.DUMMYFUNCTION("""COMPUTED_VALUE"""),0.0)</f>
        <v>0</v>
      </c>
      <c r="H7" s="2">
        <f>IFERROR(__xludf.DUMMYFUNCTION("""COMPUTED_VALUE"""),674.0)</f>
        <v>674</v>
      </c>
    </row>
    <row r="8" ht="22.5" customHeight="1">
      <c r="A8" s="2" t="str">
        <f>IFERROR(__xludf.DUMMYFUNCTION("""COMPUTED_VALUE"""),"2026-07")</f>
        <v>2026-07</v>
      </c>
      <c r="B8" s="2" t="str">
        <f>IFERROR(__xludf.DUMMYFUNCTION("""COMPUTED_VALUE"""),"CYL-SD")</f>
        <v>CYL-SD</v>
      </c>
      <c r="C8" s="2">
        <f>IFERROR(__xludf.DUMMYFUNCTION("""COMPUTED_VALUE"""),674.0)</f>
        <v>674</v>
      </c>
      <c r="D8" s="2">
        <f>IFERROR(__xludf.DUMMYFUNCTION("""COMPUTED_VALUE"""),0.0)</f>
        <v>0</v>
      </c>
      <c r="E8" s="2">
        <f>IFERROR(__xludf.DUMMYFUNCTION("""COMPUTED_VALUE"""),0.0)</f>
        <v>0</v>
      </c>
      <c r="F8" s="2">
        <f>IFERROR(__xludf.DUMMYFUNCTION("""COMPUTED_VALUE"""),0.0)</f>
        <v>0</v>
      </c>
      <c r="G8" s="2">
        <f>IFERROR(__xludf.DUMMYFUNCTION("""COMPUTED_VALUE"""),0.0)</f>
        <v>0</v>
      </c>
      <c r="H8" s="2">
        <f>IFERROR(__xludf.DUMMYFUNCTION("""COMPUTED_VALUE"""),674.0)</f>
        <v>674</v>
      </c>
    </row>
    <row r="9" ht="22.5" customHeight="1">
      <c r="A9" s="2" t="str">
        <f>IFERROR(__xludf.DUMMYFUNCTION("""COMPUTED_VALUE"""),"2026-08")</f>
        <v>2026-08</v>
      </c>
      <c r="B9" s="2" t="str">
        <f>IFERROR(__xludf.DUMMYFUNCTION("""COMPUTED_VALUE"""),"CYL-SD")</f>
        <v>CYL-SD</v>
      </c>
      <c r="C9" s="2">
        <f>IFERROR(__xludf.DUMMYFUNCTION("""COMPUTED_VALUE"""),674.0)</f>
        <v>674</v>
      </c>
      <c r="D9" s="2">
        <f>IFERROR(__xludf.DUMMYFUNCTION("""COMPUTED_VALUE"""),0.0)</f>
        <v>0</v>
      </c>
      <c r="E9" s="2">
        <f>IFERROR(__xludf.DUMMYFUNCTION("""COMPUTED_VALUE"""),0.0)</f>
        <v>0</v>
      </c>
      <c r="F9" s="2">
        <f>IFERROR(__xludf.DUMMYFUNCTION("""COMPUTED_VALUE"""),0.0)</f>
        <v>0</v>
      </c>
      <c r="G9" s="2">
        <f>IFERROR(__xludf.DUMMYFUNCTION("""COMPUTED_VALUE"""),0.0)</f>
        <v>0</v>
      </c>
      <c r="H9" s="2">
        <f>IFERROR(__xludf.DUMMYFUNCTION("""COMPUTED_VALUE"""),674.0)</f>
        <v>674</v>
      </c>
    </row>
    <row r="10" ht="22.5" customHeight="1">
      <c r="A10" s="2" t="str">
        <f>IFERROR(__xludf.DUMMYFUNCTION("""COMPUTED_VALUE"""),"2026-09")</f>
        <v>2026-09</v>
      </c>
      <c r="B10" s="2" t="str">
        <f>IFERROR(__xludf.DUMMYFUNCTION("""COMPUTED_VALUE"""),"CYL-SD")</f>
        <v>CYL-SD</v>
      </c>
      <c r="C10" s="2">
        <f>IFERROR(__xludf.DUMMYFUNCTION("""COMPUTED_VALUE"""),674.0)</f>
        <v>674</v>
      </c>
      <c r="D10" s="2">
        <f>IFERROR(__xludf.DUMMYFUNCTION("""COMPUTED_VALUE"""),0.0)</f>
        <v>0</v>
      </c>
      <c r="E10" s="2">
        <f>IFERROR(__xludf.DUMMYFUNCTION("""COMPUTED_VALUE"""),0.0)</f>
        <v>0</v>
      </c>
      <c r="F10" s="2">
        <f>IFERROR(__xludf.DUMMYFUNCTION("""COMPUTED_VALUE"""),0.0)</f>
        <v>0</v>
      </c>
      <c r="G10" s="2">
        <f>IFERROR(__xludf.DUMMYFUNCTION("""COMPUTED_VALUE"""),0.0)</f>
        <v>0</v>
      </c>
      <c r="H10" s="2">
        <f>IFERROR(__xludf.DUMMYFUNCTION("""COMPUTED_VALUE"""),674.0)</f>
        <v>674</v>
      </c>
    </row>
    <row r="11" ht="22.5" customHeight="1">
      <c r="A11" s="2" t="str">
        <f>IFERROR(__xludf.DUMMYFUNCTION("""COMPUTED_VALUE"""),"2026-10")</f>
        <v>2026-10</v>
      </c>
      <c r="B11" s="2" t="str">
        <f>IFERROR(__xludf.DUMMYFUNCTION("""COMPUTED_VALUE"""),"CYL-SD")</f>
        <v>CYL-SD</v>
      </c>
      <c r="C11" s="2">
        <f>IFERROR(__xludf.DUMMYFUNCTION("""COMPUTED_VALUE"""),674.0)</f>
        <v>674</v>
      </c>
      <c r="D11" s="2">
        <f>IFERROR(__xludf.DUMMYFUNCTION("""COMPUTED_VALUE"""),0.0)</f>
        <v>0</v>
      </c>
      <c r="E11" s="2">
        <f>IFERROR(__xludf.DUMMYFUNCTION("""COMPUTED_VALUE"""),0.0)</f>
        <v>0</v>
      </c>
      <c r="F11" s="2">
        <f>IFERROR(__xludf.DUMMYFUNCTION("""COMPUTED_VALUE"""),0.0)</f>
        <v>0</v>
      </c>
      <c r="G11" s="2">
        <f>IFERROR(__xludf.DUMMYFUNCTION("""COMPUTED_VALUE"""),0.0)</f>
        <v>0</v>
      </c>
      <c r="H11" s="2">
        <f>IFERROR(__xludf.DUMMYFUNCTION("""COMPUTED_VALUE"""),674.0)</f>
        <v>674</v>
      </c>
    </row>
    <row r="12" ht="22.5" customHeight="1">
      <c r="A12" s="2" t="str">
        <f>IFERROR(__xludf.DUMMYFUNCTION("""COMPUTED_VALUE"""),"2026-11")</f>
        <v>2026-11</v>
      </c>
      <c r="B12" s="2" t="str">
        <f>IFERROR(__xludf.DUMMYFUNCTION("""COMPUTED_VALUE"""),"CYL-SD")</f>
        <v>CYL-SD</v>
      </c>
      <c r="C12" s="2">
        <f>IFERROR(__xludf.DUMMYFUNCTION("""COMPUTED_VALUE"""),674.0)</f>
        <v>674</v>
      </c>
      <c r="D12" s="2">
        <f>IFERROR(__xludf.DUMMYFUNCTION("""COMPUTED_VALUE"""),0.0)</f>
        <v>0</v>
      </c>
      <c r="E12" s="2">
        <f>IFERROR(__xludf.DUMMYFUNCTION("""COMPUTED_VALUE"""),0.0)</f>
        <v>0</v>
      </c>
      <c r="F12" s="2">
        <f>IFERROR(__xludf.DUMMYFUNCTION("""COMPUTED_VALUE"""),0.0)</f>
        <v>0</v>
      </c>
      <c r="G12" s="2">
        <f>IFERROR(__xludf.DUMMYFUNCTION("""COMPUTED_VALUE"""),0.0)</f>
        <v>0</v>
      </c>
      <c r="H12" s="2">
        <f>IFERROR(__xludf.DUMMYFUNCTION("""COMPUTED_VALUE"""),674.0)</f>
        <v>674</v>
      </c>
    </row>
    <row r="13" ht="22.5" customHeight="1">
      <c r="A13" s="2" t="str">
        <f>IFERROR(__xludf.DUMMYFUNCTION("""COMPUTED_VALUE"""),"2026-12")</f>
        <v>2026-12</v>
      </c>
      <c r="B13" s="2" t="str">
        <f>IFERROR(__xludf.DUMMYFUNCTION("""COMPUTED_VALUE"""),"CYL-SD")</f>
        <v>CYL-SD</v>
      </c>
      <c r="C13" s="2">
        <f>IFERROR(__xludf.DUMMYFUNCTION("""COMPUTED_VALUE"""),674.0)</f>
        <v>674</v>
      </c>
      <c r="D13" s="2">
        <f>IFERROR(__xludf.DUMMYFUNCTION("""COMPUTED_VALUE"""),0.0)</f>
        <v>0</v>
      </c>
      <c r="E13" s="2">
        <f>IFERROR(__xludf.DUMMYFUNCTION("""COMPUTED_VALUE"""),0.0)</f>
        <v>0</v>
      </c>
      <c r="F13" s="2">
        <f>IFERROR(__xludf.DUMMYFUNCTION("""COMPUTED_VALUE"""),0.0)</f>
        <v>0</v>
      </c>
      <c r="G13" s="2">
        <f>IFERROR(__xludf.DUMMYFUNCTION("""COMPUTED_VALUE"""),0.0)</f>
        <v>0</v>
      </c>
      <c r="H13" s="2">
        <f>IFERROR(__xludf.DUMMYFUNCTION("""COMPUTED_VALUE"""),674.0)</f>
        <v>674</v>
      </c>
    </row>
    <row r="14" ht="22.5" customHeight="1">
      <c r="A14" s="2" t="str">
        <f>IFERROR(__xludf.DUMMYFUNCTION("""COMPUTED_VALUE"""),"2026-01")</f>
        <v>2026-01</v>
      </c>
      <c r="B14" s="2" t="str">
        <f>IFERROR(__xludf.DUMMYFUNCTION("""COMPUTED_VALUE"""),"CYL-SD - LX")</f>
        <v>CYL-SD - LX</v>
      </c>
      <c r="C14" s="2">
        <f>IFERROR(__xludf.DUMMYFUNCTION("""COMPUTED_VALUE"""),564.0)</f>
        <v>564</v>
      </c>
      <c r="D14" s="2">
        <f>IFERROR(__xludf.DUMMYFUNCTION("""COMPUTED_VALUE"""),0.0)</f>
        <v>0</v>
      </c>
      <c r="E14" s="2">
        <f>IFERROR(__xludf.DUMMYFUNCTION("""COMPUTED_VALUE"""),0.0)</f>
        <v>0</v>
      </c>
      <c r="F14" s="2">
        <f>IFERROR(__xludf.DUMMYFUNCTION("""COMPUTED_VALUE"""),0.0)</f>
        <v>0</v>
      </c>
      <c r="G14" s="2">
        <f>IFERROR(__xludf.DUMMYFUNCTION("""COMPUTED_VALUE"""),185.0)</f>
        <v>185</v>
      </c>
      <c r="H14" s="2">
        <f>IFERROR(__xludf.DUMMYFUNCTION("""COMPUTED_VALUE"""),379.0)</f>
        <v>379</v>
      </c>
    </row>
    <row r="15" ht="22.5" customHeight="1">
      <c r="A15" s="2" t="str">
        <f>IFERROR(__xludf.DUMMYFUNCTION("""COMPUTED_VALUE"""),"2026-02")</f>
        <v>2026-02</v>
      </c>
      <c r="B15" s="2" t="str">
        <f>IFERROR(__xludf.DUMMYFUNCTION("""COMPUTED_VALUE"""),"CYL-SD - LX")</f>
        <v>CYL-SD - LX</v>
      </c>
      <c r="C15" s="2">
        <f>IFERROR(__xludf.DUMMYFUNCTION("""COMPUTED_VALUE"""),379.0)</f>
        <v>379</v>
      </c>
      <c r="D15" s="2">
        <f>IFERROR(__xludf.DUMMYFUNCTION("""COMPUTED_VALUE"""),0.0)</f>
        <v>0</v>
      </c>
      <c r="E15" s="2">
        <f>IFERROR(__xludf.DUMMYFUNCTION("""COMPUTED_VALUE"""),0.0)</f>
        <v>0</v>
      </c>
      <c r="F15" s="2">
        <f>IFERROR(__xludf.DUMMYFUNCTION("""COMPUTED_VALUE"""),0.0)</f>
        <v>0</v>
      </c>
      <c r="G15" s="2">
        <f>IFERROR(__xludf.DUMMYFUNCTION("""COMPUTED_VALUE"""),1.0)</f>
        <v>1</v>
      </c>
      <c r="H15" s="2">
        <f>IFERROR(__xludf.DUMMYFUNCTION("""COMPUTED_VALUE"""),378.0)</f>
        <v>378</v>
      </c>
    </row>
    <row r="16" ht="22.5" customHeight="1">
      <c r="A16" s="2" t="str">
        <f>IFERROR(__xludf.DUMMYFUNCTION("""COMPUTED_VALUE"""),"2026-03")</f>
        <v>2026-03</v>
      </c>
      <c r="B16" s="2" t="str">
        <f>IFERROR(__xludf.DUMMYFUNCTION("""COMPUTED_VALUE"""),"CYL-SD - LX")</f>
        <v>CYL-SD - LX</v>
      </c>
      <c r="C16" s="2">
        <f>IFERROR(__xludf.DUMMYFUNCTION("""COMPUTED_VALUE"""),378.0)</f>
        <v>378</v>
      </c>
      <c r="D16" s="2">
        <f>IFERROR(__xludf.DUMMYFUNCTION("""COMPUTED_VALUE"""),0.0)</f>
        <v>0</v>
      </c>
      <c r="E16" s="2">
        <f>IFERROR(__xludf.DUMMYFUNCTION("""COMPUTED_VALUE"""),0.0)</f>
        <v>0</v>
      </c>
      <c r="F16" s="2">
        <f>IFERROR(__xludf.DUMMYFUNCTION("""COMPUTED_VALUE"""),0.0)</f>
        <v>0</v>
      </c>
      <c r="G16" s="2">
        <f>IFERROR(__xludf.DUMMYFUNCTION("""COMPUTED_VALUE"""),1.0)</f>
        <v>1</v>
      </c>
      <c r="H16" s="2">
        <f>IFERROR(__xludf.DUMMYFUNCTION("""COMPUTED_VALUE"""),377.0)</f>
        <v>377</v>
      </c>
    </row>
    <row r="17" ht="22.5" customHeight="1">
      <c r="A17" s="2" t="str">
        <f>IFERROR(__xludf.DUMMYFUNCTION("""COMPUTED_VALUE"""),"2026-04")</f>
        <v>2026-04</v>
      </c>
      <c r="B17" s="2" t="str">
        <f>IFERROR(__xludf.DUMMYFUNCTION("""COMPUTED_VALUE"""),"CYL-SD - LX")</f>
        <v>CYL-SD - LX</v>
      </c>
      <c r="C17" s="2">
        <f>IFERROR(__xludf.DUMMYFUNCTION("""COMPUTED_VALUE"""),377.0)</f>
        <v>377</v>
      </c>
      <c r="D17" s="2">
        <f>IFERROR(__xludf.DUMMYFUNCTION("""COMPUTED_VALUE"""),0.0)</f>
        <v>0</v>
      </c>
      <c r="E17" s="2">
        <f>IFERROR(__xludf.DUMMYFUNCTION("""COMPUTED_VALUE"""),0.0)</f>
        <v>0</v>
      </c>
      <c r="F17" s="2">
        <f>IFERROR(__xludf.DUMMYFUNCTION("""COMPUTED_VALUE"""),0.0)</f>
        <v>0</v>
      </c>
      <c r="G17" s="2">
        <f>IFERROR(__xludf.DUMMYFUNCTION("""COMPUTED_VALUE"""),0.0)</f>
        <v>0</v>
      </c>
      <c r="H17" s="2">
        <f>IFERROR(__xludf.DUMMYFUNCTION("""COMPUTED_VALUE"""),377.0)</f>
        <v>377</v>
      </c>
    </row>
    <row r="18" ht="22.5" customHeight="1">
      <c r="A18" s="2" t="str">
        <f>IFERROR(__xludf.DUMMYFUNCTION("""COMPUTED_VALUE"""),"2026-05")</f>
        <v>2026-05</v>
      </c>
      <c r="B18" s="2" t="str">
        <f>IFERROR(__xludf.DUMMYFUNCTION("""COMPUTED_VALUE"""),"CYL-SD - LX")</f>
        <v>CYL-SD - LX</v>
      </c>
      <c r="C18" s="2">
        <f>IFERROR(__xludf.DUMMYFUNCTION("""COMPUTED_VALUE"""),377.0)</f>
        <v>377</v>
      </c>
      <c r="D18" s="2">
        <f>IFERROR(__xludf.DUMMYFUNCTION("""COMPUTED_VALUE"""),0.0)</f>
        <v>0</v>
      </c>
      <c r="E18" s="2">
        <f>IFERROR(__xludf.DUMMYFUNCTION("""COMPUTED_VALUE"""),0.0)</f>
        <v>0</v>
      </c>
      <c r="F18" s="2">
        <f>IFERROR(__xludf.DUMMYFUNCTION("""COMPUTED_VALUE"""),0.0)</f>
        <v>0</v>
      </c>
      <c r="G18" s="2">
        <f>IFERROR(__xludf.DUMMYFUNCTION("""COMPUTED_VALUE"""),0.0)</f>
        <v>0</v>
      </c>
      <c r="H18" s="2">
        <f>IFERROR(__xludf.DUMMYFUNCTION("""COMPUTED_VALUE"""),377.0)</f>
        <v>377</v>
      </c>
    </row>
    <row r="19" ht="22.5" customHeight="1">
      <c r="A19" s="2" t="str">
        <f>IFERROR(__xludf.DUMMYFUNCTION("""COMPUTED_VALUE"""),"2026-06")</f>
        <v>2026-06</v>
      </c>
      <c r="B19" s="2" t="str">
        <f>IFERROR(__xludf.DUMMYFUNCTION("""COMPUTED_VALUE"""),"CYL-SD - LX")</f>
        <v>CYL-SD - LX</v>
      </c>
      <c r="C19" s="2">
        <f>IFERROR(__xludf.DUMMYFUNCTION("""COMPUTED_VALUE"""),377.0)</f>
        <v>377</v>
      </c>
      <c r="D19" s="2">
        <f>IFERROR(__xludf.DUMMYFUNCTION("""COMPUTED_VALUE"""),0.0)</f>
        <v>0</v>
      </c>
      <c r="E19" s="2">
        <f>IFERROR(__xludf.DUMMYFUNCTION("""COMPUTED_VALUE"""),0.0)</f>
        <v>0</v>
      </c>
      <c r="F19" s="2">
        <f>IFERROR(__xludf.DUMMYFUNCTION("""COMPUTED_VALUE"""),0.0)</f>
        <v>0</v>
      </c>
      <c r="G19" s="2">
        <f>IFERROR(__xludf.DUMMYFUNCTION("""COMPUTED_VALUE"""),0.0)</f>
        <v>0</v>
      </c>
      <c r="H19" s="2">
        <f>IFERROR(__xludf.DUMMYFUNCTION("""COMPUTED_VALUE"""),377.0)</f>
        <v>377</v>
      </c>
    </row>
    <row r="20" ht="22.5" customHeight="1">
      <c r="A20" s="2" t="str">
        <f>IFERROR(__xludf.DUMMYFUNCTION("""COMPUTED_VALUE"""),"2026-07")</f>
        <v>2026-07</v>
      </c>
      <c r="B20" s="2" t="str">
        <f>IFERROR(__xludf.DUMMYFUNCTION("""COMPUTED_VALUE"""),"CYL-SD - LX")</f>
        <v>CYL-SD - LX</v>
      </c>
      <c r="C20" s="2">
        <f>IFERROR(__xludf.DUMMYFUNCTION("""COMPUTED_VALUE"""),377.0)</f>
        <v>377</v>
      </c>
      <c r="D20" s="2">
        <f>IFERROR(__xludf.DUMMYFUNCTION("""COMPUTED_VALUE"""),0.0)</f>
        <v>0</v>
      </c>
      <c r="E20" s="2">
        <f>IFERROR(__xludf.DUMMYFUNCTION("""COMPUTED_VALUE"""),0.0)</f>
        <v>0</v>
      </c>
      <c r="F20" s="2">
        <f>IFERROR(__xludf.DUMMYFUNCTION("""COMPUTED_VALUE"""),0.0)</f>
        <v>0</v>
      </c>
      <c r="G20" s="2">
        <f>IFERROR(__xludf.DUMMYFUNCTION("""COMPUTED_VALUE"""),0.0)</f>
        <v>0</v>
      </c>
      <c r="H20" s="2">
        <f>IFERROR(__xludf.DUMMYFUNCTION("""COMPUTED_VALUE"""),377.0)</f>
        <v>377</v>
      </c>
    </row>
    <row r="21" ht="22.5" customHeight="1">
      <c r="A21" s="2" t="str">
        <f>IFERROR(__xludf.DUMMYFUNCTION("""COMPUTED_VALUE"""),"2026-08")</f>
        <v>2026-08</v>
      </c>
      <c r="B21" s="2" t="str">
        <f>IFERROR(__xludf.DUMMYFUNCTION("""COMPUTED_VALUE"""),"CYL-SD - LX")</f>
        <v>CYL-SD - LX</v>
      </c>
      <c r="C21" s="2">
        <f>IFERROR(__xludf.DUMMYFUNCTION("""COMPUTED_VALUE"""),377.0)</f>
        <v>377</v>
      </c>
      <c r="D21" s="2">
        <f>IFERROR(__xludf.DUMMYFUNCTION("""COMPUTED_VALUE"""),0.0)</f>
        <v>0</v>
      </c>
      <c r="E21" s="2">
        <f>IFERROR(__xludf.DUMMYFUNCTION("""COMPUTED_VALUE"""),0.0)</f>
        <v>0</v>
      </c>
      <c r="F21" s="2">
        <f>IFERROR(__xludf.DUMMYFUNCTION("""COMPUTED_VALUE"""),0.0)</f>
        <v>0</v>
      </c>
      <c r="G21" s="2">
        <f>IFERROR(__xludf.DUMMYFUNCTION("""COMPUTED_VALUE"""),0.0)</f>
        <v>0</v>
      </c>
      <c r="H21" s="2">
        <f>IFERROR(__xludf.DUMMYFUNCTION("""COMPUTED_VALUE"""),377.0)</f>
        <v>377</v>
      </c>
    </row>
    <row r="22" ht="22.5" customHeight="1">
      <c r="A22" s="2" t="str">
        <f>IFERROR(__xludf.DUMMYFUNCTION("""COMPUTED_VALUE"""),"2026-09")</f>
        <v>2026-09</v>
      </c>
      <c r="B22" s="2" t="str">
        <f>IFERROR(__xludf.DUMMYFUNCTION("""COMPUTED_VALUE"""),"CYL-SD - LX")</f>
        <v>CYL-SD - LX</v>
      </c>
      <c r="C22" s="2">
        <f>IFERROR(__xludf.DUMMYFUNCTION("""COMPUTED_VALUE"""),377.0)</f>
        <v>377</v>
      </c>
      <c r="D22" s="2">
        <f>IFERROR(__xludf.DUMMYFUNCTION("""COMPUTED_VALUE"""),0.0)</f>
        <v>0</v>
      </c>
      <c r="E22" s="2">
        <f>IFERROR(__xludf.DUMMYFUNCTION("""COMPUTED_VALUE"""),0.0)</f>
        <v>0</v>
      </c>
      <c r="F22" s="2">
        <f>IFERROR(__xludf.DUMMYFUNCTION("""COMPUTED_VALUE"""),0.0)</f>
        <v>0</v>
      </c>
      <c r="G22" s="2">
        <f>IFERROR(__xludf.DUMMYFUNCTION("""COMPUTED_VALUE"""),0.0)</f>
        <v>0</v>
      </c>
      <c r="H22" s="2">
        <f>IFERROR(__xludf.DUMMYFUNCTION("""COMPUTED_VALUE"""),377.0)</f>
        <v>377</v>
      </c>
    </row>
    <row r="23" ht="22.5" customHeight="1">
      <c r="A23" s="2" t="str">
        <f>IFERROR(__xludf.DUMMYFUNCTION("""COMPUTED_VALUE"""),"2026-10")</f>
        <v>2026-10</v>
      </c>
      <c r="B23" s="2" t="str">
        <f>IFERROR(__xludf.DUMMYFUNCTION("""COMPUTED_VALUE"""),"CYL-SD - LX")</f>
        <v>CYL-SD - LX</v>
      </c>
      <c r="C23" s="2">
        <f>IFERROR(__xludf.DUMMYFUNCTION("""COMPUTED_VALUE"""),377.0)</f>
        <v>377</v>
      </c>
      <c r="D23" s="2">
        <f>IFERROR(__xludf.DUMMYFUNCTION("""COMPUTED_VALUE"""),0.0)</f>
        <v>0</v>
      </c>
      <c r="E23" s="2">
        <f>IFERROR(__xludf.DUMMYFUNCTION("""COMPUTED_VALUE"""),0.0)</f>
        <v>0</v>
      </c>
      <c r="F23" s="2">
        <f>IFERROR(__xludf.DUMMYFUNCTION("""COMPUTED_VALUE"""),0.0)</f>
        <v>0</v>
      </c>
      <c r="G23" s="2">
        <f>IFERROR(__xludf.DUMMYFUNCTION("""COMPUTED_VALUE"""),0.0)</f>
        <v>0</v>
      </c>
      <c r="H23" s="2">
        <f>IFERROR(__xludf.DUMMYFUNCTION("""COMPUTED_VALUE"""),377.0)</f>
        <v>377</v>
      </c>
    </row>
    <row r="24" ht="22.5" customHeight="1">
      <c r="A24" s="2" t="str">
        <f>IFERROR(__xludf.DUMMYFUNCTION("""COMPUTED_VALUE"""),"2026-11")</f>
        <v>2026-11</v>
      </c>
      <c r="B24" s="2" t="str">
        <f>IFERROR(__xludf.DUMMYFUNCTION("""COMPUTED_VALUE"""),"CYL-SD - LX")</f>
        <v>CYL-SD - LX</v>
      </c>
      <c r="C24" s="2">
        <f>IFERROR(__xludf.DUMMYFUNCTION("""COMPUTED_VALUE"""),377.0)</f>
        <v>377</v>
      </c>
      <c r="D24" s="2">
        <f>IFERROR(__xludf.DUMMYFUNCTION("""COMPUTED_VALUE"""),0.0)</f>
        <v>0</v>
      </c>
      <c r="E24" s="2">
        <f>IFERROR(__xludf.DUMMYFUNCTION("""COMPUTED_VALUE"""),0.0)</f>
        <v>0</v>
      </c>
      <c r="F24" s="2">
        <f>IFERROR(__xludf.DUMMYFUNCTION("""COMPUTED_VALUE"""),0.0)</f>
        <v>0</v>
      </c>
      <c r="G24" s="2">
        <f>IFERROR(__xludf.DUMMYFUNCTION("""COMPUTED_VALUE"""),0.0)</f>
        <v>0</v>
      </c>
      <c r="H24" s="2">
        <f>IFERROR(__xludf.DUMMYFUNCTION("""COMPUTED_VALUE"""),377.0)</f>
        <v>377</v>
      </c>
    </row>
    <row r="25" ht="22.5" customHeight="1">
      <c r="A25" s="2" t="str">
        <f>IFERROR(__xludf.DUMMYFUNCTION("""COMPUTED_VALUE"""),"2026-12")</f>
        <v>2026-12</v>
      </c>
      <c r="B25" s="2" t="str">
        <f>IFERROR(__xludf.DUMMYFUNCTION("""COMPUTED_VALUE"""),"CYL-SD - LX")</f>
        <v>CYL-SD - LX</v>
      </c>
      <c r="C25" s="2">
        <f>IFERROR(__xludf.DUMMYFUNCTION("""COMPUTED_VALUE"""),377.0)</f>
        <v>377</v>
      </c>
      <c r="D25" s="2">
        <f>IFERROR(__xludf.DUMMYFUNCTION("""COMPUTED_VALUE"""),0.0)</f>
        <v>0</v>
      </c>
      <c r="E25" s="2">
        <f>IFERROR(__xludf.DUMMYFUNCTION("""COMPUTED_VALUE"""),0.0)</f>
        <v>0</v>
      </c>
      <c r="F25" s="2">
        <f>IFERROR(__xludf.DUMMYFUNCTION("""COMPUTED_VALUE"""),0.0)</f>
        <v>0</v>
      </c>
      <c r="G25" s="2">
        <f>IFERROR(__xludf.DUMMYFUNCTION("""COMPUTED_VALUE"""),0.0)</f>
        <v>0</v>
      </c>
      <c r="H25" s="2">
        <f>IFERROR(__xludf.DUMMYFUNCTION("""COMPUTED_VALUE"""),377.0)</f>
        <v>377</v>
      </c>
    </row>
    <row r="26" ht="22.5" customHeight="1">
      <c r="A26" s="2" t="str">
        <f>IFERROR(__xludf.DUMMYFUNCTION("""COMPUTED_VALUE"""),"2026-01")</f>
        <v>2026-01</v>
      </c>
      <c r="B26" s="2" t="str">
        <f>IFERROR(__xludf.DUMMYFUNCTION("""COMPUTED_VALUE"""),"CYL-SUV")</f>
        <v>CYL-SUV</v>
      </c>
      <c r="C26" s="2">
        <f>IFERROR(__xludf.DUMMYFUNCTION("""COMPUTED_VALUE"""),1186.0)</f>
        <v>1186</v>
      </c>
      <c r="D26" s="2">
        <f>IFERROR(__xludf.DUMMYFUNCTION("""COMPUTED_VALUE"""),0.0)</f>
        <v>0</v>
      </c>
      <c r="E26" s="2">
        <f>IFERROR(__xludf.DUMMYFUNCTION("""COMPUTED_VALUE"""),0.0)</f>
        <v>0</v>
      </c>
      <c r="F26" s="2">
        <f>IFERROR(__xludf.DUMMYFUNCTION("""COMPUTED_VALUE"""),0.0)</f>
        <v>0</v>
      </c>
      <c r="G26" s="2">
        <f>IFERROR(__xludf.DUMMYFUNCTION("""COMPUTED_VALUE"""),109.0)</f>
        <v>109</v>
      </c>
      <c r="H26" s="2">
        <f>IFERROR(__xludf.DUMMYFUNCTION("""COMPUTED_VALUE"""),1077.0)</f>
        <v>1077</v>
      </c>
    </row>
    <row r="27" ht="22.5" customHeight="1">
      <c r="A27" s="2" t="str">
        <f>IFERROR(__xludf.DUMMYFUNCTION("""COMPUTED_VALUE"""),"2026-02")</f>
        <v>2026-02</v>
      </c>
      <c r="B27" s="2" t="str">
        <f>IFERROR(__xludf.DUMMYFUNCTION("""COMPUTED_VALUE"""),"CYL-SUV")</f>
        <v>CYL-SUV</v>
      </c>
      <c r="C27" s="2">
        <f>IFERROR(__xludf.DUMMYFUNCTION("""COMPUTED_VALUE"""),1077.0)</f>
        <v>1077</v>
      </c>
      <c r="D27" s="2">
        <f>IFERROR(__xludf.DUMMYFUNCTION("""COMPUTED_VALUE"""),0.0)</f>
        <v>0</v>
      </c>
      <c r="E27" s="2">
        <f>IFERROR(__xludf.DUMMYFUNCTION("""COMPUTED_VALUE"""),0.0)</f>
        <v>0</v>
      </c>
      <c r="F27" s="2">
        <f>IFERROR(__xludf.DUMMYFUNCTION("""COMPUTED_VALUE"""),0.0)</f>
        <v>0</v>
      </c>
      <c r="G27" s="2">
        <f>IFERROR(__xludf.DUMMYFUNCTION("""COMPUTED_VALUE"""),1.0)</f>
        <v>1</v>
      </c>
      <c r="H27" s="2">
        <f>IFERROR(__xludf.DUMMYFUNCTION("""COMPUTED_VALUE"""),1076.0)</f>
        <v>1076</v>
      </c>
    </row>
    <row r="28" ht="22.5" customHeight="1">
      <c r="A28" s="2" t="str">
        <f>IFERROR(__xludf.DUMMYFUNCTION("""COMPUTED_VALUE"""),"2026-03")</f>
        <v>2026-03</v>
      </c>
      <c r="B28" s="2" t="str">
        <f>IFERROR(__xludf.DUMMYFUNCTION("""COMPUTED_VALUE"""),"CYL-SUV")</f>
        <v>CYL-SUV</v>
      </c>
      <c r="C28" s="2">
        <f>IFERROR(__xludf.DUMMYFUNCTION("""COMPUTED_VALUE"""),1076.0)</f>
        <v>1076</v>
      </c>
      <c r="D28" s="2">
        <f>IFERROR(__xludf.DUMMYFUNCTION("""COMPUTED_VALUE"""),0.0)</f>
        <v>0</v>
      </c>
      <c r="E28" s="2">
        <f>IFERROR(__xludf.DUMMYFUNCTION("""COMPUTED_VALUE"""),0.0)</f>
        <v>0</v>
      </c>
      <c r="F28" s="2">
        <f>IFERROR(__xludf.DUMMYFUNCTION("""COMPUTED_VALUE"""),0.0)</f>
        <v>0</v>
      </c>
      <c r="G28" s="2">
        <f>IFERROR(__xludf.DUMMYFUNCTION("""COMPUTED_VALUE"""),0.0)</f>
        <v>0</v>
      </c>
      <c r="H28" s="2">
        <f>IFERROR(__xludf.DUMMYFUNCTION("""COMPUTED_VALUE"""),1076.0)</f>
        <v>1076</v>
      </c>
    </row>
    <row r="29" ht="22.5" customHeight="1">
      <c r="A29" s="2" t="str">
        <f>IFERROR(__xludf.DUMMYFUNCTION("""COMPUTED_VALUE"""),"2026-04")</f>
        <v>2026-04</v>
      </c>
      <c r="B29" s="2" t="str">
        <f>IFERROR(__xludf.DUMMYFUNCTION("""COMPUTED_VALUE"""),"CYL-SUV")</f>
        <v>CYL-SUV</v>
      </c>
      <c r="C29" s="2">
        <f>IFERROR(__xludf.DUMMYFUNCTION("""COMPUTED_VALUE"""),1076.0)</f>
        <v>1076</v>
      </c>
      <c r="D29" s="2">
        <f>IFERROR(__xludf.DUMMYFUNCTION("""COMPUTED_VALUE"""),0.0)</f>
        <v>0</v>
      </c>
      <c r="E29" s="2">
        <f>IFERROR(__xludf.DUMMYFUNCTION("""COMPUTED_VALUE"""),0.0)</f>
        <v>0</v>
      </c>
      <c r="F29" s="2">
        <f>IFERROR(__xludf.DUMMYFUNCTION("""COMPUTED_VALUE"""),0.0)</f>
        <v>0</v>
      </c>
      <c r="G29" s="2">
        <f>IFERROR(__xludf.DUMMYFUNCTION("""COMPUTED_VALUE"""),0.0)</f>
        <v>0</v>
      </c>
      <c r="H29" s="2">
        <f>IFERROR(__xludf.DUMMYFUNCTION("""COMPUTED_VALUE"""),1076.0)</f>
        <v>1076</v>
      </c>
    </row>
    <row r="30" ht="22.5" customHeight="1">
      <c r="A30" s="2" t="str">
        <f>IFERROR(__xludf.DUMMYFUNCTION("""COMPUTED_VALUE"""),"2026-05")</f>
        <v>2026-05</v>
      </c>
      <c r="B30" s="2" t="str">
        <f>IFERROR(__xludf.DUMMYFUNCTION("""COMPUTED_VALUE"""),"CYL-SUV")</f>
        <v>CYL-SUV</v>
      </c>
      <c r="C30" s="2">
        <f>IFERROR(__xludf.DUMMYFUNCTION("""COMPUTED_VALUE"""),1076.0)</f>
        <v>1076</v>
      </c>
      <c r="D30" s="2">
        <f>IFERROR(__xludf.DUMMYFUNCTION("""COMPUTED_VALUE"""),0.0)</f>
        <v>0</v>
      </c>
      <c r="E30" s="2">
        <f>IFERROR(__xludf.DUMMYFUNCTION("""COMPUTED_VALUE"""),0.0)</f>
        <v>0</v>
      </c>
      <c r="F30" s="2">
        <f>IFERROR(__xludf.DUMMYFUNCTION("""COMPUTED_VALUE"""),0.0)</f>
        <v>0</v>
      </c>
      <c r="G30" s="2">
        <f>IFERROR(__xludf.DUMMYFUNCTION("""COMPUTED_VALUE"""),0.0)</f>
        <v>0</v>
      </c>
      <c r="H30" s="2">
        <f>IFERROR(__xludf.DUMMYFUNCTION("""COMPUTED_VALUE"""),1076.0)</f>
        <v>1076</v>
      </c>
    </row>
    <row r="31" ht="22.5" customHeight="1">
      <c r="A31" s="2" t="str">
        <f>IFERROR(__xludf.DUMMYFUNCTION("""COMPUTED_VALUE"""),"2026-06")</f>
        <v>2026-06</v>
      </c>
      <c r="B31" s="2" t="str">
        <f>IFERROR(__xludf.DUMMYFUNCTION("""COMPUTED_VALUE"""),"CYL-SUV")</f>
        <v>CYL-SUV</v>
      </c>
      <c r="C31" s="2">
        <f>IFERROR(__xludf.DUMMYFUNCTION("""COMPUTED_VALUE"""),1076.0)</f>
        <v>1076</v>
      </c>
      <c r="D31" s="2">
        <f>IFERROR(__xludf.DUMMYFUNCTION("""COMPUTED_VALUE"""),0.0)</f>
        <v>0</v>
      </c>
      <c r="E31" s="2">
        <f>IFERROR(__xludf.DUMMYFUNCTION("""COMPUTED_VALUE"""),0.0)</f>
        <v>0</v>
      </c>
      <c r="F31" s="2">
        <f>IFERROR(__xludf.DUMMYFUNCTION("""COMPUTED_VALUE"""),0.0)</f>
        <v>0</v>
      </c>
      <c r="G31" s="2">
        <f>IFERROR(__xludf.DUMMYFUNCTION("""COMPUTED_VALUE"""),0.0)</f>
        <v>0</v>
      </c>
      <c r="H31" s="2">
        <f>IFERROR(__xludf.DUMMYFUNCTION("""COMPUTED_VALUE"""),1076.0)</f>
        <v>1076</v>
      </c>
    </row>
    <row r="32" ht="22.5" customHeight="1">
      <c r="A32" s="2" t="str">
        <f>IFERROR(__xludf.DUMMYFUNCTION("""COMPUTED_VALUE"""),"2026-07")</f>
        <v>2026-07</v>
      </c>
      <c r="B32" s="2" t="str">
        <f>IFERROR(__xludf.DUMMYFUNCTION("""COMPUTED_VALUE"""),"CYL-SUV")</f>
        <v>CYL-SUV</v>
      </c>
      <c r="C32" s="2">
        <f>IFERROR(__xludf.DUMMYFUNCTION("""COMPUTED_VALUE"""),1076.0)</f>
        <v>1076</v>
      </c>
      <c r="D32" s="2">
        <f>IFERROR(__xludf.DUMMYFUNCTION("""COMPUTED_VALUE"""),0.0)</f>
        <v>0</v>
      </c>
      <c r="E32" s="2">
        <f>IFERROR(__xludf.DUMMYFUNCTION("""COMPUTED_VALUE"""),0.0)</f>
        <v>0</v>
      </c>
      <c r="F32" s="2">
        <f>IFERROR(__xludf.DUMMYFUNCTION("""COMPUTED_VALUE"""),0.0)</f>
        <v>0</v>
      </c>
      <c r="G32" s="2">
        <f>IFERROR(__xludf.DUMMYFUNCTION("""COMPUTED_VALUE"""),0.0)</f>
        <v>0</v>
      </c>
      <c r="H32" s="2">
        <f>IFERROR(__xludf.DUMMYFUNCTION("""COMPUTED_VALUE"""),1076.0)</f>
        <v>1076</v>
      </c>
    </row>
    <row r="33" ht="22.5" customHeight="1">
      <c r="A33" s="2" t="str">
        <f>IFERROR(__xludf.DUMMYFUNCTION("""COMPUTED_VALUE"""),"2026-08")</f>
        <v>2026-08</v>
      </c>
      <c r="B33" s="2" t="str">
        <f>IFERROR(__xludf.DUMMYFUNCTION("""COMPUTED_VALUE"""),"CYL-SUV")</f>
        <v>CYL-SUV</v>
      </c>
      <c r="C33" s="2">
        <f>IFERROR(__xludf.DUMMYFUNCTION("""COMPUTED_VALUE"""),1076.0)</f>
        <v>1076</v>
      </c>
      <c r="D33" s="2">
        <f>IFERROR(__xludf.DUMMYFUNCTION("""COMPUTED_VALUE"""),0.0)</f>
        <v>0</v>
      </c>
      <c r="E33" s="2">
        <f>IFERROR(__xludf.DUMMYFUNCTION("""COMPUTED_VALUE"""),0.0)</f>
        <v>0</v>
      </c>
      <c r="F33" s="2">
        <f>IFERROR(__xludf.DUMMYFUNCTION("""COMPUTED_VALUE"""),0.0)</f>
        <v>0</v>
      </c>
      <c r="G33" s="2">
        <f>IFERROR(__xludf.DUMMYFUNCTION("""COMPUTED_VALUE"""),0.0)</f>
        <v>0</v>
      </c>
      <c r="H33" s="2">
        <f>IFERROR(__xludf.DUMMYFUNCTION("""COMPUTED_VALUE"""),1076.0)</f>
        <v>1076</v>
      </c>
    </row>
    <row r="34" ht="22.5" customHeight="1">
      <c r="A34" s="2" t="str">
        <f>IFERROR(__xludf.DUMMYFUNCTION("""COMPUTED_VALUE"""),"2026-09")</f>
        <v>2026-09</v>
      </c>
      <c r="B34" s="2" t="str">
        <f>IFERROR(__xludf.DUMMYFUNCTION("""COMPUTED_VALUE"""),"CYL-SUV")</f>
        <v>CYL-SUV</v>
      </c>
      <c r="C34" s="2">
        <f>IFERROR(__xludf.DUMMYFUNCTION("""COMPUTED_VALUE"""),1076.0)</f>
        <v>1076</v>
      </c>
      <c r="D34" s="2">
        <f>IFERROR(__xludf.DUMMYFUNCTION("""COMPUTED_VALUE"""),0.0)</f>
        <v>0</v>
      </c>
      <c r="E34" s="2">
        <f>IFERROR(__xludf.DUMMYFUNCTION("""COMPUTED_VALUE"""),0.0)</f>
        <v>0</v>
      </c>
      <c r="F34" s="2">
        <f>IFERROR(__xludf.DUMMYFUNCTION("""COMPUTED_VALUE"""),0.0)</f>
        <v>0</v>
      </c>
      <c r="G34" s="2">
        <f>IFERROR(__xludf.DUMMYFUNCTION("""COMPUTED_VALUE"""),0.0)</f>
        <v>0</v>
      </c>
      <c r="H34" s="2">
        <f>IFERROR(__xludf.DUMMYFUNCTION("""COMPUTED_VALUE"""),1076.0)</f>
        <v>1076</v>
      </c>
    </row>
    <row r="35" ht="22.5" customHeight="1">
      <c r="A35" s="2" t="str">
        <f>IFERROR(__xludf.DUMMYFUNCTION("""COMPUTED_VALUE"""),"2026-10")</f>
        <v>2026-10</v>
      </c>
      <c r="B35" s="2" t="str">
        <f>IFERROR(__xludf.DUMMYFUNCTION("""COMPUTED_VALUE"""),"CYL-SUV")</f>
        <v>CYL-SUV</v>
      </c>
      <c r="C35" s="2">
        <f>IFERROR(__xludf.DUMMYFUNCTION("""COMPUTED_VALUE"""),1076.0)</f>
        <v>1076</v>
      </c>
      <c r="D35" s="2">
        <f>IFERROR(__xludf.DUMMYFUNCTION("""COMPUTED_VALUE"""),0.0)</f>
        <v>0</v>
      </c>
      <c r="E35" s="2">
        <f>IFERROR(__xludf.DUMMYFUNCTION("""COMPUTED_VALUE"""),0.0)</f>
        <v>0</v>
      </c>
      <c r="F35" s="2">
        <f>IFERROR(__xludf.DUMMYFUNCTION("""COMPUTED_VALUE"""),0.0)</f>
        <v>0</v>
      </c>
      <c r="G35" s="2">
        <f>IFERROR(__xludf.DUMMYFUNCTION("""COMPUTED_VALUE"""),0.0)</f>
        <v>0</v>
      </c>
      <c r="H35" s="2">
        <f>IFERROR(__xludf.DUMMYFUNCTION("""COMPUTED_VALUE"""),1076.0)</f>
        <v>1076</v>
      </c>
    </row>
    <row r="36" ht="22.5" customHeight="1">
      <c r="A36" s="2" t="str">
        <f>IFERROR(__xludf.DUMMYFUNCTION("""COMPUTED_VALUE"""),"2026-11")</f>
        <v>2026-11</v>
      </c>
      <c r="B36" s="2" t="str">
        <f>IFERROR(__xludf.DUMMYFUNCTION("""COMPUTED_VALUE"""),"CYL-SUV")</f>
        <v>CYL-SUV</v>
      </c>
      <c r="C36" s="2">
        <f>IFERROR(__xludf.DUMMYFUNCTION("""COMPUTED_VALUE"""),1076.0)</f>
        <v>1076</v>
      </c>
      <c r="D36" s="2">
        <f>IFERROR(__xludf.DUMMYFUNCTION("""COMPUTED_VALUE"""),0.0)</f>
        <v>0</v>
      </c>
      <c r="E36" s="2">
        <f>IFERROR(__xludf.DUMMYFUNCTION("""COMPUTED_VALUE"""),0.0)</f>
        <v>0</v>
      </c>
      <c r="F36" s="2">
        <f>IFERROR(__xludf.DUMMYFUNCTION("""COMPUTED_VALUE"""),0.0)</f>
        <v>0</v>
      </c>
      <c r="G36" s="2">
        <f>IFERROR(__xludf.DUMMYFUNCTION("""COMPUTED_VALUE"""),0.0)</f>
        <v>0</v>
      </c>
      <c r="H36" s="2">
        <f>IFERROR(__xludf.DUMMYFUNCTION("""COMPUTED_VALUE"""),1076.0)</f>
        <v>1076</v>
      </c>
    </row>
    <row r="37" ht="22.5" customHeight="1">
      <c r="A37" s="2" t="str">
        <f>IFERROR(__xludf.DUMMYFUNCTION("""COMPUTED_VALUE"""),"2026-12")</f>
        <v>2026-12</v>
      </c>
      <c r="B37" s="2" t="str">
        <f>IFERROR(__xludf.DUMMYFUNCTION("""COMPUTED_VALUE"""),"CYL-SUV")</f>
        <v>CYL-SUV</v>
      </c>
      <c r="C37" s="2">
        <f>IFERROR(__xludf.DUMMYFUNCTION("""COMPUTED_VALUE"""),1076.0)</f>
        <v>1076</v>
      </c>
      <c r="D37" s="2">
        <f>IFERROR(__xludf.DUMMYFUNCTION("""COMPUTED_VALUE"""),0.0)</f>
        <v>0</v>
      </c>
      <c r="E37" s="2">
        <f>IFERROR(__xludf.DUMMYFUNCTION("""COMPUTED_VALUE"""),0.0)</f>
        <v>0</v>
      </c>
      <c r="F37" s="2">
        <f>IFERROR(__xludf.DUMMYFUNCTION("""COMPUTED_VALUE"""),0.0)</f>
        <v>0</v>
      </c>
      <c r="G37" s="2">
        <f>IFERROR(__xludf.DUMMYFUNCTION("""COMPUTED_VALUE"""),0.0)</f>
        <v>0</v>
      </c>
      <c r="H37" s="2">
        <f>IFERROR(__xludf.DUMMYFUNCTION("""COMPUTED_VALUE"""),1076.0)</f>
        <v>1076</v>
      </c>
    </row>
    <row r="38" ht="22.5" customHeight="1">
      <c r="A38" s="2" t="str">
        <f>IFERROR(__xludf.DUMMYFUNCTION("""COMPUTED_VALUE"""),"2026-01")</f>
        <v>2026-01</v>
      </c>
      <c r="B38" s="2" t="str">
        <f>IFERROR(__xludf.DUMMYFUNCTION("""COMPUTED_VALUE"""),"CYL-SUV - LX")</f>
        <v>CYL-SUV - LX</v>
      </c>
      <c r="C38" s="2">
        <f>IFERROR(__xludf.DUMMYFUNCTION("""COMPUTED_VALUE"""),1208.0)</f>
        <v>1208</v>
      </c>
      <c r="D38" s="2">
        <f>IFERROR(__xludf.DUMMYFUNCTION("""COMPUTED_VALUE"""),0.0)</f>
        <v>0</v>
      </c>
      <c r="E38" s="2">
        <f>IFERROR(__xludf.DUMMYFUNCTION("""COMPUTED_VALUE"""),0.0)</f>
        <v>0</v>
      </c>
      <c r="F38" s="2">
        <f>IFERROR(__xludf.DUMMYFUNCTION("""COMPUTED_VALUE"""),0.0)</f>
        <v>0</v>
      </c>
      <c r="G38" s="2">
        <f>IFERROR(__xludf.DUMMYFUNCTION("""COMPUTED_VALUE"""),19.0)</f>
        <v>19</v>
      </c>
      <c r="H38" s="2">
        <f>IFERROR(__xludf.DUMMYFUNCTION("""COMPUTED_VALUE"""),1189.0)</f>
        <v>1189</v>
      </c>
    </row>
    <row r="39" ht="22.5" customHeight="1">
      <c r="A39" s="2" t="str">
        <f>IFERROR(__xludf.DUMMYFUNCTION("""COMPUTED_VALUE"""),"2026-02")</f>
        <v>2026-02</v>
      </c>
      <c r="B39" s="2" t="str">
        <f>IFERROR(__xludf.DUMMYFUNCTION("""COMPUTED_VALUE"""),"CYL-SUV - LX")</f>
        <v>CYL-SUV - LX</v>
      </c>
      <c r="C39" s="2">
        <f>IFERROR(__xludf.DUMMYFUNCTION("""COMPUTED_VALUE"""),1189.0)</f>
        <v>1189</v>
      </c>
      <c r="D39" s="2">
        <f>IFERROR(__xludf.DUMMYFUNCTION("""COMPUTED_VALUE"""),0.0)</f>
        <v>0</v>
      </c>
      <c r="E39" s="2">
        <f>IFERROR(__xludf.DUMMYFUNCTION("""COMPUTED_VALUE"""),0.0)</f>
        <v>0</v>
      </c>
      <c r="F39" s="2">
        <f>IFERROR(__xludf.DUMMYFUNCTION("""COMPUTED_VALUE"""),0.0)</f>
        <v>0</v>
      </c>
      <c r="G39" s="2">
        <f>IFERROR(__xludf.DUMMYFUNCTION("""COMPUTED_VALUE"""),2.0)</f>
        <v>2</v>
      </c>
      <c r="H39" s="2">
        <f>IFERROR(__xludf.DUMMYFUNCTION("""COMPUTED_VALUE"""),1187.0)</f>
        <v>1187</v>
      </c>
    </row>
    <row r="40" ht="22.5" customHeight="1">
      <c r="A40" s="2" t="str">
        <f>IFERROR(__xludf.DUMMYFUNCTION("""COMPUTED_VALUE"""),"2026-03")</f>
        <v>2026-03</v>
      </c>
      <c r="B40" s="2" t="str">
        <f>IFERROR(__xludf.DUMMYFUNCTION("""COMPUTED_VALUE"""),"CYL-SUV - LX")</f>
        <v>CYL-SUV - LX</v>
      </c>
      <c r="C40" s="2">
        <f>IFERROR(__xludf.DUMMYFUNCTION("""COMPUTED_VALUE"""),1187.0)</f>
        <v>1187</v>
      </c>
      <c r="D40" s="2">
        <f>IFERROR(__xludf.DUMMYFUNCTION("""COMPUTED_VALUE"""),0.0)</f>
        <v>0</v>
      </c>
      <c r="E40" s="2">
        <f>IFERROR(__xludf.DUMMYFUNCTION("""COMPUTED_VALUE"""),0.0)</f>
        <v>0</v>
      </c>
      <c r="F40" s="2">
        <f>IFERROR(__xludf.DUMMYFUNCTION("""COMPUTED_VALUE"""),0.0)</f>
        <v>0</v>
      </c>
      <c r="G40" s="2">
        <f>IFERROR(__xludf.DUMMYFUNCTION("""COMPUTED_VALUE"""),0.0)</f>
        <v>0</v>
      </c>
      <c r="H40" s="2">
        <f>IFERROR(__xludf.DUMMYFUNCTION("""COMPUTED_VALUE"""),1187.0)</f>
        <v>1187</v>
      </c>
    </row>
    <row r="41" ht="22.5" customHeight="1">
      <c r="A41" s="2" t="str">
        <f>IFERROR(__xludf.DUMMYFUNCTION("""COMPUTED_VALUE"""),"2026-04")</f>
        <v>2026-04</v>
      </c>
      <c r="B41" s="2" t="str">
        <f>IFERROR(__xludf.DUMMYFUNCTION("""COMPUTED_VALUE"""),"CYL-SUV - LX")</f>
        <v>CYL-SUV - LX</v>
      </c>
      <c r="C41" s="2">
        <f>IFERROR(__xludf.DUMMYFUNCTION("""COMPUTED_VALUE"""),1187.0)</f>
        <v>1187</v>
      </c>
      <c r="D41" s="2">
        <f>IFERROR(__xludf.DUMMYFUNCTION("""COMPUTED_VALUE"""),0.0)</f>
        <v>0</v>
      </c>
      <c r="E41" s="2">
        <f>IFERROR(__xludf.DUMMYFUNCTION("""COMPUTED_VALUE"""),0.0)</f>
        <v>0</v>
      </c>
      <c r="F41" s="2">
        <f>IFERROR(__xludf.DUMMYFUNCTION("""COMPUTED_VALUE"""),0.0)</f>
        <v>0</v>
      </c>
      <c r="G41" s="2">
        <f>IFERROR(__xludf.DUMMYFUNCTION("""COMPUTED_VALUE"""),0.0)</f>
        <v>0</v>
      </c>
      <c r="H41" s="2">
        <f>IFERROR(__xludf.DUMMYFUNCTION("""COMPUTED_VALUE"""),1187.0)</f>
        <v>1187</v>
      </c>
    </row>
    <row r="42" ht="22.5" customHeight="1">
      <c r="A42" s="2" t="str">
        <f>IFERROR(__xludf.DUMMYFUNCTION("""COMPUTED_VALUE"""),"2026-05")</f>
        <v>2026-05</v>
      </c>
      <c r="B42" s="2" t="str">
        <f>IFERROR(__xludf.DUMMYFUNCTION("""COMPUTED_VALUE"""),"CYL-SUV - LX")</f>
        <v>CYL-SUV - LX</v>
      </c>
      <c r="C42" s="2">
        <f>IFERROR(__xludf.DUMMYFUNCTION("""COMPUTED_VALUE"""),1187.0)</f>
        <v>1187</v>
      </c>
      <c r="D42" s="2">
        <f>IFERROR(__xludf.DUMMYFUNCTION("""COMPUTED_VALUE"""),0.0)</f>
        <v>0</v>
      </c>
      <c r="E42" s="2">
        <f>IFERROR(__xludf.DUMMYFUNCTION("""COMPUTED_VALUE"""),0.0)</f>
        <v>0</v>
      </c>
      <c r="F42" s="2">
        <f>IFERROR(__xludf.DUMMYFUNCTION("""COMPUTED_VALUE"""),0.0)</f>
        <v>0</v>
      </c>
      <c r="G42" s="2">
        <f>IFERROR(__xludf.DUMMYFUNCTION("""COMPUTED_VALUE"""),0.0)</f>
        <v>0</v>
      </c>
      <c r="H42" s="2">
        <f>IFERROR(__xludf.DUMMYFUNCTION("""COMPUTED_VALUE"""),1187.0)</f>
        <v>1187</v>
      </c>
    </row>
    <row r="43" ht="22.5" customHeight="1">
      <c r="A43" s="2" t="str">
        <f>IFERROR(__xludf.DUMMYFUNCTION("""COMPUTED_VALUE"""),"2026-06")</f>
        <v>2026-06</v>
      </c>
      <c r="B43" s="2" t="str">
        <f>IFERROR(__xludf.DUMMYFUNCTION("""COMPUTED_VALUE"""),"CYL-SUV - LX")</f>
        <v>CYL-SUV - LX</v>
      </c>
      <c r="C43" s="2">
        <f>IFERROR(__xludf.DUMMYFUNCTION("""COMPUTED_VALUE"""),1187.0)</f>
        <v>1187</v>
      </c>
      <c r="D43" s="2">
        <f>IFERROR(__xludf.DUMMYFUNCTION("""COMPUTED_VALUE"""),0.0)</f>
        <v>0</v>
      </c>
      <c r="E43" s="2">
        <f>IFERROR(__xludf.DUMMYFUNCTION("""COMPUTED_VALUE"""),0.0)</f>
        <v>0</v>
      </c>
      <c r="F43" s="2">
        <f>IFERROR(__xludf.DUMMYFUNCTION("""COMPUTED_VALUE"""),0.0)</f>
        <v>0</v>
      </c>
      <c r="G43" s="2">
        <f>IFERROR(__xludf.DUMMYFUNCTION("""COMPUTED_VALUE"""),0.0)</f>
        <v>0</v>
      </c>
      <c r="H43" s="2">
        <f>IFERROR(__xludf.DUMMYFUNCTION("""COMPUTED_VALUE"""),1187.0)</f>
        <v>1187</v>
      </c>
    </row>
    <row r="44" ht="22.5" customHeight="1">
      <c r="A44" s="2" t="str">
        <f>IFERROR(__xludf.DUMMYFUNCTION("""COMPUTED_VALUE"""),"2026-07")</f>
        <v>2026-07</v>
      </c>
      <c r="B44" s="2" t="str">
        <f>IFERROR(__xludf.DUMMYFUNCTION("""COMPUTED_VALUE"""),"CYL-SUV - LX")</f>
        <v>CYL-SUV - LX</v>
      </c>
      <c r="C44" s="2">
        <f>IFERROR(__xludf.DUMMYFUNCTION("""COMPUTED_VALUE"""),1187.0)</f>
        <v>1187</v>
      </c>
      <c r="D44" s="2">
        <f>IFERROR(__xludf.DUMMYFUNCTION("""COMPUTED_VALUE"""),0.0)</f>
        <v>0</v>
      </c>
      <c r="E44" s="2">
        <f>IFERROR(__xludf.DUMMYFUNCTION("""COMPUTED_VALUE"""),0.0)</f>
        <v>0</v>
      </c>
      <c r="F44" s="2">
        <f>IFERROR(__xludf.DUMMYFUNCTION("""COMPUTED_VALUE"""),0.0)</f>
        <v>0</v>
      </c>
      <c r="G44" s="2">
        <f>IFERROR(__xludf.DUMMYFUNCTION("""COMPUTED_VALUE"""),0.0)</f>
        <v>0</v>
      </c>
      <c r="H44" s="2">
        <f>IFERROR(__xludf.DUMMYFUNCTION("""COMPUTED_VALUE"""),1187.0)</f>
        <v>1187</v>
      </c>
    </row>
    <row r="45" ht="22.5" customHeight="1">
      <c r="A45" s="2" t="str">
        <f>IFERROR(__xludf.DUMMYFUNCTION("""COMPUTED_VALUE"""),"2026-08")</f>
        <v>2026-08</v>
      </c>
      <c r="B45" s="2" t="str">
        <f>IFERROR(__xludf.DUMMYFUNCTION("""COMPUTED_VALUE"""),"CYL-SUV - LX")</f>
        <v>CYL-SUV - LX</v>
      </c>
      <c r="C45" s="2">
        <f>IFERROR(__xludf.DUMMYFUNCTION("""COMPUTED_VALUE"""),1187.0)</f>
        <v>1187</v>
      </c>
      <c r="D45" s="2">
        <f>IFERROR(__xludf.DUMMYFUNCTION("""COMPUTED_VALUE"""),0.0)</f>
        <v>0</v>
      </c>
      <c r="E45" s="2">
        <f>IFERROR(__xludf.DUMMYFUNCTION("""COMPUTED_VALUE"""),0.0)</f>
        <v>0</v>
      </c>
      <c r="F45" s="2">
        <f>IFERROR(__xludf.DUMMYFUNCTION("""COMPUTED_VALUE"""),0.0)</f>
        <v>0</v>
      </c>
      <c r="G45" s="2">
        <f>IFERROR(__xludf.DUMMYFUNCTION("""COMPUTED_VALUE"""),0.0)</f>
        <v>0</v>
      </c>
      <c r="H45" s="2">
        <f>IFERROR(__xludf.DUMMYFUNCTION("""COMPUTED_VALUE"""),1187.0)</f>
        <v>1187</v>
      </c>
    </row>
    <row r="46" ht="22.5" customHeight="1">
      <c r="A46" s="2" t="str">
        <f>IFERROR(__xludf.DUMMYFUNCTION("""COMPUTED_VALUE"""),"2026-09")</f>
        <v>2026-09</v>
      </c>
      <c r="B46" s="2" t="str">
        <f>IFERROR(__xludf.DUMMYFUNCTION("""COMPUTED_VALUE"""),"CYL-SUV - LX")</f>
        <v>CYL-SUV - LX</v>
      </c>
      <c r="C46" s="2">
        <f>IFERROR(__xludf.DUMMYFUNCTION("""COMPUTED_VALUE"""),1187.0)</f>
        <v>1187</v>
      </c>
      <c r="D46" s="2">
        <f>IFERROR(__xludf.DUMMYFUNCTION("""COMPUTED_VALUE"""),0.0)</f>
        <v>0</v>
      </c>
      <c r="E46" s="2">
        <f>IFERROR(__xludf.DUMMYFUNCTION("""COMPUTED_VALUE"""),0.0)</f>
        <v>0</v>
      </c>
      <c r="F46" s="2">
        <f>IFERROR(__xludf.DUMMYFUNCTION("""COMPUTED_VALUE"""),0.0)</f>
        <v>0</v>
      </c>
      <c r="G46" s="2">
        <f>IFERROR(__xludf.DUMMYFUNCTION("""COMPUTED_VALUE"""),0.0)</f>
        <v>0</v>
      </c>
      <c r="H46" s="2">
        <f>IFERROR(__xludf.DUMMYFUNCTION("""COMPUTED_VALUE"""),1187.0)</f>
        <v>1187</v>
      </c>
    </row>
    <row r="47" ht="22.5" customHeight="1">
      <c r="A47" s="2" t="str">
        <f>IFERROR(__xludf.DUMMYFUNCTION("""COMPUTED_VALUE"""),"2026-10")</f>
        <v>2026-10</v>
      </c>
      <c r="B47" s="2" t="str">
        <f>IFERROR(__xludf.DUMMYFUNCTION("""COMPUTED_VALUE"""),"CYL-SUV - LX")</f>
        <v>CYL-SUV - LX</v>
      </c>
      <c r="C47" s="2">
        <f>IFERROR(__xludf.DUMMYFUNCTION("""COMPUTED_VALUE"""),1187.0)</f>
        <v>1187</v>
      </c>
      <c r="D47" s="2">
        <f>IFERROR(__xludf.DUMMYFUNCTION("""COMPUTED_VALUE"""),0.0)</f>
        <v>0</v>
      </c>
      <c r="E47" s="2">
        <f>IFERROR(__xludf.DUMMYFUNCTION("""COMPUTED_VALUE"""),0.0)</f>
        <v>0</v>
      </c>
      <c r="F47" s="2">
        <f>IFERROR(__xludf.DUMMYFUNCTION("""COMPUTED_VALUE"""),0.0)</f>
        <v>0</v>
      </c>
      <c r="G47" s="2">
        <f>IFERROR(__xludf.DUMMYFUNCTION("""COMPUTED_VALUE"""),0.0)</f>
        <v>0</v>
      </c>
      <c r="H47" s="2">
        <f>IFERROR(__xludf.DUMMYFUNCTION("""COMPUTED_VALUE"""),1187.0)</f>
        <v>1187</v>
      </c>
    </row>
    <row r="48" ht="22.5" customHeight="1">
      <c r="A48" s="2" t="str">
        <f>IFERROR(__xludf.DUMMYFUNCTION("""COMPUTED_VALUE"""),"2026-11")</f>
        <v>2026-11</v>
      </c>
      <c r="B48" s="2" t="str">
        <f>IFERROR(__xludf.DUMMYFUNCTION("""COMPUTED_VALUE"""),"CYL-SUV - LX")</f>
        <v>CYL-SUV - LX</v>
      </c>
      <c r="C48" s="2">
        <f>IFERROR(__xludf.DUMMYFUNCTION("""COMPUTED_VALUE"""),1187.0)</f>
        <v>1187</v>
      </c>
      <c r="D48" s="2">
        <f>IFERROR(__xludf.DUMMYFUNCTION("""COMPUTED_VALUE"""),0.0)</f>
        <v>0</v>
      </c>
      <c r="E48" s="2">
        <f>IFERROR(__xludf.DUMMYFUNCTION("""COMPUTED_VALUE"""),0.0)</f>
        <v>0</v>
      </c>
      <c r="F48" s="2">
        <f>IFERROR(__xludf.DUMMYFUNCTION("""COMPUTED_VALUE"""),0.0)</f>
        <v>0</v>
      </c>
      <c r="G48" s="2">
        <f>IFERROR(__xludf.DUMMYFUNCTION("""COMPUTED_VALUE"""),0.0)</f>
        <v>0</v>
      </c>
      <c r="H48" s="2">
        <f>IFERROR(__xludf.DUMMYFUNCTION("""COMPUTED_VALUE"""),1187.0)</f>
        <v>1187</v>
      </c>
    </row>
    <row r="49" ht="22.5" customHeight="1">
      <c r="A49" s="2" t="str">
        <f>IFERROR(__xludf.DUMMYFUNCTION("""COMPUTED_VALUE"""),"2026-12")</f>
        <v>2026-12</v>
      </c>
      <c r="B49" s="2" t="str">
        <f>IFERROR(__xludf.DUMMYFUNCTION("""COMPUTED_VALUE"""),"CYL-SUV - LX")</f>
        <v>CYL-SUV - LX</v>
      </c>
      <c r="C49" s="2">
        <f>IFERROR(__xludf.DUMMYFUNCTION("""COMPUTED_VALUE"""),1187.0)</f>
        <v>1187</v>
      </c>
      <c r="D49" s="2">
        <f>IFERROR(__xludf.DUMMYFUNCTION("""COMPUTED_VALUE"""),0.0)</f>
        <v>0</v>
      </c>
      <c r="E49" s="2">
        <f>IFERROR(__xludf.DUMMYFUNCTION("""COMPUTED_VALUE"""),0.0)</f>
        <v>0</v>
      </c>
      <c r="F49" s="2">
        <f>IFERROR(__xludf.DUMMYFUNCTION("""COMPUTED_VALUE"""),0.0)</f>
        <v>0</v>
      </c>
      <c r="G49" s="2">
        <f>IFERROR(__xludf.DUMMYFUNCTION("""COMPUTED_VALUE"""),0.0)</f>
        <v>0</v>
      </c>
      <c r="H49" s="2">
        <f>IFERROR(__xludf.DUMMYFUNCTION("""COMPUTED_VALUE"""),1187.0)</f>
        <v>1187</v>
      </c>
    </row>
    <row r="50" ht="22.5" customHeight="1">
      <c r="A50" s="2" t="str">
        <f>IFERROR(__xludf.DUMMYFUNCTION("""COMPUTED_VALUE"""),"2026-01")</f>
        <v>2026-01</v>
      </c>
      <c r="B50" s="2" t="str">
        <f>IFERROR(__xludf.DUMMYFUNCTION("""COMPUTED_VALUE"""),"DOOR-SD")</f>
        <v>DOOR-SD</v>
      </c>
      <c r="C50" s="2">
        <f>IFERROR(__xludf.DUMMYFUNCTION("""COMPUTED_VALUE"""),429.0)</f>
        <v>429</v>
      </c>
      <c r="D50" s="2">
        <f>IFERROR(__xludf.DUMMYFUNCTION("""COMPUTED_VALUE"""),2536.0)</f>
        <v>2536</v>
      </c>
      <c r="E50" s="2">
        <f>IFERROR(__xludf.DUMMYFUNCTION("""COMPUTED_VALUE"""),51.0)</f>
        <v>51</v>
      </c>
      <c r="F50" s="2">
        <f>IFERROR(__xludf.DUMMYFUNCTION("""COMPUTED_VALUE"""),14.0)</f>
        <v>14</v>
      </c>
      <c r="G50" s="2">
        <f>IFERROR(__xludf.DUMMYFUNCTION("""COMPUTED_VALUE"""),2965.0)</f>
        <v>2965</v>
      </c>
      <c r="H50" s="2">
        <f>IFERROR(__xludf.DUMMYFUNCTION("""COMPUTED_VALUE"""),0.0)</f>
        <v>0</v>
      </c>
    </row>
    <row r="51" ht="22.5" customHeight="1">
      <c r="A51" s="2" t="str">
        <f>IFERROR(__xludf.DUMMYFUNCTION("""COMPUTED_VALUE"""),"2026-02")</f>
        <v>2026-02</v>
      </c>
      <c r="B51" s="2" t="str">
        <f>IFERROR(__xludf.DUMMYFUNCTION("""COMPUTED_VALUE"""),"DOOR-SD")</f>
        <v>DOOR-SD</v>
      </c>
      <c r="C51" s="2">
        <f>IFERROR(__xludf.DUMMYFUNCTION("""COMPUTED_VALUE"""),0.0)</f>
        <v>0</v>
      </c>
      <c r="D51" s="2">
        <f>IFERROR(__xludf.DUMMYFUNCTION("""COMPUTED_VALUE"""),3950.0)</f>
        <v>3950</v>
      </c>
      <c r="E51" s="2">
        <f>IFERROR(__xludf.DUMMYFUNCTION("""COMPUTED_VALUE"""),79.0)</f>
        <v>79</v>
      </c>
      <c r="F51" s="2">
        <f>IFERROR(__xludf.DUMMYFUNCTION("""COMPUTED_VALUE"""),0.0)</f>
        <v>0</v>
      </c>
      <c r="G51" s="2">
        <f>IFERROR(__xludf.DUMMYFUNCTION("""COMPUTED_VALUE"""),3950.0)</f>
        <v>3950</v>
      </c>
      <c r="H51" s="2">
        <f>IFERROR(__xludf.DUMMYFUNCTION("""COMPUTED_VALUE"""),0.0)</f>
        <v>0</v>
      </c>
    </row>
    <row r="52" ht="22.5" customHeight="1">
      <c r="A52" s="2" t="str">
        <f>IFERROR(__xludf.DUMMYFUNCTION("""COMPUTED_VALUE"""),"2026-03")</f>
        <v>2026-03</v>
      </c>
      <c r="B52" s="2" t="str">
        <f>IFERROR(__xludf.DUMMYFUNCTION("""COMPUTED_VALUE"""),"DOOR-SD")</f>
        <v>DOOR-SD</v>
      </c>
      <c r="C52" s="2">
        <f>IFERROR(__xludf.DUMMYFUNCTION("""COMPUTED_VALUE"""),0.0)</f>
        <v>0</v>
      </c>
      <c r="D52" s="2">
        <f>IFERROR(__xludf.DUMMYFUNCTION("""COMPUTED_VALUE"""),0.0)</f>
        <v>0</v>
      </c>
      <c r="E52" s="2">
        <f>IFERROR(__xludf.DUMMYFUNCTION("""COMPUTED_VALUE"""),0.0)</f>
        <v>0</v>
      </c>
      <c r="F52" s="2">
        <f>IFERROR(__xludf.DUMMYFUNCTION("""COMPUTED_VALUE"""),0.0)</f>
        <v>0</v>
      </c>
      <c r="G52" s="2">
        <f>IFERROR(__xludf.DUMMYFUNCTION("""COMPUTED_VALUE"""),0.0)</f>
        <v>0</v>
      </c>
      <c r="H52" s="2">
        <f>IFERROR(__xludf.DUMMYFUNCTION("""COMPUTED_VALUE"""),0.0)</f>
        <v>0</v>
      </c>
    </row>
    <row r="53" ht="22.5" customHeight="1">
      <c r="A53" s="2" t="str">
        <f>IFERROR(__xludf.DUMMYFUNCTION("""COMPUTED_VALUE"""),"2026-04")</f>
        <v>2026-04</v>
      </c>
      <c r="B53" s="2" t="str">
        <f>IFERROR(__xludf.DUMMYFUNCTION("""COMPUTED_VALUE"""),"DOOR-SD")</f>
        <v>DOOR-SD</v>
      </c>
      <c r="C53" s="2">
        <f>IFERROR(__xludf.DUMMYFUNCTION("""COMPUTED_VALUE"""),0.0)</f>
        <v>0</v>
      </c>
      <c r="D53" s="2">
        <f>IFERROR(__xludf.DUMMYFUNCTION("""COMPUTED_VALUE"""),0.0)</f>
        <v>0</v>
      </c>
      <c r="E53" s="2">
        <f>IFERROR(__xludf.DUMMYFUNCTION("""COMPUTED_VALUE"""),0.0)</f>
        <v>0</v>
      </c>
      <c r="F53" s="2">
        <f>IFERROR(__xludf.DUMMYFUNCTION("""COMPUTED_VALUE"""),0.0)</f>
        <v>0</v>
      </c>
      <c r="G53" s="2">
        <f>IFERROR(__xludf.DUMMYFUNCTION("""COMPUTED_VALUE"""),0.0)</f>
        <v>0</v>
      </c>
      <c r="H53" s="2">
        <f>IFERROR(__xludf.DUMMYFUNCTION("""COMPUTED_VALUE"""),0.0)</f>
        <v>0</v>
      </c>
    </row>
    <row r="54" ht="22.5" customHeight="1">
      <c r="A54" s="2" t="str">
        <f>IFERROR(__xludf.DUMMYFUNCTION("""COMPUTED_VALUE"""),"2026-05")</f>
        <v>2026-05</v>
      </c>
      <c r="B54" s="2" t="str">
        <f>IFERROR(__xludf.DUMMYFUNCTION("""COMPUTED_VALUE"""),"DOOR-SD")</f>
        <v>DOOR-SD</v>
      </c>
      <c r="C54" s="2">
        <f>IFERROR(__xludf.DUMMYFUNCTION("""COMPUTED_VALUE"""),0.0)</f>
        <v>0</v>
      </c>
      <c r="D54" s="2">
        <f>IFERROR(__xludf.DUMMYFUNCTION("""COMPUTED_VALUE"""),0.0)</f>
        <v>0</v>
      </c>
      <c r="E54" s="2">
        <f>IFERROR(__xludf.DUMMYFUNCTION("""COMPUTED_VALUE"""),0.0)</f>
        <v>0</v>
      </c>
      <c r="F54" s="2">
        <f>IFERROR(__xludf.DUMMYFUNCTION("""COMPUTED_VALUE"""),0.0)</f>
        <v>0</v>
      </c>
      <c r="G54" s="2">
        <f>IFERROR(__xludf.DUMMYFUNCTION("""COMPUTED_VALUE"""),0.0)</f>
        <v>0</v>
      </c>
      <c r="H54" s="2">
        <f>IFERROR(__xludf.DUMMYFUNCTION("""COMPUTED_VALUE"""),0.0)</f>
        <v>0</v>
      </c>
    </row>
    <row r="55" ht="22.5" customHeight="1">
      <c r="A55" s="2" t="str">
        <f>IFERROR(__xludf.DUMMYFUNCTION("""COMPUTED_VALUE"""),"2026-06")</f>
        <v>2026-06</v>
      </c>
      <c r="B55" s="2" t="str">
        <f>IFERROR(__xludf.DUMMYFUNCTION("""COMPUTED_VALUE"""),"DOOR-SD")</f>
        <v>DOOR-SD</v>
      </c>
      <c r="C55" s="2">
        <f>IFERROR(__xludf.DUMMYFUNCTION("""COMPUTED_VALUE"""),0.0)</f>
        <v>0</v>
      </c>
      <c r="D55" s="2">
        <f>IFERROR(__xludf.DUMMYFUNCTION("""COMPUTED_VALUE"""),0.0)</f>
        <v>0</v>
      </c>
      <c r="E55" s="2">
        <f>IFERROR(__xludf.DUMMYFUNCTION("""COMPUTED_VALUE"""),0.0)</f>
        <v>0</v>
      </c>
      <c r="F55" s="2">
        <f>IFERROR(__xludf.DUMMYFUNCTION("""COMPUTED_VALUE"""),0.0)</f>
        <v>0</v>
      </c>
      <c r="G55" s="2">
        <f>IFERROR(__xludf.DUMMYFUNCTION("""COMPUTED_VALUE"""),0.0)</f>
        <v>0</v>
      </c>
      <c r="H55" s="2">
        <f>IFERROR(__xludf.DUMMYFUNCTION("""COMPUTED_VALUE"""),0.0)</f>
        <v>0</v>
      </c>
    </row>
    <row r="56" ht="22.5" customHeight="1">
      <c r="A56" s="2" t="str">
        <f>IFERROR(__xludf.DUMMYFUNCTION("""COMPUTED_VALUE"""),"2026-07")</f>
        <v>2026-07</v>
      </c>
      <c r="B56" s="2" t="str">
        <f>IFERROR(__xludf.DUMMYFUNCTION("""COMPUTED_VALUE"""),"DOOR-SD")</f>
        <v>DOOR-SD</v>
      </c>
      <c r="C56" s="2">
        <f>IFERROR(__xludf.DUMMYFUNCTION("""COMPUTED_VALUE"""),0.0)</f>
        <v>0</v>
      </c>
      <c r="D56" s="2">
        <f>IFERROR(__xludf.DUMMYFUNCTION("""COMPUTED_VALUE"""),0.0)</f>
        <v>0</v>
      </c>
      <c r="E56" s="2">
        <f>IFERROR(__xludf.DUMMYFUNCTION("""COMPUTED_VALUE"""),0.0)</f>
        <v>0</v>
      </c>
      <c r="F56" s="2">
        <f>IFERROR(__xludf.DUMMYFUNCTION("""COMPUTED_VALUE"""),0.0)</f>
        <v>0</v>
      </c>
      <c r="G56" s="2">
        <f>IFERROR(__xludf.DUMMYFUNCTION("""COMPUTED_VALUE"""),0.0)</f>
        <v>0</v>
      </c>
      <c r="H56" s="2">
        <f>IFERROR(__xludf.DUMMYFUNCTION("""COMPUTED_VALUE"""),0.0)</f>
        <v>0</v>
      </c>
    </row>
    <row r="57" ht="22.5" customHeight="1">
      <c r="A57" s="2" t="str">
        <f>IFERROR(__xludf.DUMMYFUNCTION("""COMPUTED_VALUE"""),"2026-08")</f>
        <v>2026-08</v>
      </c>
      <c r="B57" s="2" t="str">
        <f>IFERROR(__xludf.DUMMYFUNCTION("""COMPUTED_VALUE"""),"DOOR-SD")</f>
        <v>DOOR-SD</v>
      </c>
      <c r="C57" s="2">
        <f>IFERROR(__xludf.DUMMYFUNCTION("""COMPUTED_VALUE"""),0.0)</f>
        <v>0</v>
      </c>
      <c r="D57" s="2">
        <f>IFERROR(__xludf.DUMMYFUNCTION("""COMPUTED_VALUE"""),0.0)</f>
        <v>0</v>
      </c>
      <c r="E57" s="2">
        <f>IFERROR(__xludf.DUMMYFUNCTION("""COMPUTED_VALUE"""),0.0)</f>
        <v>0</v>
      </c>
      <c r="F57" s="2">
        <f>IFERROR(__xludf.DUMMYFUNCTION("""COMPUTED_VALUE"""),0.0)</f>
        <v>0</v>
      </c>
      <c r="G57" s="2">
        <f>IFERROR(__xludf.DUMMYFUNCTION("""COMPUTED_VALUE"""),0.0)</f>
        <v>0</v>
      </c>
      <c r="H57" s="2">
        <f>IFERROR(__xludf.DUMMYFUNCTION("""COMPUTED_VALUE"""),0.0)</f>
        <v>0</v>
      </c>
    </row>
    <row r="58" ht="22.5" customHeight="1">
      <c r="A58" s="2" t="str">
        <f>IFERROR(__xludf.DUMMYFUNCTION("""COMPUTED_VALUE"""),"2026-09")</f>
        <v>2026-09</v>
      </c>
      <c r="B58" s="2" t="str">
        <f>IFERROR(__xludf.DUMMYFUNCTION("""COMPUTED_VALUE"""),"DOOR-SD")</f>
        <v>DOOR-SD</v>
      </c>
      <c r="C58" s="2">
        <f>IFERROR(__xludf.DUMMYFUNCTION("""COMPUTED_VALUE"""),0.0)</f>
        <v>0</v>
      </c>
      <c r="D58" s="2">
        <f>IFERROR(__xludf.DUMMYFUNCTION("""COMPUTED_VALUE"""),0.0)</f>
        <v>0</v>
      </c>
      <c r="E58" s="2">
        <f>IFERROR(__xludf.DUMMYFUNCTION("""COMPUTED_VALUE"""),0.0)</f>
        <v>0</v>
      </c>
      <c r="F58" s="2">
        <f>IFERROR(__xludf.DUMMYFUNCTION("""COMPUTED_VALUE"""),0.0)</f>
        <v>0</v>
      </c>
      <c r="G58" s="2">
        <f>IFERROR(__xludf.DUMMYFUNCTION("""COMPUTED_VALUE"""),0.0)</f>
        <v>0</v>
      </c>
      <c r="H58" s="2">
        <f>IFERROR(__xludf.DUMMYFUNCTION("""COMPUTED_VALUE"""),0.0)</f>
        <v>0</v>
      </c>
    </row>
    <row r="59" ht="22.5" customHeight="1">
      <c r="A59" s="2" t="str">
        <f>IFERROR(__xludf.DUMMYFUNCTION("""COMPUTED_VALUE"""),"2026-10")</f>
        <v>2026-10</v>
      </c>
      <c r="B59" s="2" t="str">
        <f>IFERROR(__xludf.DUMMYFUNCTION("""COMPUTED_VALUE"""),"DOOR-SD")</f>
        <v>DOOR-SD</v>
      </c>
      <c r="C59" s="2">
        <f>IFERROR(__xludf.DUMMYFUNCTION("""COMPUTED_VALUE"""),0.0)</f>
        <v>0</v>
      </c>
      <c r="D59" s="2">
        <f>IFERROR(__xludf.DUMMYFUNCTION("""COMPUTED_VALUE"""),0.0)</f>
        <v>0</v>
      </c>
      <c r="E59" s="2">
        <f>IFERROR(__xludf.DUMMYFUNCTION("""COMPUTED_VALUE"""),0.0)</f>
        <v>0</v>
      </c>
      <c r="F59" s="2">
        <f>IFERROR(__xludf.DUMMYFUNCTION("""COMPUTED_VALUE"""),0.0)</f>
        <v>0</v>
      </c>
      <c r="G59" s="2">
        <f>IFERROR(__xludf.DUMMYFUNCTION("""COMPUTED_VALUE"""),0.0)</f>
        <v>0</v>
      </c>
      <c r="H59" s="2">
        <f>IFERROR(__xludf.DUMMYFUNCTION("""COMPUTED_VALUE"""),0.0)</f>
        <v>0</v>
      </c>
    </row>
    <row r="60" ht="22.5" customHeight="1">
      <c r="A60" s="2" t="str">
        <f>IFERROR(__xludf.DUMMYFUNCTION("""COMPUTED_VALUE"""),"2026-11")</f>
        <v>2026-11</v>
      </c>
      <c r="B60" s="2" t="str">
        <f>IFERROR(__xludf.DUMMYFUNCTION("""COMPUTED_VALUE"""),"DOOR-SD")</f>
        <v>DOOR-SD</v>
      </c>
      <c r="C60" s="2">
        <f>IFERROR(__xludf.DUMMYFUNCTION("""COMPUTED_VALUE"""),0.0)</f>
        <v>0</v>
      </c>
      <c r="D60" s="2">
        <f>IFERROR(__xludf.DUMMYFUNCTION("""COMPUTED_VALUE"""),0.0)</f>
        <v>0</v>
      </c>
      <c r="E60" s="2">
        <f>IFERROR(__xludf.DUMMYFUNCTION("""COMPUTED_VALUE"""),0.0)</f>
        <v>0</v>
      </c>
      <c r="F60" s="2">
        <f>IFERROR(__xludf.DUMMYFUNCTION("""COMPUTED_VALUE"""),0.0)</f>
        <v>0</v>
      </c>
      <c r="G60" s="2">
        <f>IFERROR(__xludf.DUMMYFUNCTION("""COMPUTED_VALUE"""),0.0)</f>
        <v>0</v>
      </c>
      <c r="H60" s="2">
        <f>IFERROR(__xludf.DUMMYFUNCTION("""COMPUTED_VALUE"""),0.0)</f>
        <v>0</v>
      </c>
    </row>
    <row r="61" ht="22.5" customHeight="1">
      <c r="A61" s="2" t="str">
        <f>IFERROR(__xludf.DUMMYFUNCTION("""COMPUTED_VALUE"""),"2026-12")</f>
        <v>2026-12</v>
      </c>
      <c r="B61" s="2" t="str">
        <f>IFERROR(__xludf.DUMMYFUNCTION("""COMPUTED_VALUE"""),"DOOR-SD")</f>
        <v>DOOR-SD</v>
      </c>
      <c r="C61" s="2">
        <f>IFERROR(__xludf.DUMMYFUNCTION("""COMPUTED_VALUE"""),0.0)</f>
        <v>0</v>
      </c>
      <c r="D61" s="2">
        <f>IFERROR(__xludf.DUMMYFUNCTION("""COMPUTED_VALUE"""),0.0)</f>
        <v>0</v>
      </c>
      <c r="E61" s="2">
        <f>IFERROR(__xludf.DUMMYFUNCTION("""COMPUTED_VALUE"""),0.0)</f>
        <v>0</v>
      </c>
      <c r="F61" s="2">
        <f>IFERROR(__xludf.DUMMYFUNCTION("""COMPUTED_VALUE"""),0.0)</f>
        <v>0</v>
      </c>
      <c r="G61" s="2">
        <f>IFERROR(__xludf.DUMMYFUNCTION("""COMPUTED_VALUE"""),0.0)</f>
        <v>0</v>
      </c>
      <c r="H61" s="2">
        <f>IFERROR(__xludf.DUMMYFUNCTION("""COMPUTED_VALUE"""),0.0)</f>
        <v>0</v>
      </c>
    </row>
    <row r="62" ht="22.5" customHeight="1">
      <c r="A62" s="2" t="str">
        <f>IFERROR(__xludf.DUMMYFUNCTION("""COMPUTED_VALUE"""),"2026-01")</f>
        <v>2026-01</v>
      </c>
      <c r="B62" s="2" t="str">
        <f>IFERROR(__xludf.DUMMYFUNCTION("""COMPUTED_VALUE"""),"DOOR-SD - LX")</f>
        <v>DOOR-SD - LX</v>
      </c>
      <c r="C62" s="2">
        <f>IFERROR(__xludf.DUMMYFUNCTION("""COMPUTED_VALUE"""),457.0)</f>
        <v>457</v>
      </c>
      <c r="D62" s="2">
        <f>IFERROR(__xludf.DUMMYFUNCTION("""COMPUTED_VALUE"""),0.0)</f>
        <v>0</v>
      </c>
      <c r="E62" s="2">
        <f>IFERROR(__xludf.DUMMYFUNCTION("""COMPUTED_VALUE"""),0.0)</f>
        <v>0</v>
      </c>
      <c r="F62" s="2">
        <f>IFERROR(__xludf.DUMMYFUNCTION("""COMPUTED_VALUE"""),0.0)</f>
        <v>0</v>
      </c>
      <c r="G62" s="2">
        <f>IFERROR(__xludf.DUMMYFUNCTION("""COMPUTED_VALUE"""),445.0)</f>
        <v>445</v>
      </c>
      <c r="H62" s="2">
        <f>IFERROR(__xludf.DUMMYFUNCTION("""COMPUTED_VALUE"""),12.0)</f>
        <v>12</v>
      </c>
    </row>
    <row r="63" ht="22.5" customHeight="1">
      <c r="A63" s="2" t="str">
        <f>IFERROR(__xludf.DUMMYFUNCTION("""COMPUTED_VALUE"""),"2026-02")</f>
        <v>2026-02</v>
      </c>
      <c r="B63" s="2" t="str">
        <f>IFERROR(__xludf.DUMMYFUNCTION("""COMPUTED_VALUE"""),"DOOR-SD - LX")</f>
        <v>DOOR-SD - LX</v>
      </c>
      <c r="C63" s="2">
        <f>IFERROR(__xludf.DUMMYFUNCTION("""COMPUTED_VALUE"""),12.0)</f>
        <v>12</v>
      </c>
      <c r="D63" s="2">
        <f>IFERROR(__xludf.DUMMYFUNCTION("""COMPUTED_VALUE"""),0.0)</f>
        <v>0</v>
      </c>
      <c r="E63" s="2">
        <f>IFERROR(__xludf.DUMMYFUNCTION("""COMPUTED_VALUE"""),0.0)</f>
        <v>0</v>
      </c>
      <c r="F63" s="2">
        <f>IFERROR(__xludf.DUMMYFUNCTION("""COMPUTED_VALUE"""),0.0)</f>
        <v>0</v>
      </c>
      <c r="G63" s="2">
        <f>IFERROR(__xludf.DUMMYFUNCTION("""COMPUTED_VALUE"""),10.0)</f>
        <v>10</v>
      </c>
      <c r="H63" s="2">
        <f>IFERROR(__xludf.DUMMYFUNCTION("""COMPUTED_VALUE"""),2.0)</f>
        <v>2</v>
      </c>
    </row>
    <row r="64" ht="22.5" customHeight="1">
      <c r="A64" s="2" t="str">
        <f>IFERROR(__xludf.DUMMYFUNCTION("""COMPUTED_VALUE"""),"2026-03")</f>
        <v>2026-03</v>
      </c>
      <c r="B64" s="2" t="str">
        <f>IFERROR(__xludf.DUMMYFUNCTION("""COMPUTED_VALUE"""),"DOOR-SD - LX")</f>
        <v>DOOR-SD - LX</v>
      </c>
      <c r="C64" s="2">
        <f>IFERROR(__xludf.DUMMYFUNCTION("""COMPUTED_VALUE"""),2.0)</f>
        <v>2</v>
      </c>
      <c r="D64" s="2">
        <f>IFERROR(__xludf.DUMMYFUNCTION("""COMPUTED_VALUE"""),0.0)</f>
        <v>0</v>
      </c>
      <c r="E64" s="2">
        <f>IFERROR(__xludf.DUMMYFUNCTION("""COMPUTED_VALUE"""),0.0)</f>
        <v>0</v>
      </c>
      <c r="F64" s="2">
        <f>IFERROR(__xludf.DUMMYFUNCTION("""COMPUTED_VALUE"""),0.0)</f>
        <v>0</v>
      </c>
      <c r="G64" s="2">
        <f>IFERROR(__xludf.DUMMYFUNCTION("""COMPUTED_VALUE"""),0.0)</f>
        <v>0</v>
      </c>
      <c r="H64" s="2">
        <f>IFERROR(__xludf.DUMMYFUNCTION("""COMPUTED_VALUE"""),2.0)</f>
        <v>2</v>
      </c>
    </row>
    <row r="65" ht="22.5" customHeight="1">
      <c r="A65" s="2" t="str">
        <f>IFERROR(__xludf.DUMMYFUNCTION("""COMPUTED_VALUE"""),"2026-04")</f>
        <v>2026-04</v>
      </c>
      <c r="B65" s="2" t="str">
        <f>IFERROR(__xludf.DUMMYFUNCTION("""COMPUTED_VALUE"""),"DOOR-SD - LX")</f>
        <v>DOOR-SD - LX</v>
      </c>
      <c r="C65" s="2">
        <f>IFERROR(__xludf.DUMMYFUNCTION("""COMPUTED_VALUE"""),2.0)</f>
        <v>2</v>
      </c>
      <c r="D65" s="2">
        <f>IFERROR(__xludf.DUMMYFUNCTION("""COMPUTED_VALUE"""),0.0)</f>
        <v>0</v>
      </c>
      <c r="E65" s="2">
        <f>IFERROR(__xludf.DUMMYFUNCTION("""COMPUTED_VALUE"""),0.0)</f>
        <v>0</v>
      </c>
      <c r="F65" s="2">
        <f>IFERROR(__xludf.DUMMYFUNCTION("""COMPUTED_VALUE"""),0.0)</f>
        <v>0</v>
      </c>
      <c r="G65" s="2">
        <f>IFERROR(__xludf.DUMMYFUNCTION("""COMPUTED_VALUE"""),0.0)</f>
        <v>0</v>
      </c>
      <c r="H65" s="2">
        <f>IFERROR(__xludf.DUMMYFUNCTION("""COMPUTED_VALUE"""),2.0)</f>
        <v>2</v>
      </c>
    </row>
    <row r="66" ht="22.5" customHeight="1">
      <c r="A66" s="2" t="str">
        <f>IFERROR(__xludf.DUMMYFUNCTION("""COMPUTED_VALUE"""),"2026-05")</f>
        <v>2026-05</v>
      </c>
      <c r="B66" s="2" t="str">
        <f>IFERROR(__xludf.DUMMYFUNCTION("""COMPUTED_VALUE"""),"DOOR-SD - LX")</f>
        <v>DOOR-SD - LX</v>
      </c>
      <c r="C66" s="2">
        <f>IFERROR(__xludf.DUMMYFUNCTION("""COMPUTED_VALUE"""),2.0)</f>
        <v>2</v>
      </c>
      <c r="D66" s="2">
        <f>IFERROR(__xludf.DUMMYFUNCTION("""COMPUTED_VALUE"""),0.0)</f>
        <v>0</v>
      </c>
      <c r="E66" s="2">
        <f>IFERROR(__xludf.DUMMYFUNCTION("""COMPUTED_VALUE"""),0.0)</f>
        <v>0</v>
      </c>
      <c r="F66" s="2">
        <f>IFERROR(__xludf.DUMMYFUNCTION("""COMPUTED_VALUE"""),0.0)</f>
        <v>0</v>
      </c>
      <c r="G66" s="2">
        <f>IFERROR(__xludf.DUMMYFUNCTION("""COMPUTED_VALUE"""),0.0)</f>
        <v>0</v>
      </c>
      <c r="H66" s="2">
        <f>IFERROR(__xludf.DUMMYFUNCTION("""COMPUTED_VALUE"""),2.0)</f>
        <v>2</v>
      </c>
    </row>
    <row r="67" ht="22.5" customHeight="1">
      <c r="A67" s="2" t="str">
        <f>IFERROR(__xludf.DUMMYFUNCTION("""COMPUTED_VALUE"""),"2026-06")</f>
        <v>2026-06</v>
      </c>
      <c r="B67" s="2" t="str">
        <f>IFERROR(__xludf.DUMMYFUNCTION("""COMPUTED_VALUE"""),"DOOR-SD - LX")</f>
        <v>DOOR-SD - LX</v>
      </c>
      <c r="C67" s="2">
        <f>IFERROR(__xludf.DUMMYFUNCTION("""COMPUTED_VALUE"""),2.0)</f>
        <v>2</v>
      </c>
      <c r="D67" s="2">
        <f>IFERROR(__xludf.DUMMYFUNCTION("""COMPUTED_VALUE"""),0.0)</f>
        <v>0</v>
      </c>
      <c r="E67" s="2">
        <f>IFERROR(__xludf.DUMMYFUNCTION("""COMPUTED_VALUE"""),0.0)</f>
        <v>0</v>
      </c>
      <c r="F67" s="2">
        <f>IFERROR(__xludf.DUMMYFUNCTION("""COMPUTED_VALUE"""),0.0)</f>
        <v>0</v>
      </c>
      <c r="G67" s="2">
        <f>IFERROR(__xludf.DUMMYFUNCTION("""COMPUTED_VALUE"""),0.0)</f>
        <v>0</v>
      </c>
      <c r="H67" s="2">
        <f>IFERROR(__xludf.DUMMYFUNCTION("""COMPUTED_VALUE"""),2.0)</f>
        <v>2</v>
      </c>
    </row>
    <row r="68" ht="22.5" customHeight="1">
      <c r="A68" s="2" t="str">
        <f>IFERROR(__xludf.DUMMYFUNCTION("""COMPUTED_VALUE"""),"2026-07")</f>
        <v>2026-07</v>
      </c>
      <c r="B68" s="2" t="str">
        <f>IFERROR(__xludf.DUMMYFUNCTION("""COMPUTED_VALUE"""),"DOOR-SD - LX")</f>
        <v>DOOR-SD - LX</v>
      </c>
      <c r="C68" s="2">
        <f>IFERROR(__xludf.DUMMYFUNCTION("""COMPUTED_VALUE"""),2.0)</f>
        <v>2</v>
      </c>
      <c r="D68" s="2">
        <f>IFERROR(__xludf.DUMMYFUNCTION("""COMPUTED_VALUE"""),0.0)</f>
        <v>0</v>
      </c>
      <c r="E68" s="2">
        <f>IFERROR(__xludf.DUMMYFUNCTION("""COMPUTED_VALUE"""),0.0)</f>
        <v>0</v>
      </c>
      <c r="F68" s="2">
        <f>IFERROR(__xludf.DUMMYFUNCTION("""COMPUTED_VALUE"""),0.0)</f>
        <v>0</v>
      </c>
      <c r="G68" s="2">
        <f>IFERROR(__xludf.DUMMYFUNCTION("""COMPUTED_VALUE"""),0.0)</f>
        <v>0</v>
      </c>
      <c r="H68" s="2">
        <f>IFERROR(__xludf.DUMMYFUNCTION("""COMPUTED_VALUE"""),2.0)</f>
        <v>2</v>
      </c>
    </row>
    <row r="69" ht="22.5" customHeight="1">
      <c r="A69" s="2" t="str">
        <f>IFERROR(__xludf.DUMMYFUNCTION("""COMPUTED_VALUE"""),"2026-08")</f>
        <v>2026-08</v>
      </c>
      <c r="B69" s="2" t="str">
        <f>IFERROR(__xludf.DUMMYFUNCTION("""COMPUTED_VALUE"""),"DOOR-SD - LX")</f>
        <v>DOOR-SD - LX</v>
      </c>
      <c r="C69" s="2">
        <f>IFERROR(__xludf.DUMMYFUNCTION("""COMPUTED_VALUE"""),2.0)</f>
        <v>2</v>
      </c>
      <c r="D69" s="2">
        <f>IFERROR(__xludf.DUMMYFUNCTION("""COMPUTED_VALUE"""),0.0)</f>
        <v>0</v>
      </c>
      <c r="E69" s="2">
        <f>IFERROR(__xludf.DUMMYFUNCTION("""COMPUTED_VALUE"""),0.0)</f>
        <v>0</v>
      </c>
      <c r="F69" s="2">
        <f>IFERROR(__xludf.DUMMYFUNCTION("""COMPUTED_VALUE"""),0.0)</f>
        <v>0</v>
      </c>
      <c r="G69" s="2">
        <f>IFERROR(__xludf.DUMMYFUNCTION("""COMPUTED_VALUE"""),0.0)</f>
        <v>0</v>
      </c>
      <c r="H69" s="2">
        <f>IFERROR(__xludf.DUMMYFUNCTION("""COMPUTED_VALUE"""),2.0)</f>
        <v>2</v>
      </c>
    </row>
    <row r="70" ht="22.5" customHeight="1">
      <c r="A70" s="2" t="str">
        <f>IFERROR(__xludf.DUMMYFUNCTION("""COMPUTED_VALUE"""),"2026-09")</f>
        <v>2026-09</v>
      </c>
      <c r="B70" s="2" t="str">
        <f>IFERROR(__xludf.DUMMYFUNCTION("""COMPUTED_VALUE"""),"DOOR-SD - LX")</f>
        <v>DOOR-SD - LX</v>
      </c>
      <c r="C70" s="2">
        <f>IFERROR(__xludf.DUMMYFUNCTION("""COMPUTED_VALUE"""),2.0)</f>
        <v>2</v>
      </c>
      <c r="D70" s="2">
        <f>IFERROR(__xludf.DUMMYFUNCTION("""COMPUTED_VALUE"""),0.0)</f>
        <v>0</v>
      </c>
      <c r="E70" s="2">
        <f>IFERROR(__xludf.DUMMYFUNCTION("""COMPUTED_VALUE"""),0.0)</f>
        <v>0</v>
      </c>
      <c r="F70" s="2">
        <f>IFERROR(__xludf.DUMMYFUNCTION("""COMPUTED_VALUE"""),0.0)</f>
        <v>0</v>
      </c>
      <c r="G70" s="2">
        <f>IFERROR(__xludf.DUMMYFUNCTION("""COMPUTED_VALUE"""),0.0)</f>
        <v>0</v>
      </c>
      <c r="H70" s="2">
        <f>IFERROR(__xludf.DUMMYFUNCTION("""COMPUTED_VALUE"""),2.0)</f>
        <v>2</v>
      </c>
    </row>
    <row r="71" ht="22.5" customHeight="1">
      <c r="A71" s="2" t="str">
        <f>IFERROR(__xludf.DUMMYFUNCTION("""COMPUTED_VALUE"""),"2026-10")</f>
        <v>2026-10</v>
      </c>
      <c r="B71" s="2" t="str">
        <f>IFERROR(__xludf.DUMMYFUNCTION("""COMPUTED_VALUE"""),"DOOR-SD - LX")</f>
        <v>DOOR-SD - LX</v>
      </c>
      <c r="C71" s="2">
        <f>IFERROR(__xludf.DUMMYFUNCTION("""COMPUTED_VALUE"""),2.0)</f>
        <v>2</v>
      </c>
      <c r="D71" s="2">
        <f>IFERROR(__xludf.DUMMYFUNCTION("""COMPUTED_VALUE"""),0.0)</f>
        <v>0</v>
      </c>
      <c r="E71" s="2">
        <f>IFERROR(__xludf.DUMMYFUNCTION("""COMPUTED_VALUE"""),0.0)</f>
        <v>0</v>
      </c>
      <c r="F71" s="2">
        <f>IFERROR(__xludf.DUMMYFUNCTION("""COMPUTED_VALUE"""),0.0)</f>
        <v>0</v>
      </c>
      <c r="G71" s="2">
        <f>IFERROR(__xludf.DUMMYFUNCTION("""COMPUTED_VALUE"""),0.0)</f>
        <v>0</v>
      </c>
      <c r="H71" s="2">
        <f>IFERROR(__xludf.DUMMYFUNCTION("""COMPUTED_VALUE"""),2.0)</f>
        <v>2</v>
      </c>
    </row>
    <row r="72" ht="22.5" customHeight="1">
      <c r="A72" s="2" t="str">
        <f>IFERROR(__xludf.DUMMYFUNCTION("""COMPUTED_VALUE"""),"2026-11")</f>
        <v>2026-11</v>
      </c>
      <c r="B72" s="2" t="str">
        <f>IFERROR(__xludf.DUMMYFUNCTION("""COMPUTED_VALUE"""),"DOOR-SD - LX")</f>
        <v>DOOR-SD - LX</v>
      </c>
      <c r="C72" s="2">
        <f>IFERROR(__xludf.DUMMYFUNCTION("""COMPUTED_VALUE"""),2.0)</f>
        <v>2</v>
      </c>
      <c r="D72" s="2">
        <f>IFERROR(__xludf.DUMMYFUNCTION("""COMPUTED_VALUE"""),0.0)</f>
        <v>0</v>
      </c>
      <c r="E72" s="2">
        <f>IFERROR(__xludf.DUMMYFUNCTION("""COMPUTED_VALUE"""),0.0)</f>
        <v>0</v>
      </c>
      <c r="F72" s="2">
        <f>IFERROR(__xludf.DUMMYFUNCTION("""COMPUTED_VALUE"""),0.0)</f>
        <v>0</v>
      </c>
      <c r="G72" s="2">
        <f>IFERROR(__xludf.DUMMYFUNCTION("""COMPUTED_VALUE"""),0.0)</f>
        <v>0</v>
      </c>
      <c r="H72" s="2">
        <f>IFERROR(__xludf.DUMMYFUNCTION("""COMPUTED_VALUE"""),2.0)</f>
        <v>2</v>
      </c>
    </row>
    <row r="73" ht="22.5" customHeight="1">
      <c r="A73" s="2" t="str">
        <f>IFERROR(__xludf.DUMMYFUNCTION("""COMPUTED_VALUE"""),"2026-12")</f>
        <v>2026-12</v>
      </c>
      <c r="B73" s="2" t="str">
        <f>IFERROR(__xludf.DUMMYFUNCTION("""COMPUTED_VALUE"""),"DOOR-SD - LX")</f>
        <v>DOOR-SD - LX</v>
      </c>
      <c r="C73" s="2">
        <f>IFERROR(__xludf.DUMMYFUNCTION("""COMPUTED_VALUE"""),2.0)</f>
        <v>2</v>
      </c>
      <c r="D73" s="2">
        <f>IFERROR(__xludf.DUMMYFUNCTION("""COMPUTED_VALUE"""),0.0)</f>
        <v>0</v>
      </c>
      <c r="E73" s="2">
        <f>IFERROR(__xludf.DUMMYFUNCTION("""COMPUTED_VALUE"""),0.0)</f>
        <v>0</v>
      </c>
      <c r="F73" s="2">
        <f>IFERROR(__xludf.DUMMYFUNCTION("""COMPUTED_VALUE"""),0.0)</f>
        <v>0</v>
      </c>
      <c r="G73" s="2">
        <f>IFERROR(__xludf.DUMMYFUNCTION("""COMPUTED_VALUE"""),0.0)</f>
        <v>0</v>
      </c>
      <c r="H73" s="2">
        <f>IFERROR(__xludf.DUMMYFUNCTION("""COMPUTED_VALUE"""),2.0)</f>
        <v>2</v>
      </c>
    </row>
    <row r="74" ht="22.5" customHeight="1">
      <c r="A74" s="2" t="str">
        <f>IFERROR(__xludf.DUMMYFUNCTION("""COMPUTED_VALUE"""),"2026-01")</f>
        <v>2026-01</v>
      </c>
      <c r="B74" s="2" t="str">
        <f>IFERROR(__xludf.DUMMYFUNCTION("""COMPUTED_VALUE"""),"DOOR-SUV")</f>
        <v>DOOR-SUV</v>
      </c>
      <c r="C74" s="2">
        <f>IFERROR(__xludf.DUMMYFUNCTION("""COMPUTED_VALUE"""),1032.0)</f>
        <v>1032</v>
      </c>
      <c r="D74" s="2">
        <f>IFERROR(__xludf.DUMMYFUNCTION("""COMPUTED_VALUE"""),199.0)</f>
        <v>199</v>
      </c>
      <c r="E74" s="2">
        <f>IFERROR(__xludf.DUMMYFUNCTION("""COMPUTED_VALUE"""),4.0)</f>
        <v>4</v>
      </c>
      <c r="F74" s="2">
        <f>IFERROR(__xludf.DUMMYFUNCTION("""COMPUTED_VALUE"""),1.0)</f>
        <v>1</v>
      </c>
      <c r="G74" s="2">
        <f>IFERROR(__xludf.DUMMYFUNCTION("""COMPUTED_VALUE"""),1225.0)</f>
        <v>1225</v>
      </c>
      <c r="H74" s="2">
        <f>IFERROR(__xludf.DUMMYFUNCTION("""COMPUTED_VALUE"""),6.0)</f>
        <v>6</v>
      </c>
    </row>
    <row r="75" ht="22.5" customHeight="1">
      <c r="A75" s="2" t="str">
        <f>IFERROR(__xludf.DUMMYFUNCTION("""COMPUTED_VALUE"""),"2026-02")</f>
        <v>2026-02</v>
      </c>
      <c r="B75" s="2" t="str">
        <f>IFERROR(__xludf.DUMMYFUNCTION("""COMPUTED_VALUE"""),"DOOR-SUV")</f>
        <v>DOOR-SUV</v>
      </c>
      <c r="C75" s="2">
        <f>IFERROR(__xludf.DUMMYFUNCTION("""COMPUTED_VALUE"""),6.0)</f>
        <v>6</v>
      </c>
      <c r="D75" s="2">
        <f>IFERROR(__xludf.DUMMYFUNCTION("""COMPUTED_VALUE"""),0.0)</f>
        <v>0</v>
      </c>
      <c r="E75" s="2">
        <f>IFERROR(__xludf.DUMMYFUNCTION("""COMPUTED_VALUE"""),0.0)</f>
        <v>0</v>
      </c>
      <c r="F75" s="2">
        <f>IFERROR(__xludf.DUMMYFUNCTION("""COMPUTED_VALUE"""),0.0)</f>
        <v>0</v>
      </c>
      <c r="G75" s="2">
        <f>IFERROR(__xludf.DUMMYFUNCTION("""COMPUTED_VALUE"""),5.0)</f>
        <v>5</v>
      </c>
      <c r="H75" s="2">
        <f>IFERROR(__xludf.DUMMYFUNCTION("""COMPUTED_VALUE"""),1.0)</f>
        <v>1</v>
      </c>
    </row>
    <row r="76" ht="22.5" customHeight="1">
      <c r="A76" s="2" t="str">
        <f>IFERROR(__xludf.DUMMYFUNCTION("""COMPUTED_VALUE"""),"2026-03")</f>
        <v>2026-03</v>
      </c>
      <c r="B76" s="2" t="str">
        <f>IFERROR(__xludf.DUMMYFUNCTION("""COMPUTED_VALUE"""),"DOOR-SUV")</f>
        <v>DOOR-SUV</v>
      </c>
      <c r="C76" s="2">
        <f>IFERROR(__xludf.DUMMYFUNCTION("""COMPUTED_VALUE"""),1.0)</f>
        <v>1</v>
      </c>
      <c r="D76" s="2">
        <f>IFERROR(__xludf.DUMMYFUNCTION("""COMPUTED_VALUE"""),0.0)</f>
        <v>0</v>
      </c>
      <c r="E76" s="2">
        <f>IFERROR(__xludf.DUMMYFUNCTION("""COMPUTED_VALUE"""),0.0)</f>
        <v>0</v>
      </c>
      <c r="F76" s="2">
        <f>IFERROR(__xludf.DUMMYFUNCTION("""COMPUTED_VALUE"""),0.0)</f>
        <v>0</v>
      </c>
      <c r="G76" s="2">
        <f>IFERROR(__xludf.DUMMYFUNCTION("""COMPUTED_VALUE"""),0.0)</f>
        <v>0</v>
      </c>
      <c r="H76" s="2">
        <f>IFERROR(__xludf.DUMMYFUNCTION("""COMPUTED_VALUE"""),1.0)</f>
        <v>1</v>
      </c>
    </row>
    <row r="77" ht="22.5" customHeight="1">
      <c r="A77" s="2" t="str">
        <f>IFERROR(__xludf.DUMMYFUNCTION("""COMPUTED_VALUE"""),"2026-04")</f>
        <v>2026-04</v>
      </c>
      <c r="B77" s="2" t="str">
        <f>IFERROR(__xludf.DUMMYFUNCTION("""COMPUTED_VALUE"""),"DOOR-SUV")</f>
        <v>DOOR-SUV</v>
      </c>
      <c r="C77" s="2">
        <f>IFERROR(__xludf.DUMMYFUNCTION("""COMPUTED_VALUE"""),1.0)</f>
        <v>1</v>
      </c>
      <c r="D77" s="2">
        <f>IFERROR(__xludf.DUMMYFUNCTION("""COMPUTED_VALUE"""),0.0)</f>
        <v>0</v>
      </c>
      <c r="E77" s="2">
        <f>IFERROR(__xludf.DUMMYFUNCTION("""COMPUTED_VALUE"""),0.0)</f>
        <v>0</v>
      </c>
      <c r="F77" s="2">
        <f>IFERROR(__xludf.DUMMYFUNCTION("""COMPUTED_VALUE"""),0.0)</f>
        <v>0</v>
      </c>
      <c r="G77" s="2">
        <f>IFERROR(__xludf.DUMMYFUNCTION("""COMPUTED_VALUE"""),0.0)</f>
        <v>0</v>
      </c>
      <c r="H77" s="2">
        <f>IFERROR(__xludf.DUMMYFUNCTION("""COMPUTED_VALUE"""),1.0)</f>
        <v>1</v>
      </c>
    </row>
    <row r="78" ht="22.5" customHeight="1">
      <c r="A78" s="2" t="str">
        <f>IFERROR(__xludf.DUMMYFUNCTION("""COMPUTED_VALUE"""),"2026-05")</f>
        <v>2026-05</v>
      </c>
      <c r="B78" s="2" t="str">
        <f>IFERROR(__xludf.DUMMYFUNCTION("""COMPUTED_VALUE"""),"DOOR-SUV")</f>
        <v>DOOR-SUV</v>
      </c>
      <c r="C78" s="2">
        <f>IFERROR(__xludf.DUMMYFUNCTION("""COMPUTED_VALUE"""),1.0)</f>
        <v>1</v>
      </c>
      <c r="D78" s="2">
        <f>IFERROR(__xludf.DUMMYFUNCTION("""COMPUTED_VALUE"""),0.0)</f>
        <v>0</v>
      </c>
      <c r="E78" s="2">
        <f>IFERROR(__xludf.DUMMYFUNCTION("""COMPUTED_VALUE"""),0.0)</f>
        <v>0</v>
      </c>
      <c r="F78" s="2">
        <f>IFERROR(__xludf.DUMMYFUNCTION("""COMPUTED_VALUE"""),0.0)</f>
        <v>0</v>
      </c>
      <c r="G78" s="2">
        <f>IFERROR(__xludf.DUMMYFUNCTION("""COMPUTED_VALUE"""),0.0)</f>
        <v>0</v>
      </c>
      <c r="H78" s="2">
        <f>IFERROR(__xludf.DUMMYFUNCTION("""COMPUTED_VALUE"""),1.0)</f>
        <v>1</v>
      </c>
    </row>
    <row r="79" ht="22.5" customHeight="1">
      <c r="A79" s="2" t="str">
        <f>IFERROR(__xludf.DUMMYFUNCTION("""COMPUTED_VALUE"""),"2026-06")</f>
        <v>2026-06</v>
      </c>
      <c r="B79" s="2" t="str">
        <f>IFERROR(__xludf.DUMMYFUNCTION("""COMPUTED_VALUE"""),"DOOR-SUV")</f>
        <v>DOOR-SUV</v>
      </c>
      <c r="C79" s="2">
        <f>IFERROR(__xludf.DUMMYFUNCTION("""COMPUTED_VALUE"""),1.0)</f>
        <v>1</v>
      </c>
      <c r="D79" s="2">
        <f>IFERROR(__xludf.DUMMYFUNCTION("""COMPUTED_VALUE"""),0.0)</f>
        <v>0</v>
      </c>
      <c r="E79" s="2">
        <f>IFERROR(__xludf.DUMMYFUNCTION("""COMPUTED_VALUE"""),0.0)</f>
        <v>0</v>
      </c>
      <c r="F79" s="2">
        <f>IFERROR(__xludf.DUMMYFUNCTION("""COMPUTED_VALUE"""),0.0)</f>
        <v>0</v>
      </c>
      <c r="G79" s="2">
        <f>IFERROR(__xludf.DUMMYFUNCTION("""COMPUTED_VALUE"""),0.0)</f>
        <v>0</v>
      </c>
      <c r="H79" s="2">
        <f>IFERROR(__xludf.DUMMYFUNCTION("""COMPUTED_VALUE"""),1.0)</f>
        <v>1</v>
      </c>
    </row>
    <row r="80" ht="22.5" customHeight="1">
      <c r="A80" s="2" t="str">
        <f>IFERROR(__xludf.DUMMYFUNCTION("""COMPUTED_VALUE"""),"2026-07")</f>
        <v>2026-07</v>
      </c>
      <c r="B80" s="2" t="str">
        <f>IFERROR(__xludf.DUMMYFUNCTION("""COMPUTED_VALUE"""),"DOOR-SUV")</f>
        <v>DOOR-SUV</v>
      </c>
      <c r="C80" s="2">
        <f>IFERROR(__xludf.DUMMYFUNCTION("""COMPUTED_VALUE"""),1.0)</f>
        <v>1</v>
      </c>
      <c r="D80" s="2">
        <f>IFERROR(__xludf.DUMMYFUNCTION("""COMPUTED_VALUE"""),0.0)</f>
        <v>0</v>
      </c>
      <c r="E80" s="2">
        <f>IFERROR(__xludf.DUMMYFUNCTION("""COMPUTED_VALUE"""),0.0)</f>
        <v>0</v>
      </c>
      <c r="F80" s="2">
        <f>IFERROR(__xludf.DUMMYFUNCTION("""COMPUTED_VALUE"""),0.0)</f>
        <v>0</v>
      </c>
      <c r="G80" s="2">
        <f>IFERROR(__xludf.DUMMYFUNCTION("""COMPUTED_VALUE"""),0.0)</f>
        <v>0</v>
      </c>
      <c r="H80" s="2">
        <f>IFERROR(__xludf.DUMMYFUNCTION("""COMPUTED_VALUE"""),1.0)</f>
        <v>1</v>
      </c>
    </row>
    <row r="81" ht="22.5" customHeight="1">
      <c r="A81" s="2" t="str">
        <f>IFERROR(__xludf.DUMMYFUNCTION("""COMPUTED_VALUE"""),"2026-08")</f>
        <v>2026-08</v>
      </c>
      <c r="B81" s="2" t="str">
        <f>IFERROR(__xludf.DUMMYFUNCTION("""COMPUTED_VALUE"""),"DOOR-SUV")</f>
        <v>DOOR-SUV</v>
      </c>
      <c r="C81" s="2">
        <f>IFERROR(__xludf.DUMMYFUNCTION("""COMPUTED_VALUE"""),1.0)</f>
        <v>1</v>
      </c>
      <c r="D81" s="2">
        <f>IFERROR(__xludf.DUMMYFUNCTION("""COMPUTED_VALUE"""),0.0)</f>
        <v>0</v>
      </c>
      <c r="E81" s="2">
        <f>IFERROR(__xludf.DUMMYFUNCTION("""COMPUTED_VALUE"""),0.0)</f>
        <v>0</v>
      </c>
      <c r="F81" s="2">
        <f>IFERROR(__xludf.DUMMYFUNCTION("""COMPUTED_VALUE"""),0.0)</f>
        <v>0</v>
      </c>
      <c r="G81" s="2">
        <f>IFERROR(__xludf.DUMMYFUNCTION("""COMPUTED_VALUE"""),0.0)</f>
        <v>0</v>
      </c>
      <c r="H81" s="2">
        <f>IFERROR(__xludf.DUMMYFUNCTION("""COMPUTED_VALUE"""),1.0)</f>
        <v>1</v>
      </c>
    </row>
    <row r="82" ht="22.5" customHeight="1">
      <c r="A82" s="2" t="str">
        <f>IFERROR(__xludf.DUMMYFUNCTION("""COMPUTED_VALUE"""),"2026-09")</f>
        <v>2026-09</v>
      </c>
      <c r="B82" s="2" t="str">
        <f>IFERROR(__xludf.DUMMYFUNCTION("""COMPUTED_VALUE"""),"DOOR-SUV")</f>
        <v>DOOR-SUV</v>
      </c>
      <c r="C82" s="2">
        <f>IFERROR(__xludf.DUMMYFUNCTION("""COMPUTED_VALUE"""),1.0)</f>
        <v>1</v>
      </c>
      <c r="D82" s="2">
        <f>IFERROR(__xludf.DUMMYFUNCTION("""COMPUTED_VALUE"""),0.0)</f>
        <v>0</v>
      </c>
      <c r="E82" s="2">
        <f>IFERROR(__xludf.DUMMYFUNCTION("""COMPUTED_VALUE"""),0.0)</f>
        <v>0</v>
      </c>
      <c r="F82" s="2">
        <f>IFERROR(__xludf.DUMMYFUNCTION("""COMPUTED_VALUE"""),0.0)</f>
        <v>0</v>
      </c>
      <c r="G82" s="2">
        <f>IFERROR(__xludf.DUMMYFUNCTION("""COMPUTED_VALUE"""),0.0)</f>
        <v>0</v>
      </c>
      <c r="H82" s="2">
        <f>IFERROR(__xludf.DUMMYFUNCTION("""COMPUTED_VALUE"""),1.0)</f>
        <v>1</v>
      </c>
    </row>
    <row r="83" ht="22.5" customHeight="1">
      <c r="A83" s="2" t="str">
        <f>IFERROR(__xludf.DUMMYFUNCTION("""COMPUTED_VALUE"""),"2026-10")</f>
        <v>2026-10</v>
      </c>
      <c r="B83" s="2" t="str">
        <f>IFERROR(__xludf.DUMMYFUNCTION("""COMPUTED_VALUE"""),"DOOR-SUV")</f>
        <v>DOOR-SUV</v>
      </c>
      <c r="C83" s="2">
        <f>IFERROR(__xludf.DUMMYFUNCTION("""COMPUTED_VALUE"""),1.0)</f>
        <v>1</v>
      </c>
      <c r="D83" s="2">
        <f>IFERROR(__xludf.DUMMYFUNCTION("""COMPUTED_VALUE"""),0.0)</f>
        <v>0</v>
      </c>
      <c r="E83" s="2">
        <f>IFERROR(__xludf.DUMMYFUNCTION("""COMPUTED_VALUE"""),0.0)</f>
        <v>0</v>
      </c>
      <c r="F83" s="2">
        <f>IFERROR(__xludf.DUMMYFUNCTION("""COMPUTED_VALUE"""),0.0)</f>
        <v>0</v>
      </c>
      <c r="G83" s="2">
        <f>IFERROR(__xludf.DUMMYFUNCTION("""COMPUTED_VALUE"""),0.0)</f>
        <v>0</v>
      </c>
      <c r="H83" s="2">
        <f>IFERROR(__xludf.DUMMYFUNCTION("""COMPUTED_VALUE"""),1.0)</f>
        <v>1</v>
      </c>
    </row>
    <row r="84" ht="22.5" customHeight="1">
      <c r="A84" s="2" t="str">
        <f>IFERROR(__xludf.DUMMYFUNCTION("""COMPUTED_VALUE"""),"2026-11")</f>
        <v>2026-11</v>
      </c>
      <c r="B84" s="2" t="str">
        <f>IFERROR(__xludf.DUMMYFUNCTION("""COMPUTED_VALUE"""),"DOOR-SUV")</f>
        <v>DOOR-SUV</v>
      </c>
      <c r="C84" s="2">
        <f>IFERROR(__xludf.DUMMYFUNCTION("""COMPUTED_VALUE"""),1.0)</f>
        <v>1</v>
      </c>
      <c r="D84" s="2">
        <f>IFERROR(__xludf.DUMMYFUNCTION("""COMPUTED_VALUE"""),0.0)</f>
        <v>0</v>
      </c>
      <c r="E84" s="2">
        <f>IFERROR(__xludf.DUMMYFUNCTION("""COMPUTED_VALUE"""),0.0)</f>
        <v>0</v>
      </c>
      <c r="F84" s="2">
        <f>IFERROR(__xludf.DUMMYFUNCTION("""COMPUTED_VALUE"""),0.0)</f>
        <v>0</v>
      </c>
      <c r="G84" s="2">
        <f>IFERROR(__xludf.DUMMYFUNCTION("""COMPUTED_VALUE"""),0.0)</f>
        <v>0</v>
      </c>
      <c r="H84" s="2">
        <f>IFERROR(__xludf.DUMMYFUNCTION("""COMPUTED_VALUE"""),1.0)</f>
        <v>1</v>
      </c>
    </row>
    <row r="85" ht="22.5" customHeight="1">
      <c r="A85" s="2" t="str">
        <f>IFERROR(__xludf.DUMMYFUNCTION("""COMPUTED_VALUE"""),"2026-12")</f>
        <v>2026-12</v>
      </c>
      <c r="B85" s="2" t="str">
        <f>IFERROR(__xludf.DUMMYFUNCTION("""COMPUTED_VALUE"""),"DOOR-SUV")</f>
        <v>DOOR-SUV</v>
      </c>
      <c r="C85" s="2">
        <f>IFERROR(__xludf.DUMMYFUNCTION("""COMPUTED_VALUE"""),1.0)</f>
        <v>1</v>
      </c>
      <c r="D85" s="2">
        <f>IFERROR(__xludf.DUMMYFUNCTION("""COMPUTED_VALUE"""),0.0)</f>
        <v>0</v>
      </c>
      <c r="E85" s="2">
        <f>IFERROR(__xludf.DUMMYFUNCTION("""COMPUTED_VALUE"""),0.0)</f>
        <v>0</v>
      </c>
      <c r="F85" s="2">
        <f>IFERROR(__xludf.DUMMYFUNCTION("""COMPUTED_VALUE"""),0.0)</f>
        <v>0</v>
      </c>
      <c r="G85" s="2">
        <f>IFERROR(__xludf.DUMMYFUNCTION("""COMPUTED_VALUE"""),0.0)</f>
        <v>0</v>
      </c>
      <c r="H85" s="2">
        <f>IFERROR(__xludf.DUMMYFUNCTION("""COMPUTED_VALUE"""),1.0)</f>
        <v>1</v>
      </c>
    </row>
    <row r="86" ht="22.5" customHeight="1">
      <c r="A86" s="2" t="str">
        <f>IFERROR(__xludf.DUMMYFUNCTION("""COMPUTED_VALUE"""),"2026-01")</f>
        <v>2026-01</v>
      </c>
      <c r="B86" s="2" t="str">
        <f>IFERROR(__xludf.DUMMYFUNCTION("""COMPUTED_VALUE"""),"DOOR-SUV - LX")</f>
        <v>DOOR-SUV - LX</v>
      </c>
      <c r="C86" s="2">
        <f>IFERROR(__xludf.DUMMYFUNCTION("""COMPUTED_VALUE"""),868.0)</f>
        <v>868</v>
      </c>
      <c r="D86" s="2">
        <f>IFERROR(__xludf.DUMMYFUNCTION("""COMPUTED_VALUE"""),102.0)</f>
        <v>102</v>
      </c>
      <c r="E86" s="2">
        <f>IFERROR(__xludf.DUMMYFUNCTION("""COMPUTED_VALUE"""),3.0)</f>
        <v>3</v>
      </c>
      <c r="F86" s="2">
        <f>IFERROR(__xludf.DUMMYFUNCTION("""COMPUTED_VALUE"""),3.0)</f>
        <v>3</v>
      </c>
      <c r="G86" s="2">
        <f>IFERROR(__xludf.DUMMYFUNCTION("""COMPUTED_VALUE"""),970.0)</f>
        <v>970</v>
      </c>
      <c r="H86" s="2">
        <f>IFERROR(__xludf.DUMMYFUNCTION("""COMPUTED_VALUE"""),0.0)</f>
        <v>0</v>
      </c>
    </row>
    <row r="87" ht="22.5" customHeight="1">
      <c r="A87" s="2" t="str">
        <f>IFERROR(__xludf.DUMMYFUNCTION("""COMPUTED_VALUE"""),"2026-02")</f>
        <v>2026-02</v>
      </c>
      <c r="B87" s="2" t="str">
        <f>IFERROR(__xludf.DUMMYFUNCTION("""COMPUTED_VALUE"""),"DOOR-SUV - LX")</f>
        <v>DOOR-SUV - LX</v>
      </c>
      <c r="C87" s="2">
        <f>IFERROR(__xludf.DUMMYFUNCTION("""COMPUTED_VALUE"""),0.0)</f>
        <v>0</v>
      </c>
      <c r="D87" s="2">
        <f>IFERROR(__xludf.DUMMYFUNCTION("""COMPUTED_VALUE"""),1120.0)</f>
        <v>1120</v>
      </c>
      <c r="E87" s="2">
        <f>IFERROR(__xludf.DUMMYFUNCTION("""COMPUTED_VALUE"""),32.0)</f>
        <v>32</v>
      </c>
      <c r="F87" s="2">
        <f>IFERROR(__xludf.DUMMYFUNCTION("""COMPUTED_VALUE"""),0.0)</f>
        <v>0</v>
      </c>
      <c r="G87" s="2">
        <f>IFERROR(__xludf.DUMMYFUNCTION("""COMPUTED_VALUE"""),1120.0)</f>
        <v>1120</v>
      </c>
      <c r="H87" s="2">
        <f>IFERROR(__xludf.DUMMYFUNCTION("""COMPUTED_VALUE"""),0.0)</f>
        <v>0</v>
      </c>
    </row>
    <row r="88" ht="22.5" customHeight="1">
      <c r="A88" s="2" t="str">
        <f>IFERROR(__xludf.DUMMYFUNCTION("""COMPUTED_VALUE"""),"2026-03")</f>
        <v>2026-03</v>
      </c>
      <c r="B88" s="2" t="str">
        <f>IFERROR(__xludf.DUMMYFUNCTION("""COMPUTED_VALUE"""),"DOOR-SUV - LX")</f>
        <v>DOOR-SUV - LX</v>
      </c>
      <c r="C88" s="2">
        <f>IFERROR(__xludf.DUMMYFUNCTION("""COMPUTED_VALUE"""),0.0)</f>
        <v>0</v>
      </c>
      <c r="D88" s="2">
        <f>IFERROR(__xludf.DUMMYFUNCTION("""COMPUTED_VALUE"""),0.0)</f>
        <v>0</v>
      </c>
      <c r="E88" s="2">
        <f>IFERROR(__xludf.DUMMYFUNCTION("""COMPUTED_VALUE"""),0.0)</f>
        <v>0</v>
      </c>
      <c r="F88" s="2">
        <f>IFERROR(__xludf.DUMMYFUNCTION("""COMPUTED_VALUE"""),0.0)</f>
        <v>0</v>
      </c>
      <c r="G88" s="2">
        <f>IFERROR(__xludf.DUMMYFUNCTION("""COMPUTED_VALUE"""),0.0)</f>
        <v>0</v>
      </c>
      <c r="H88" s="2">
        <f>IFERROR(__xludf.DUMMYFUNCTION("""COMPUTED_VALUE"""),0.0)</f>
        <v>0</v>
      </c>
    </row>
    <row r="89" ht="22.5" customHeight="1">
      <c r="A89" s="2" t="str">
        <f>IFERROR(__xludf.DUMMYFUNCTION("""COMPUTED_VALUE"""),"2026-04")</f>
        <v>2026-04</v>
      </c>
      <c r="B89" s="2" t="str">
        <f>IFERROR(__xludf.DUMMYFUNCTION("""COMPUTED_VALUE"""),"DOOR-SUV - LX")</f>
        <v>DOOR-SUV - LX</v>
      </c>
      <c r="C89" s="2">
        <f>IFERROR(__xludf.DUMMYFUNCTION("""COMPUTED_VALUE"""),0.0)</f>
        <v>0</v>
      </c>
      <c r="D89" s="2">
        <f>IFERROR(__xludf.DUMMYFUNCTION("""COMPUTED_VALUE"""),0.0)</f>
        <v>0</v>
      </c>
      <c r="E89" s="2">
        <f>IFERROR(__xludf.DUMMYFUNCTION("""COMPUTED_VALUE"""),0.0)</f>
        <v>0</v>
      </c>
      <c r="F89" s="2">
        <f>IFERROR(__xludf.DUMMYFUNCTION("""COMPUTED_VALUE"""),0.0)</f>
        <v>0</v>
      </c>
      <c r="G89" s="2">
        <f>IFERROR(__xludf.DUMMYFUNCTION("""COMPUTED_VALUE"""),0.0)</f>
        <v>0</v>
      </c>
      <c r="H89" s="2">
        <f>IFERROR(__xludf.DUMMYFUNCTION("""COMPUTED_VALUE"""),0.0)</f>
        <v>0</v>
      </c>
    </row>
    <row r="90" ht="22.5" customHeight="1">
      <c r="A90" s="2" t="str">
        <f>IFERROR(__xludf.DUMMYFUNCTION("""COMPUTED_VALUE"""),"2026-05")</f>
        <v>2026-05</v>
      </c>
      <c r="B90" s="2" t="str">
        <f>IFERROR(__xludf.DUMMYFUNCTION("""COMPUTED_VALUE"""),"DOOR-SUV - LX")</f>
        <v>DOOR-SUV - LX</v>
      </c>
      <c r="C90" s="2">
        <f>IFERROR(__xludf.DUMMYFUNCTION("""COMPUTED_VALUE"""),0.0)</f>
        <v>0</v>
      </c>
      <c r="D90" s="2">
        <f>IFERROR(__xludf.DUMMYFUNCTION("""COMPUTED_VALUE"""),0.0)</f>
        <v>0</v>
      </c>
      <c r="E90" s="2">
        <f>IFERROR(__xludf.DUMMYFUNCTION("""COMPUTED_VALUE"""),0.0)</f>
        <v>0</v>
      </c>
      <c r="F90" s="2">
        <f>IFERROR(__xludf.DUMMYFUNCTION("""COMPUTED_VALUE"""),0.0)</f>
        <v>0</v>
      </c>
      <c r="G90" s="2">
        <f>IFERROR(__xludf.DUMMYFUNCTION("""COMPUTED_VALUE"""),0.0)</f>
        <v>0</v>
      </c>
      <c r="H90" s="2">
        <f>IFERROR(__xludf.DUMMYFUNCTION("""COMPUTED_VALUE"""),0.0)</f>
        <v>0</v>
      </c>
    </row>
    <row r="91" ht="22.5" customHeight="1">
      <c r="A91" s="2" t="str">
        <f>IFERROR(__xludf.DUMMYFUNCTION("""COMPUTED_VALUE"""),"2026-06")</f>
        <v>2026-06</v>
      </c>
      <c r="B91" s="2" t="str">
        <f>IFERROR(__xludf.DUMMYFUNCTION("""COMPUTED_VALUE"""),"DOOR-SUV - LX")</f>
        <v>DOOR-SUV - LX</v>
      </c>
      <c r="C91" s="2">
        <f>IFERROR(__xludf.DUMMYFUNCTION("""COMPUTED_VALUE"""),0.0)</f>
        <v>0</v>
      </c>
      <c r="D91" s="2">
        <f>IFERROR(__xludf.DUMMYFUNCTION("""COMPUTED_VALUE"""),0.0)</f>
        <v>0</v>
      </c>
      <c r="E91" s="2">
        <f>IFERROR(__xludf.DUMMYFUNCTION("""COMPUTED_VALUE"""),0.0)</f>
        <v>0</v>
      </c>
      <c r="F91" s="2">
        <f>IFERROR(__xludf.DUMMYFUNCTION("""COMPUTED_VALUE"""),0.0)</f>
        <v>0</v>
      </c>
      <c r="G91" s="2">
        <f>IFERROR(__xludf.DUMMYFUNCTION("""COMPUTED_VALUE"""),0.0)</f>
        <v>0</v>
      </c>
      <c r="H91" s="2">
        <f>IFERROR(__xludf.DUMMYFUNCTION("""COMPUTED_VALUE"""),0.0)</f>
        <v>0</v>
      </c>
    </row>
    <row r="92" ht="22.5" customHeight="1">
      <c r="A92" s="2" t="str">
        <f>IFERROR(__xludf.DUMMYFUNCTION("""COMPUTED_VALUE"""),"2026-07")</f>
        <v>2026-07</v>
      </c>
      <c r="B92" s="2" t="str">
        <f>IFERROR(__xludf.DUMMYFUNCTION("""COMPUTED_VALUE"""),"DOOR-SUV - LX")</f>
        <v>DOOR-SUV - LX</v>
      </c>
      <c r="C92" s="2">
        <f>IFERROR(__xludf.DUMMYFUNCTION("""COMPUTED_VALUE"""),0.0)</f>
        <v>0</v>
      </c>
      <c r="D92" s="2">
        <f>IFERROR(__xludf.DUMMYFUNCTION("""COMPUTED_VALUE"""),0.0)</f>
        <v>0</v>
      </c>
      <c r="E92" s="2">
        <f>IFERROR(__xludf.DUMMYFUNCTION("""COMPUTED_VALUE"""),0.0)</f>
        <v>0</v>
      </c>
      <c r="F92" s="2">
        <f>IFERROR(__xludf.DUMMYFUNCTION("""COMPUTED_VALUE"""),0.0)</f>
        <v>0</v>
      </c>
      <c r="G92" s="2">
        <f>IFERROR(__xludf.DUMMYFUNCTION("""COMPUTED_VALUE"""),0.0)</f>
        <v>0</v>
      </c>
      <c r="H92" s="2">
        <f>IFERROR(__xludf.DUMMYFUNCTION("""COMPUTED_VALUE"""),0.0)</f>
        <v>0</v>
      </c>
    </row>
    <row r="93" ht="22.5" customHeight="1">
      <c r="A93" s="2" t="str">
        <f>IFERROR(__xludf.DUMMYFUNCTION("""COMPUTED_VALUE"""),"2026-08")</f>
        <v>2026-08</v>
      </c>
      <c r="B93" s="2" t="str">
        <f>IFERROR(__xludf.DUMMYFUNCTION("""COMPUTED_VALUE"""),"DOOR-SUV - LX")</f>
        <v>DOOR-SUV - LX</v>
      </c>
      <c r="C93" s="2">
        <f>IFERROR(__xludf.DUMMYFUNCTION("""COMPUTED_VALUE"""),0.0)</f>
        <v>0</v>
      </c>
      <c r="D93" s="2">
        <f>IFERROR(__xludf.DUMMYFUNCTION("""COMPUTED_VALUE"""),0.0)</f>
        <v>0</v>
      </c>
      <c r="E93" s="2">
        <f>IFERROR(__xludf.DUMMYFUNCTION("""COMPUTED_VALUE"""),0.0)</f>
        <v>0</v>
      </c>
      <c r="F93" s="2">
        <f>IFERROR(__xludf.DUMMYFUNCTION("""COMPUTED_VALUE"""),0.0)</f>
        <v>0</v>
      </c>
      <c r="G93" s="2">
        <f>IFERROR(__xludf.DUMMYFUNCTION("""COMPUTED_VALUE"""),0.0)</f>
        <v>0</v>
      </c>
      <c r="H93" s="2">
        <f>IFERROR(__xludf.DUMMYFUNCTION("""COMPUTED_VALUE"""),0.0)</f>
        <v>0</v>
      </c>
    </row>
    <row r="94" ht="22.5" customHeight="1">
      <c r="A94" s="2" t="str">
        <f>IFERROR(__xludf.DUMMYFUNCTION("""COMPUTED_VALUE"""),"2026-09")</f>
        <v>2026-09</v>
      </c>
      <c r="B94" s="2" t="str">
        <f>IFERROR(__xludf.DUMMYFUNCTION("""COMPUTED_VALUE"""),"DOOR-SUV - LX")</f>
        <v>DOOR-SUV - LX</v>
      </c>
      <c r="C94" s="2">
        <f>IFERROR(__xludf.DUMMYFUNCTION("""COMPUTED_VALUE"""),0.0)</f>
        <v>0</v>
      </c>
      <c r="D94" s="2">
        <f>IFERROR(__xludf.DUMMYFUNCTION("""COMPUTED_VALUE"""),0.0)</f>
        <v>0</v>
      </c>
      <c r="E94" s="2">
        <f>IFERROR(__xludf.DUMMYFUNCTION("""COMPUTED_VALUE"""),0.0)</f>
        <v>0</v>
      </c>
      <c r="F94" s="2">
        <f>IFERROR(__xludf.DUMMYFUNCTION("""COMPUTED_VALUE"""),0.0)</f>
        <v>0</v>
      </c>
      <c r="G94" s="2">
        <f>IFERROR(__xludf.DUMMYFUNCTION("""COMPUTED_VALUE"""),0.0)</f>
        <v>0</v>
      </c>
      <c r="H94" s="2">
        <f>IFERROR(__xludf.DUMMYFUNCTION("""COMPUTED_VALUE"""),0.0)</f>
        <v>0</v>
      </c>
    </row>
    <row r="95" ht="22.5" customHeight="1">
      <c r="A95" s="2" t="str">
        <f>IFERROR(__xludf.DUMMYFUNCTION("""COMPUTED_VALUE"""),"2026-10")</f>
        <v>2026-10</v>
      </c>
      <c r="B95" s="2" t="str">
        <f>IFERROR(__xludf.DUMMYFUNCTION("""COMPUTED_VALUE"""),"DOOR-SUV - LX")</f>
        <v>DOOR-SUV - LX</v>
      </c>
      <c r="C95" s="2">
        <f>IFERROR(__xludf.DUMMYFUNCTION("""COMPUTED_VALUE"""),0.0)</f>
        <v>0</v>
      </c>
      <c r="D95" s="2">
        <f>IFERROR(__xludf.DUMMYFUNCTION("""COMPUTED_VALUE"""),0.0)</f>
        <v>0</v>
      </c>
      <c r="E95" s="2">
        <f>IFERROR(__xludf.DUMMYFUNCTION("""COMPUTED_VALUE"""),0.0)</f>
        <v>0</v>
      </c>
      <c r="F95" s="2">
        <f>IFERROR(__xludf.DUMMYFUNCTION("""COMPUTED_VALUE"""),0.0)</f>
        <v>0</v>
      </c>
      <c r="G95" s="2">
        <f>IFERROR(__xludf.DUMMYFUNCTION("""COMPUTED_VALUE"""),0.0)</f>
        <v>0</v>
      </c>
      <c r="H95" s="2">
        <f>IFERROR(__xludf.DUMMYFUNCTION("""COMPUTED_VALUE"""),0.0)</f>
        <v>0</v>
      </c>
    </row>
    <row r="96" ht="22.5" customHeight="1">
      <c r="A96" s="2" t="str">
        <f>IFERROR(__xludf.DUMMYFUNCTION("""COMPUTED_VALUE"""),"2026-11")</f>
        <v>2026-11</v>
      </c>
      <c r="B96" s="2" t="str">
        <f>IFERROR(__xludf.DUMMYFUNCTION("""COMPUTED_VALUE"""),"DOOR-SUV - LX")</f>
        <v>DOOR-SUV - LX</v>
      </c>
      <c r="C96" s="2">
        <f>IFERROR(__xludf.DUMMYFUNCTION("""COMPUTED_VALUE"""),0.0)</f>
        <v>0</v>
      </c>
      <c r="D96" s="2">
        <f>IFERROR(__xludf.DUMMYFUNCTION("""COMPUTED_VALUE"""),0.0)</f>
        <v>0</v>
      </c>
      <c r="E96" s="2">
        <f>IFERROR(__xludf.DUMMYFUNCTION("""COMPUTED_VALUE"""),0.0)</f>
        <v>0</v>
      </c>
      <c r="F96" s="2">
        <f>IFERROR(__xludf.DUMMYFUNCTION("""COMPUTED_VALUE"""),0.0)</f>
        <v>0</v>
      </c>
      <c r="G96" s="2">
        <f>IFERROR(__xludf.DUMMYFUNCTION("""COMPUTED_VALUE"""),0.0)</f>
        <v>0</v>
      </c>
      <c r="H96" s="2">
        <f>IFERROR(__xludf.DUMMYFUNCTION("""COMPUTED_VALUE"""),0.0)</f>
        <v>0</v>
      </c>
    </row>
    <row r="97" ht="22.5" customHeight="1">
      <c r="A97" s="2" t="str">
        <f>IFERROR(__xludf.DUMMYFUNCTION("""COMPUTED_VALUE"""),"2026-12")</f>
        <v>2026-12</v>
      </c>
      <c r="B97" s="2" t="str">
        <f>IFERROR(__xludf.DUMMYFUNCTION("""COMPUTED_VALUE"""),"DOOR-SUV - LX")</f>
        <v>DOOR-SUV - LX</v>
      </c>
      <c r="C97" s="2">
        <f>IFERROR(__xludf.DUMMYFUNCTION("""COMPUTED_VALUE"""),0.0)</f>
        <v>0</v>
      </c>
      <c r="D97" s="2">
        <f>IFERROR(__xludf.DUMMYFUNCTION("""COMPUTED_VALUE"""),0.0)</f>
        <v>0</v>
      </c>
      <c r="E97" s="2">
        <f>IFERROR(__xludf.DUMMYFUNCTION("""COMPUTED_VALUE"""),0.0)</f>
        <v>0</v>
      </c>
      <c r="F97" s="2">
        <f>IFERROR(__xludf.DUMMYFUNCTION("""COMPUTED_VALUE"""),0.0)</f>
        <v>0</v>
      </c>
      <c r="G97" s="2">
        <f>IFERROR(__xludf.DUMMYFUNCTION("""COMPUTED_VALUE"""),0.0)</f>
        <v>0</v>
      </c>
      <c r="H97" s="2">
        <f>IFERROR(__xludf.DUMMYFUNCTION("""COMPUTED_VALUE"""),0.0)</f>
        <v>0</v>
      </c>
    </row>
    <row r="98" ht="22.5" customHeight="1">
      <c r="A98" s="2" t="str">
        <f>IFERROR(__xludf.DUMMYFUNCTION("""COMPUTED_VALUE"""),"2026-01")</f>
        <v>2026-01</v>
      </c>
      <c r="B98" s="2" t="str">
        <f>IFERROR(__xludf.DUMMYFUNCTION("""COMPUTED_VALUE"""),"FRAME-SD")</f>
        <v>FRAME-SD</v>
      </c>
      <c r="C98" s="2">
        <f>IFERROR(__xludf.DUMMYFUNCTION("""COMPUTED_VALUE"""),900.0)</f>
        <v>900</v>
      </c>
      <c r="D98" s="2">
        <f>IFERROR(__xludf.DUMMYFUNCTION("""COMPUTED_VALUE"""),0.0)</f>
        <v>0</v>
      </c>
      <c r="E98" s="2">
        <f>IFERROR(__xludf.DUMMYFUNCTION("""COMPUTED_VALUE"""),0.0)</f>
        <v>0</v>
      </c>
      <c r="F98" s="2">
        <f>IFERROR(__xludf.DUMMYFUNCTION("""COMPUTED_VALUE"""),0.0)</f>
        <v>0</v>
      </c>
      <c r="G98" s="2">
        <f>IFERROR(__xludf.DUMMYFUNCTION("""COMPUTED_VALUE"""),591.0)</f>
        <v>591</v>
      </c>
      <c r="H98" s="2">
        <f>IFERROR(__xludf.DUMMYFUNCTION("""COMPUTED_VALUE"""),309.0)</f>
        <v>309</v>
      </c>
    </row>
    <row r="99" ht="22.5" customHeight="1">
      <c r="A99" s="2" t="str">
        <f>IFERROR(__xludf.DUMMYFUNCTION("""COMPUTED_VALUE"""),"2026-02")</f>
        <v>2026-02</v>
      </c>
      <c r="B99" s="2" t="str">
        <f>IFERROR(__xludf.DUMMYFUNCTION("""COMPUTED_VALUE"""),"FRAME-SD")</f>
        <v>FRAME-SD</v>
      </c>
      <c r="C99" s="2">
        <f>IFERROR(__xludf.DUMMYFUNCTION("""COMPUTED_VALUE"""),309.0)</f>
        <v>309</v>
      </c>
      <c r="D99" s="2">
        <f>IFERROR(__xludf.DUMMYFUNCTION("""COMPUTED_VALUE"""),0.0)</f>
        <v>0</v>
      </c>
      <c r="E99" s="2">
        <f>IFERROR(__xludf.DUMMYFUNCTION("""COMPUTED_VALUE"""),0.0)</f>
        <v>0</v>
      </c>
      <c r="F99" s="2">
        <f>IFERROR(__xludf.DUMMYFUNCTION("""COMPUTED_VALUE"""),0.0)</f>
        <v>0</v>
      </c>
      <c r="G99" s="2">
        <f>IFERROR(__xludf.DUMMYFUNCTION("""COMPUTED_VALUE"""),309.0)</f>
        <v>309</v>
      </c>
      <c r="H99" s="2">
        <f>IFERROR(__xludf.DUMMYFUNCTION("""COMPUTED_VALUE"""),0.0)</f>
        <v>0</v>
      </c>
    </row>
    <row r="100" ht="22.5" customHeight="1">
      <c r="A100" s="2" t="str">
        <f>IFERROR(__xludf.DUMMYFUNCTION("""COMPUTED_VALUE"""),"2026-03")</f>
        <v>2026-03</v>
      </c>
      <c r="B100" s="2" t="str">
        <f>IFERROR(__xludf.DUMMYFUNCTION("""COMPUTED_VALUE"""),"FRAME-SD")</f>
        <v>FRAME-SD</v>
      </c>
      <c r="C100" s="2">
        <f>IFERROR(__xludf.DUMMYFUNCTION("""COMPUTED_VALUE"""),0.0)</f>
        <v>0</v>
      </c>
      <c r="D100" s="2">
        <f>IFERROR(__xludf.DUMMYFUNCTION("""COMPUTED_VALUE"""),0.0)</f>
        <v>0</v>
      </c>
      <c r="E100" s="2">
        <f>IFERROR(__xludf.DUMMYFUNCTION("""COMPUTED_VALUE"""),0.0)</f>
        <v>0</v>
      </c>
      <c r="F100" s="2">
        <f>IFERROR(__xludf.DUMMYFUNCTION("""COMPUTED_VALUE"""),0.0)</f>
        <v>0</v>
      </c>
      <c r="G100" s="2">
        <f>IFERROR(__xludf.DUMMYFUNCTION("""COMPUTED_VALUE"""),0.0)</f>
        <v>0</v>
      </c>
      <c r="H100" s="2">
        <f>IFERROR(__xludf.DUMMYFUNCTION("""COMPUTED_VALUE"""),0.0)</f>
        <v>0</v>
      </c>
    </row>
    <row r="101" ht="22.5" customHeight="1">
      <c r="A101" s="2" t="str">
        <f>IFERROR(__xludf.DUMMYFUNCTION("""COMPUTED_VALUE"""),"2026-04")</f>
        <v>2026-04</v>
      </c>
      <c r="B101" s="2" t="str">
        <f>IFERROR(__xludf.DUMMYFUNCTION("""COMPUTED_VALUE"""),"FRAME-SD")</f>
        <v>FRAME-SD</v>
      </c>
      <c r="C101" s="2">
        <f>IFERROR(__xludf.DUMMYFUNCTION("""COMPUTED_VALUE"""),0.0)</f>
        <v>0</v>
      </c>
      <c r="D101" s="2">
        <f>IFERROR(__xludf.DUMMYFUNCTION("""COMPUTED_VALUE"""),0.0)</f>
        <v>0</v>
      </c>
      <c r="E101" s="2">
        <f>IFERROR(__xludf.DUMMYFUNCTION("""COMPUTED_VALUE"""),0.0)</f>
        <v>0</v>
      </c>
      <c r="F101" s="2">
        <f>IFERROR(__xludf.DUMMYFUNCTION("""COMPUTED_VALUE"""),0.0)</f>
        <v>0</v>
      </c>
      <c r="G101" s="2">
        <f>IFERROR(__xludf.DUMMYFUNCTION("""COMPUTED_VALUE"""),0.0)</f>
        <v>0</v>
      </c>
      <c r="H101" s="2">
        <f>IFERROR(__xludf.DUMMYFUNCTION("""COMPUTED_VALUE"""),0.0)</f>
        <v>0</v>
      </c>
    </row>
    <row r="102" ht="22.5" customHeight="1">
      <c r="A102" s="2" t="str">
        <f>IFERROR(__xludf.DUMMYFUNCTION("""COMPUTED_VALUE"""),"2026-05")</f>
        <v>2026-05</v>
      </c>
      <c r="B102" s="2" t="str">
        <f>IFERROR(__xludf.DUMMYFUNCTION("""COMPUTED_VALUE"""),"FRAME-SD")</f>
        <v>FRAME-SD</v>
      </c>
      <c r="C102" s="2">
        <f>IFERROR(__xludf.DUMMYFUNCTION("""COMPUTED_VALUE"""),0.0)</f>
        <v>0</v>
      </c>
      <c r="D102" s="2">
        <f>IFERROR(__xludf.DUMMYFUNCTION("""COMPUTED_VALUE"""),0.0)</f>
        <v>0</v>
      </c>
      <c r="E102" s="2">
        <f>IFERROR(__xludf.DUMMYFUNCTION("""COMPUTED_VALUE"""),0.0)</f>
        <v>0</v>
      </c>
      <c r="F102" s="2">
        <f>IFERROR(__xludf.DUMMYFUNCTION("""COMPUTED_VALUE"""),0.0)</f>
        <v>0</v>
      </c>
      <c r="G102" s="2">
        <f>IFERROR(__xludf.DUMMYFUNCTION("""COMPUTED_VALUE"""),0.0)</f>
        <v>0</v>
      </c>
      <c r="H102" s="2">
        <f>IFERROR(__xludf.DUMMYFUNCTION("""COMPUTED_VALUE"""),0.0)</f>
        <v>0</v>
      </c>
    </row>
    <row r="103" ht="22.5" customHeight="1">
      <c r="A103" s="2" t="str">
        <f>IFERROR(__xludf.DUMMYFUNCTION("""COMPUTED_VALUE"""),"2026-06")</f>
        <v>2026-06</v>
      </c>
      <c r="B103" s="2" t="str">
        <f>IFERROR(__xludf.DUMMYFUNCTION("""COMPUTED_VALUE"""),"FRAME-SD")</f>
        <v>FRAME-SD</v>
      </c>
      <c r="C103" s="2">
        <f>IFERROR(__xludf.DUMMYFUNCTION("""COMPUTED_VALUE"""),0.0)</f>
        <v>0</v>
      </c>
      <c r="D103" s="2">
        <f>IFERROR(__xludf.DUMMYFUNCTION("""COMPUTED_VALUE"""),0.0)</f>
        <v>0</v>
      </c>
      <c r="E103" s="2">
        <f>IFERROR(__xludf.DUMMYFUNCTION("""COMPUTED_VALUE"""),0.0)</f>
        <v>0</v>
      </c>
      <c r="F103" s="2">
        <f>IFERROR(__xludf.DUMMYFUNCTION("""COMPUTED_VALUE"""),0.0)</f>
        <v>0</v>
      </c>
      <c r="G103" s="2">
        <f>IFERROR(__xludf.DUMMYFUNCTION("""COMPUTED_VALUE"""),0.0)</f>
        <v>0</v>
      </c>
      <c r="H103" s="2">
        <f>IFERROR(__xludf.DUMMYFUNCTION("""COMPUTED_VALUE"""),0.0)</f>
        <v>0</v>
      </c>
    </row>
    <row r="104" ht="22.5" customHeight="1">
      <c r="A104" s="2" t="str">
        <f>IFERROR(__xludf.DUMMYFUNCTION("""COMPUTED_VALUE"""),"2026-07")</f>
        <v>2026-07</v>
      </c>
      <c r="B104" s="2" t="str">
        <f>IFERROR(__xludf.DUMMYFUNCTION("""COMPUTED_VALUE"""),"FRAME-SD")</f>
        <v>FRAME-SD</v>
      </c>
      <c r="C104" s="2">
        <f>IFERROR(__xludf.DUMMYFUNCTION("""COMPUTED_VALUE"""),0.0)</f>
        <v>0</v>
      </c>
      <c r="D104" s="2">
        <f>IFERROR(__xludf.DUMMYFUNCTION("""COMPUTED_VALUE"""),0.0)</f>
        <v>0</v>
      </c>
      <c r="E104" s="2">
        <f>IFERROR(__xludf.DUMMYFUNCTION("""COMPUTED_VALUE"""),0.0)</f>
        <v>0</v>
      </c>
      <c r="F104" s="2">
        <f>IFERROR(__xludf.DUMMYFUNCTION("""COMPUTED_VALUE"""),0.0)</f>
        <v>0</v>
      </c>
      <c r="G104" s="2">
        <f>IFERROR(__xludf.DUMMYFUNCTION("""COMPUTED_VALUE"""),0.0)</f>
        <v>0</v>
      </c>
      <c r="H104" s="2">
        <f>IFERROR(__xludf.DUMMYFUNCTION("""COMPUTED_VALUE"""),0.0)</f>
        <v>0</v>
      </c>
    </row>
    <row r="105" ht="22.5" customHeight="1">
      <c r="A105" s="2" t="str">
        <f>IFERROR(__xludf.DUMMYFUNCTION("""COMPUTED_VALUE"""),"2026-08")</f>
        <v>2026-08</v>
      </c>
      <c r="B105" s="2" t="str">
        <f>IFERROR(__xludf.DUMMYFUNCTION("""COMPUTED_VALUE"""),"FRAME-SD")</f>
        <v>FRAME-SD</v>
      </c>
      <c r="C105" s="2">
        <f>IFERROR(__xludf.DUMMYFUNCTION("""COMPUTED_VALUE"""),0.0)</f>
        <v>0</v>
      </c>
      <c r="D105" s="2">
        <f>IFERROR(__xludf.DUMMYFUNCTION("""COMPUTED_VALUE"""),0.0)</f>
        <v>0</v>
      </c>
      <c r="E105" s="2">
        <f>IFERROR(__xludf.DUMMYFUNCTION("""COMPUTED_VALUE"""),0.0)</f>
        <v>0</v>
      </c>
      <c r="F105" s="2">
        <f>IFERROR(__xludf.DUMMYFUNCTION("""COMPUTED_VALUE"""),0.0)</f>
        <v>0</v>
      </c>
      <c r="G105" s="2">
        <f>IFERROR(__xludf.DUMMYFUNCTION("""COMPUTED_VALUE"""),0.0)</f>
        <v>0</v>
      </c>
      <c r="H105" s="2">
        <f>IFERROR(__xludf.DUMMYFUNCTION("""COMPUTED_VALUE"""),0.0)</f>
        <v>0</v>
      </c>
    </row>
    <row r="106" ht="22.5" customHeight="1">
      <c r="A106" s="2" t="str">
        <f>IFERROR(__xludf.DUMMYFUNCTION("""COMPUTED_VALUE"""),"2026-09")</f>
        <v>2026-09</v>
      </c>
      <c r="B106" s="2" t="str">
        <f>IFERROR(__xludf.DUMMYFUNCTION("""COMPUTED_VALUE"""),"FRAME-SD")</f>
        <v>FRAME-SD</v>
      </c>
      <c r="C106" s="2">
        <f>IFERROR(__xludf.DUMMYFUNCTION("""COMPUTED_VALUE"""),0.0)</f>
        <v>0</v>
      </c>
      <c r="D106" s="2">
        <f>IFERROR(__xludf.DUMMYFUNCTION("""COMPUTED_VALUE"""),0.0)</f>
        <v>0</v>
      </c>
      <c r="E106" s="2">
        <f>IFERROR(__xludf.DUMMYFUNCTION("""COMPUTED_VALUE"""),0.0)</f>
        <v>0</v>
      </c>
      <c r="F106" s="2">
        <f>IFERROR(__xludf.DUMMYFUNCTION("""COMPUTED_VALUE"""),0.0)</f>
        <v>0</v>
      </c>
      <c r="G106" s="2">
        <f>IFERROR(__xludf.DUMMYFUNCTION("""COMPUTED_VALUE"""),0.0)</f>
        <v>0</v>
      </c>
      <c r="H106" s="2">
        <f>IFERROR(__xludf.DUMMYFUNCTION("""COMPUTED_VALUE"""),0.0)</f>
        <v>0</v>
      </c>
    </row>
    <row r="107" ht="22.5" customHeight="1">
      <c r="A107" s="2" t="str">
        <f>IFERROR(__xludf.DUMMYFUNCTION("""COMPUTED_VALUE"""),"2026-10")</f>
        <v>2026-10</v>
      </c>
      <c r="B107" s="2" t="str">
        <f>IFERROR(__xludf.DUMMYFUNCTION("""COMPUTED_VALUE"""),"FRAME-SD")</f>
        <v>FRAME-SD</v>
      </c>
      <c r="C107" s="2">
        <f>IFERROR(__xludf.DUMMYFUNCTION("""COMPUTED_VALUE"""),0.0)</f>
        <v>0</v>
      </c>
      <c r="D107" s="2">
        <f>IFERROR(__xludf.DUMMYFUNCTION("""COMPUTED_VALUE"""),0.0)</f>
        <v>0</v>
      </c>
      <c r="E107" s="2">
        <f>IFERROR(__xludf.DUMMYFUNCTION("""COMPUTED_VALUE"""),0.0)</f>
        <v>0</v>
      </c>
      <c r="F107" s="2">
        <f>IFERROR(__xludf.DUMMYFUNCTION("""COMPUTED_VALUE"""),0.0)</f>
        <v>0</v>
      </c>
      <c r="G107" s="2">
        <f>IFERROR(__xludf.DUMMYFUNCTION("""COMPUTED_VALUE"""),0.0)</f>
        <v>0</v>
      </c>
      <c r="H107" s="2">
        <f>IFERROR(__xludf.DUMMYFUNCTION("""COMPUTED_VALUE"""),0.0)</f>
        <v>0</v>
      </c>
    </row>
    <row r="108" ht="22.5" customHeight="1">
      <c r="A108" s="2" t="str">
        <f>IFERROR(__xludf.DUMMYFUNCTION("""COMPUTED_VALUE"""),"2026-11")</f>
        <v>2026-11</v>
      </c>
      <c r="B108" s="2" t="str">
        <f>IFERROR(__xludf.DUMMYFUNCTION("""COMPUTED_VALUE"""),"FRAME-SD")</f>
        <v>FRAME-SD</v>
      </c>
      <c r="C108" s="2">
        <f>IFERROR(__xludf.DUMMYFUNCTION("""COMPUTED_VALUE"""),0.0)</f>
        <v>0</v>
      </c>
      <c r="D108" s="2">
        <f>IFERROR(__xludf.DUMMYFUNCTION("""COMPUTED_VALUE"""),0.0)</f>
        <v>0</v>
      </c>
      <c r="E108" s="2">
        <f>IFERROR(__xludf.DUMMYFUNCTION("""COMPUTED_VALUE"""),0.0)</f>
        <v>0</v>
      </c>
      <c r="F108" s="2">
        <f>IFERROR(__xludf.DUMMYFUNCTION("""COMPUTED_VALUE"""),0.0)</f>
        <v>0</v>
      </c>
      <c r="G108" s="2">
        <f>IFERROR(__xludf.DUMMYFUNCTION("""COMPUTED_VALUE"""),0.0)</f>
        <v>0</v>
      </c>
      <c r="H108" s="2">
        <f>IFERROR(__xludf.DUMMYFUNCTION("""COMPUTED_VALUE"""),0.0)</f>
        <v>0</v>
      </c>
    </row>
    <row r="109" ht="22.5" customHeight="1">
      <c r="A109" s="2" t="str">
        <f>IFERROR(__xludf.DUMMYFUNCTION("""COMPUTED_VALUE"""),"2026-12")</f>
        <v>2026-12</v>
      </c>
      <c r="B109" s="2" t="str">
        <f>IFERROR(__xludf.DUMMYFUNCTION("""COMPUTED_VALUE"""),"FRAME-SD")</f>
        <v>FRAME-SD</v>
      </c>
      <c r="C109" s="2">
        <f>IFERROR(__xludf.DUMMYFUNCTION("""COMPUTED_VALUE"""),0.0)</f>
        <v>0</v>
      </c>
      <c r="D109" s="2">
        <f>IFERROR(__xludf.DUMMYFUNCTION("""COMPUTED_VALUE"""),0.0)</f>
        <v>0</v>
      </c>
      <c r="E109" s="2">
        <f>IFERROR(__xludf.DUMMYFUNCTION("""COMPUTED_VALUE"""),0.0)</f>
        <v>0</v>
      </c>
      <c r="F109" s="2">
        <f>IFERROR(__xludf.DUMMYFUNCTION("""COMPUTED_VALUE"""),0.0)</f>
        <v>0</v>
      </c>
      <c r="G109" s="2">
        <f>IFERROR(__xludf.DUMMYFUNCTION("""COMPUTED_VALUE"""),0.0)</f>
        <v>0</v>
      </c>
      <c r="H109" s="2">
        <f>IFERROR(__xludf.DUMMYFUNCTION("""COMPUTED_VALUE"""),0.0)</f>
        <v>0</v>
      </c>
    </row>
    <row r="110" ht="22.5" customHeight="1">
      <c r="A110" s="2" t="str">
        <f>IFERROR(__xludf.DUMMYFUNCTION("""COMPUTED_VALUE"""),"2026-01")</f>
        <v>2026-01</v>
      </c>
      <c r="B110" s="2" t="str">
        <f>IFERROR(__xludf.DUMMYFUNCTION("""COMPUTED_VALUE"""),"FRAME-SD - LX")</f>
        <v>FRAME-SD - LX</v>
      </c>
      <c r="C110" s="2">
        <f>IFERROR(__xludf.DUMMYFUNCTION("""COMPUTED_VALUE"""),733.0)</f>
        <v>733</v>
      </c>
      <c r="D110" s="2">
        <f>IFERROR(__xludf.DUMMYFUNCTION("""COMPUTED_VALUE"""),0.0)</f>
        <v>0</v>
      </c>
      <c r="E110" s="2">
        <f>IFERROR(__xludf.DUMMYFUNCTION("""COMPUTED_VALUE"""),0.0)</f>
        <v>0</v>
      </c>
      <c r="F110" s="2">
        <f>IFERROR(__xludf.DUMMYFUNCTION("""COMPUTED_VALUE"""),0.0)</f>
        <v>0</v>
      </c>
      <c r="G110" s="2">
        <f>IFERROR(__xludf.DUMMYFUNCTION("""COMPUTED_VALUE"""),401.0)</f>
        <v>401</v>
      </c>
      <c r="H110" s="2">
        <f>IFERROR(__xludf.DUMMYFUNCTION("""COMPUTED_VALUE"""),332.0)</f>
        <v>332</v>
      </c>
    </row>
    <row r="111" ht="22.5" customHeight="1">
      <c r="A111" s="2" t="str">
        <f>IFERROR(__xludf.DUMMYFUNCTION("""COMPUTED_VALUE"""),"2026-02")</f>
        <v>2026-02</v>
      </c>
      <c r="B111" s="2" t="str">
        <f>IFERROR(__xludf.DUMMYFUNCTION("""COMPUTED_VALUE"""),"FRAME-SD - LX")</f>
        <v>FRAME-SD - LX</v>
      </c>
      <c r="C111" s="2">
        <f>IFERROR(__xludf.DUMMYFUNCTION("""COMPUTED_VALUE"""),332.0)</f>
        <v>332</v>
      </c>
      <c r="D111" s="2">
        <f>IFERROR(__xludf.DUMMYFUNCTION("""COMPUTED_VALUE"""),113.0)</f>
        <v>113</v>
      </c>
      <c r="E111" s="2">
        <f>IFERROR(__xludf.DUMMYFUNCTION("""COMPUTED_VALUE"""),9.0)</f>
        <v>9</v>
      </c>
      <c r="F111" s="2">
        <f>IFERROR(__xludf.DUMMYFUNCTION("""COMPUTED_VALUE"""),13.0)</f>
        <v>13</v>
      </c>
      <c r="G111" s="2">
        <f>IFERROR(__xludf.DUMMYFUNCTION("""COMPUTED_VALUE"""),387.0)</f>
        <v>387</v>
      </c>
      <c r="H111" s="2">
        <f>IFERROR(__xludf.DUMMYFUNCTION("""COMPUTED_VALUE"""),58.0)</f>
        <v>58</v>
      </c>
    </row>
    <row r="112" ht="22.5" customHeight="1">
      <c r="A112" s="2" t="str">
        <f>IFERROR(__xludf.DUMMYFUNCTION("""COMPUTED_VALUE"""),"2026-03")</f>
        <v>2026-03</v>
      </c>
      <c r="B112" s="2" t="str">
        <f>IFERROR(__xludf.DUMMYFUNCTION("""COMPUTED_VALUE"""),"FRAME-SD - LX")</f>
        <v>FRAME-SD - LX</v>
      </c>
      <c r="C112" s="2">
        <f>IFERROR(__xludf.DUMMYFUNCTION("""COMPUTED_VALUE"""),58.0)</f>
        <v>58</v>
      </c>
      <c r="D112" s="2">
        <f>IFERROR(__xludf.DUMMYFUNCTION("""COMPUTED_VALUE"""),0.0)</f>
        <v>0</v>
      </c>
      <c r="E112" s="2">
        <f>IFERROR(__xludf.DUMMYFUNCTION("""COMPUTED_VALUE"""),0.0)</f>
        <v>0</v>
      </c>
      <c r="F112" s="2">
        <f>IFERROR(__xludf.DUMMYFUNCTION("""COMPUTED_VALUE"""),0.0)</f>
        <v>0</v>
      </c>
      <c r="G112" s="2">
        <f>IFERROR(__xludf.DUMMYFUNCTION("""COMPUTED_VALUE"""),0.0)</f>
        <v>0</v>
      </c>
      <c r="H112" s="2">
        <f>IFERROR(__xludf.DUMMYFUNCTION("""COMPUTED_VALUE"""),58.0)</f>
        <v>58</v>
      </c>
    </row>
    <row r="113" ht="22.5" customHeight="1">
      <c r="A113" s="2" t="str">
        <f>IFERROR(__xludf.DUMMYFUNCTION("""COMPUTED_VALUE"""),"2026-04")</f>
        <v>2026-04</v>
      </c>
      <c r="B113" s="2" t="str">
        <f>IFERROR(__xludf.DUMMYFUNCTION("""COMPUTED_VALUE"""),"FRAME-SD - LX")</f>
        <v>FRAME-SD - LX</v>
      </c>
      <c r="C113" s="2">
        <f>IFERROR(__xludf.DUMMYFUNCTION("""COMPUTED_VALUE"""),58.0)</f>
        <v>58</v>
      </c>
      <c r="D113" s="2">
        <f>IFERROR(__xludf.DUMMYFUNCTION("""COMPUTED_VALUE"""),116.0)</f>
        <v>116</v>
      </c>
      <c r="E113" s="2">
        <f>IFERROR(__xludf.DUMMYFUNCTION("""COMPUTED_VALUE"""),9.0)</f>
        <v>9</v>
      </c>
      <c r="F113" s="2">
        <f>IFERROR(__xludf.DUMMYFUNCTION("""COMPUTED_VALUE"""),10.0)</f>
        <v>10</v>
      </c>
      <c r="G113" s="2">
        <f>IFERROR(__xludf.DUMMYFUNCTION("""COMPUTED_VALUE"""),0.0)</f>
        <v>0</v>
      </c>
      <c r="H113" s="2">
        <f>IFERROR(__xludf.DUMMYFUNCTION("""COMPUTED_VALUE"""),174.0)</f>
        <v>174</v>
      </c>
    </row>
    <row r="114" ht="22.5" customHeight="1">
      <c r="A114" s="2" t="str">
        <f>IFERROR(__xludf.DUMMYFUNCTION("""COMPUTED_VALUE"""),"2026-05")</f>
        <v>2026-05</v>
      </c>
      <c r="B114" s="2" t="str">
        <f>IFERROR(__xludf.DUMMYFUNCTION("""COMPUTED_VALUE"""),"FRAME-SD - LX")</f>
        <v>FRAME-SD - LX</v>
      </c>
      <c r="C114" s="2">
        <f>IFERROR(__xludf.DUMMYFUNCTION("""COMPUTED_VALUE"""),174.0)</f>
        <v>174</v>
      </c>
      <c r="D114" s="2">
        <f>IFERROR(__xludf.DUMMYFUNCTION("""COMPUTED_VALUE"""),0.0)</f>
        <v>0</v>
      </c>
      <c r="E114" s="2">
        <f>IFERROR(__xludf.DUMMYFUNCTION("""COMPUTED_VALUE"""),0.0)</f>
        <v>0</v>
      </c>
      <c r="F114" s="2">
        <f>IFERROR(__xludf.DUMMYFUNCTION("""COMPUTED_VALUE"""),0.0)</f>
        <v>0</v>
      </c>
      <c r="G114" s="2">
        <f>IFERROR(__xludf.DUMMYFUNCTION("""COMPUTED_VALUE"""),0.0)</f>
        <v>0</v>
      </c>
      <c r="H114" s="2">
        <f>IFERROR(__xludf.DUMMYFUNCTION("""COMPUTED_VALUE"""),174.0)</f>
        <v>174</v>
      </c>
    </row>
    <row r="115" ht="22.5" customHeight="1">
      <c r="A115" s="2" t="str">
        <f>IFERROR(__xludf.DUMMYFUNCTION("""COMPUTED_VALUE"""),"2026-06")</f>
        <v>2026-06</v>
      </c>
      <c r="B115" s="2" t="str">
        <f>IFERROR(__xludf.DUMMYFUNCTION("""COMPUTED_VALUE"""),"FRAME-SD - LX")</f>
        <v>FRAME-SD - LX</v>
      </c>
      <c r="C115" s="2">
        <f>IFERROR(__xludf.DUMMYFUNCTION("""COMPUTED_VALUE"""),174.0)</f>
        <v>174</v>
      </c>
      <c r="D115" s="2">
        <f>IFERROR(__xludf.DUMMYFUNCTION("""COMPUTED_VALUE"""),0.0)</f>
        <v>0</v>
      </c>
      <c r="E115" s="2">
        <f>IFERROR(__xludf.DUMMYFUNCTION("""COMPUTED_VALUE"""),0.0)</f>
        <v>0</v>
      </c>
      <c r="F115" s="2">
        <f>IFERROR(__xludf.DUMMYFUNCTION("""COMPUTED_VALUE"""),0.0)</f>
        <v>0</v>
      </c>
      <c r="G115" s="2">
        <f>IFERROR(__xludf.DUMMYFUNCTION("""COMPUTED_VALUE"""),0.0)</f>
        <v>0</v>
      </c>
      <c r="H115" s="2">
        <f>IFERROR(__xludf.DUMMYFUNCTION("""COMPUTED_VALUE"""),174.0)</f>
        <v>174</v>
      </c>
    </row>
    <row r="116" ht="22.5" customHeight="1">
      <c r="A116" s="2" t="str">
        <f>IFERROR(__xludf.DUMMYFUNCTION("""COMPUTED_VALUE"""),"2026-07")</f>
        <v>2026-07</v>
      </c>
      <c r="B116" s="2" t="str">
        <f>IFERROR(__xludf.DUMMYFUNCTION("""COMPUTED_VALUE"""),"FRAME-SD - LX")</f>
        <v>FRAME-SD - LX</v>
      </c>
      <c r="C116" s="2">
        <f>IFERROR(__xludf.DUMMYFUNCTION("""COMPUTED_VALUE"""),174.0)</f>
        <v>174</v>
      </c>
      <c r="D116" s="2">
        <f>IFERROR(__xludf.DUMMYFUNCTION("""COMPUTED_VALUE"""),0.0)</f>
        <v>0</v>
      </c>
      <c r="E116" s="2">
        <f>IFERROR(__xludf.DUMMYFUNCTION("""COMPUTED_VALUE"""),0.0)</f>
        <v>0</v>
      </c>
      <c r="F116" s="2">
        <f>IFERROR(__xludf.DUMMYFUNCTION("""COMPUTED_VALUE"""),0.0)</f>
        <v>0</v>
      </c>
      <c r="G116" s="2">
        <f>IFERROR(__xludf.DUMMYFUNCTION("""COMPUTED_VALUE"""),0.0)</f>
        <v>0</v>
      </c>
      <c r="H116" s="2">
        <f>IFERROR(__xludf.DUMMYFUNCTION("""COMPUTED_VALUE"""),174.0)</f>
        <v>174</v>
      </c>
    </row>
    <row r="117" ht="22.5" customHeight="1">
      <c r="A117" s="2" t="str">
        <f>IFERROR(__xludf.DUMMYFUNCTION("""COMPUTED_VALUE"""),"2026-08")</f>
        <v>2026-08</v>
      </c>
      <c r="B117" s="2" t="str">
        <f>IFERROR(__xludf.DUMMYFUNCTION("""COMPUTED_VALUE"""),"FRAME-SD - LX")</f>
        <v>FRAME-SD - LX</v>
      </c>
      <c r="C117" s="2">
        <f>IFERROR(__xludf.DUMMYFUNCTION("""COMPUTED_VALUE"""),174.0)</f>
        <v>174</v>
      </c>
      <c r="D117" s="2">
        <f>IFERROR(__xludf.DUMMYFUNCTION("""COMPUTED_VALUE"""),0.0)</f>
        <v>0</v>
      </c>
      <c r="E117" s="2">
        <f>IFERROR(__xludf.DUMMYFUNCTION("""COMPUTED_VALUE"""),0.0)</f>
        <v>0</v>
      </c>
      <c r="F117" s="2">
        <f>IFERROR(__xludf.DUMMYFUNCTION("""COMPUTED_VALUE"""),0.0)</f>
        <v>0</v>
      </c>
      <c r="G117" s="2">
        <f>IFERROR(__xludf.DUMMYFUNCTION("""COMPUTED_VALUE"""),174.0)</f>
        <v>174</v>
      </c>
      <c r="H117" s="2">
        <f>IFERROR(__xludf.DUMMYFUNCTION("""COMPUTED_VALUE"""),0.0)</f>
        <v>0</v>
      </c>
    </row>
    <row r="118" ht="22.5" customHeight="1">
      <c r="A118" s="2" t="str">
        <f>IFERROR(__xludf.DUMMYFUNCTION("""COMPUTED_VALUE"""),"2026-09")</f>
        <v>2026-09</v>
      </c>
      <c r="B118" s="2" t="str">
        <f>IFERROR(__xludf.DUMMYFUNCTION("""COMPUTED_VALUE"""),"FRAME-SD - LX")</f>
        <v>FRAME-SD - LX</v>
      </c>
      <c r="C118" s="2">
        <f>IFERROR(__xludf.DUMMYFUNCTION("""COMPUTED_VALUE"""),0.0)</f>
        <v>0</v>
      </c>
      <c r="D118" s="2">
        <f>IFERROR(__xludf.DUMMYFUNCTION("""COMPUTED_VALUE"""),0.0)</f>
        <v>0</v>
      </c>
      <c r="E118" s="2">
        <f>IFERROR(__xludf.DUMMYFUNCTION("""COMPUTED_VALUE"""),0.0)</f>
        <v>0</v>
      </c>
      <c r="F118" s="2">
        <f>IFERROR(__xludf.DUMMYFUNCTION("""COMPUTED_VALUE"""),0.0)</f>
        <v>0</v>
      </c>
      <c r="G118" s="2">
        <f>IFERROR(__xludf.DUMMYFUNCTION("""COMPUTED_VALUE"""),0.0)</f>
        <v>0</v>
      </c>
      <c r="H118" s="2">
        <f>IFERROR(__xludf.DUMMYFUNCTION("""COMPUTED_VALUE"""),0.0)</f>
        <v>0</v>
      </c>
    </row>
    <row r="119" ht="22.5" customHeight="1">
      <c r="A119" s="2" t="str">
        <f>IFERROR(__xludf.DUMMYFUNCTION("""COMPUTED_VALUE"""),"2026-10")</f>
        <v>2026-10</v>
      </c>
      <c r="B119" s="2" t="str">
        <f>IFERROR(__xludf.DUMMYFUNCTION("""COMPUTED_VALUE"""),"FRAME-SD - LX")</f>
        <v>FRAME-SD - LX</v>
      </c>
      <c r="C119" s="2">
        <f>IFERROR(__xludf.DUMMYFUNCTION("""COMPUTED_VALUE"""),0.0)</f>
        <v>0</v>
      </c>
      <c r="D119" s="2">
        <f>IFERROR(__xludf.DUMMYFUNCTION("""COMPUTED_VALUE"""),0.0)</f>
        <v>0</v>
      </c>
      <c r="E119" s="2">
        <f>IFERROR(__xludf.DUMMYFUNCTION("""COMPUTED_VALUE"""),0.0)</f>
        <v>0</v>
      </c>
      <c r="F119" s="2">
        <f>IFERROR(__xludf.DUMMYFUNCTION("""COMPUTED_VALUE"""),0.0)</f>
        <v>0</v>
      </c>
      <c r="G119" s="2">
        <f>IFERROR(__xludf.DUMMYFUNCTION("""COMPUTED_VALUE"""),0.0)</f>
        <v>0</v>
      </c>
      <c r="H119" s="2">
        <f>IFERROR(__xludf.DUMMYFUNCTION("""COMPUTED_VALUE"""),0.0)</f>
        <v>0</v>
      </c>
    </row>
    <row r="120" ht="22.5" customHeight="1">
      <c r="A120" s="2" t="str">
        <f>IFERROR(__xludf.DUMMYFUNCTION("""COMPUTED_VALUE"""),"2026-11")</f>
        <v>2026-11</v>
      </c>
      <c r="B120" s="2" t="str">
        <f>IFERROR(__xludf.DUMMYFUNCTION("""COMPUTED_VALUE"""),"FRAME-SD - LX")</f>
        <v>FRAME-SD - LX</v>
      </c>
      <c r="C120" s="2">
        <f>IFERROR(__xludf.DUMMYFUNCTION("""COMPUTED_VALUE"""),0.0)</f>
        <v>0</v>
      </c>
      <c r="D120" s="2">
        <f>IFERROR(__xludf.DUMMYFUNCTION("""COMPUTED_VALUE"""),141.0)</f>
        <v>141</v>
      </c>
      <c r="E120" s="2">
        <f>IFERROR(__xludf.DUMMYFUNCTION("""COMPUTED_VALUE"""),11.0)</f>
        <v>11</v>
      </c>
      <c r="F120" s="2">
        <f>IFERROR(__xludf.DUMMYFUNCTION("""COMPUTED_VALUE"""),13.0)</f>
        <v>13</v>
      </c>
      <c r="G120" s="2">
        <f>IFERROR(__xludf.DUMMYFUNCTION("""COMPUTED_VALUE"""),141.0)</f>
        <v>141</v>
      </c>
      <c r="H120" s="2">
        <f>IFERROR(__xludf.DUMMYFUNCTION("""COMPUTED_VALUE"""),0.0)</f>
        <v>0</v>
      </c>
    </row>
    <row r="121" ht="22.5" customHeight="1">
      <c r="A121" s="2" t="str">
        <f>IFERROR(__xludf.DUMMYFUNCTION("""COMPUTED_VALUE"""),"2026-12")</f>
        <v>2026-12</v>
      </c>
      <c r="B121" s="2" t="str">
        <f>IFERROR(__xludf.DUMMYFUNCTION("""COMPUTED_VALUE"""),"FRAME-SD - LX")</f>
        <v>FRAME-SD - LX</v>
      </c>
      <c r="C121" s="2">
        <f>IFERROR(__xludf.DUMMYFUNCTION("""COMPUTED_VALUE"""),0.0)</f>
        <v>0</v>
      </c>
      <c r="D121" s="2">
        <f>IFERROR(__xludf.DUMMYFUNCTION("""COMPUTED_VALUE"""),0.0)</f>
        <v>0</v>
      </c>
      <c r="E121" s="2">
        <f>IFERROR(__xludf.DUMMYFUNCTION("""COMPUTED_VALUE"""),0.0)</f>
        <v>0</v>
      </c>
      <c r="F121" s="2">
        <f>IFERROR(__xludf.DUMMYFUNCTION("""COMPUTED_VALUE"""),0.0)</f>
        <v>0</v>
      </c>
      <c r="G121" s="2">
        <f>IFERROR(__xludf.DUMMYFUNCTION("""COMPUTED_VALUE"""),0.0)</f>
        <v>0</v>
      </c>
      <c r="H121" s="2">
        <f>IFERROR(__xludf.DUMMYFUNCTION("""COMPUTED_VALUE"""),0.0)</f>
        <v>0</v>
      </c>
    </row>
    <row r="122" ht="22.5" customHeight="1">
      <c r="A122" s="2" t="str">
        <f>IFERROR(__xludf.DUMMYFUNCTION("""COMPUTED_VALUE"""),"2026-01")</f>
        <v>2026-01</v>
      </c>
      <c r="B122" s="2" t="str">
        <f>IFERROR(__xludf.DUMMYFUNCTION("""COMPUTED_VALUE"""),"FRAME-SUV")</f>
        <v>FRAME-SUV</v>
      </c>
      <c r="C122" s="2">
        <f>IFERROR(__xludf.DUMMYFUNCTION("""COMPUTED_VALUE"""),369.0)</f>
        <v>369</v>
      </c>
      <c r="D122" s="2">
        <f>IFERROR(__xludf.DUMMYFUNCTION("""COMPUTED_VALUE"""),260.0)</f>
        <v>260</v>
      </c>
      <c r="E122" s="2">
        <f>IFERROR(__xludf.DUMMYFUNCTION("""COMPUTED_VALUE"""),13.0)</f>
        <v>13</v>
      </c>
      <c r="F122" s="2">
        <f>IFERROR(__xludf.DUMMYFUNCTION("""COMPUTED_VALUE"""),0.0)</f>
        <v>0</v>
      </c>
      <c r="G122" s="2">
        <f>IFERROR(__xludf.DUMMYFUNCTION("""COMPUTED_VALUE"""),629.0)</f>
        <v>629</v>
      </c>
      <c r="H122" s="2">
        <f>IFERROR(__xludf.DUMMYFUNCTION("""COMPUTED_VALUE"""),0.0)</f>
        <v>0</v>
      </c>
    </row>
    <row r="123" ht="22.5" customHeight="1">
      <c r="A123" s="2" t="str">
        <f>IFERROR(__xludf.DUMMYFUNCTION("""COMPUTED_VALUE"""),"2026-02")</f>
        <v>2026-02</v>
      </c>
      <c r="B123" s="2" t="str">
        <f>IFERROR(__xludf.DUMMYFUNCTION("""COMPUTED_VALUE"""),"FRAME-SUV")</f>
        <v>FRAME-SUV</v>
      </c>
      <c r="C123" s="2">
        <f>IFERROR(__xludf.DUMMYFUNCTION("""COMPUTED_VALUE"""),0.0)</f>
        <v>0</v>
      </c>
      <c r="D123" s="2">
        <f>IFERROR(__xludf.DUMMYFUNCTION("""COMPUTED_VALUE"""),320.0)</f>
        <v>320</v>
      </c>
      <c r="E123" s="2">
        <f>IFERROR(__xludf.DUMMYFUNCTION("""COMPUTED_VALUE"""),16.0)</f>
        <v>16</v>
      </c>
      <c r="F123" s="2">
        <f>IFERROR(__xludf.DUMMYFUNCTION("""COMPUTED_VALUE"""),0.0)</f>
        <v>0</v>
      </c>
      <c r="G123" s="2">
        <f>IFERROR(__xludf.DUMMYFUNCTION("""COMPUTED_VALUE"""),312.0)</f>
        <v>312</v>
      </c>
      <c r="H123" s="2">
        <f>IFERROR(__xludf.DUMMYFUNCTION("""COMPUTED_VALUE"""),8.0)</f>
        <v>8</v>
      </c>
    </row>
    <row r="124" ht="22.5" customHeight="1">
      <c r="A124" s="2" t="str">
        <f>IFERROR(__xludf.DUMMYFUNCTION("""COMPUTED_VALUE"""),"2026-03")</f>
        <v>2026-03</v>
      </c>
      <c r="B124" s="2" t="str">
        <f>IFERROR(__xludf.DUMMYFUNCTION("""COMPUTED_VALUE"""),"FRAME-SUV")</f>
        <v>FRAME-SUV</v>
      </c>
      <c r="C124" s="2">
        <f>IFERROR(__xludf.DUMMYFUNCTION("""COMPUTED_VALUE"""),8.0)</f>
        <v>8</v>
      </c>
      <c r="D124" s="2">
        <f>IFERROR(__xludf.DUMMYFUNCTION("""COMPUTED_VALUE"""),0.0)</f>
        <v>0</v>
      </c>
      <c r="E124" s="2">
        <f>IFERROR(__xludf.DUMMYFUNCTION("""COMPUTED_VALUE"""),0.0)</f>
        <v>0</v>
      </c>
      <c r="F124" s="2">
        <f>IFERROR(__xludf.DUMMYFUNCTION("""COMPUTED_VALUE"""),0.0)</f>
        <v>0</v>
      </c>
      <c r="G124" s="2">
        <f>IFERROR(__xludf.DUMMYFUNCTION("""COMPUTED_VALUE"""),0.0)</f>
        <v>0</v>
      </c>
      <c r="H124" s="2">
        <f>IFERROR(__xludf.DUMMYFUNCTION("""COMPUTED_VALUE"""),8.0)</f>
        <v>8</v>
      </c>
    </row>
    <row r="125" ht="22.5" customHeight="1">
      <c r="A125" s="2" t="str">
        <f>IFERROR(__xludf.DUMMYFUNCTION("""COMPUTED_VALUE"""),"2026-04")</f>
        <v>2026-04</v>
      </c>
      <c r="B125" s="2" t="str">
        <f>IFERROR(__xludf.DUMMYFUNCTION("""COMPUTED_VALUE"""),"FRAME-SUV")</f>
        <v>FRAME-SUV</v>
      </c>
      <c r="C125" s="2">
        <f>IFERROR(__xludf.DUMMYFUNCTION("""COMPUTED_VALUE"""),8.0)</f>
        <v>8</v>
      </c>
      <c r="D125" s="2">
        <f>IFERROR(__xludf.DUMMYFUNCTION("""COMPUTED_VALUE"""),0.0)</f>
        <v>0</v>
      </c>
      <c r="E125" s="2">
        <f>IFERROR(__xludf.DUMMYFUNCTION("""COMPUTED_VALUE"""),0.0)</f>
        <v>0</v>
      </c>
      <c r="F125" s="2">
        <f>IFERROR(__xludf.DUMMYFUNCTION("""COMPUTED_VALUE"""),0.0)</f>
        <v>0</v>
      </c>
      <c r="G125" s="2">
        <f>IFERROR(__xludf.DUMMYFUNCTION("""COMPUTED_VALUE"""),0.0)</f>
        <v>0</v>
      </c>
      <c r="H125" s="2">
        <f>IFERROR(__xludf.DUMMYFUNCTION("""COMPUTED_VALUE"""),8.0)</f>
        <v>8</v>
      </c>
    </row>
    <row r="126" ht="22.5" customHeight="1">
      <c r="A126" s="2" t="str">
        <f>IFERROR(__xludf.DUMMYFUNCTION("""COMPUTED_VALUE"""),"2026-05")</f>
        <v>2026-05</v>
      </c>
      <c r="B126" s="2" t="str">
        <f>IFERROR(__xludf.DUMMYFUNCTION("""COMPUTED_VALUE"""),"FRAME-SUV")</f>
        <v>FRAME-SUV</v>
      </c>
      <c r="C126" s="2">
        <f>IFERROR(__xludf.DUMMYFUNCTION("""COMPUTED_VALUE"""),8.0)</f>
        <v>8</v>
      </c>
      <c r="D126" s="2">
        <f>IFERROR(__xludf.DUMMYFUNCTION("""COMPUTED_VALUE"""),0.0)</f>
        <v>0</v>
      </c>
      <c r="E126" s="2">
        <f>IFERROR(__xludf.DUMMYFUNCTION("""COMPUTED_VALUE"""),0.0)</f>
        <v>0</v>
      </c>
      <c r="F126" s="2">
        <f>IFERROR(__xludf.DUMMYFUNCTION("""COMPUTED_VALUE"""),0.0)</f>
        <v>0</v>
      </c>
      <c r="G126" s="2">
        <f>IFERROR(__xludf.DUMMYFUNCTION("""COMPUTED_VALUE"""),0.0)</f>
        <v>0</v>
      </c>
      <c r="H126" s="2">
        <f>IFERROR(__xludf.DUMMYFUNCTION("""COMPUTED_VALUE"""),8.0)</f>
        <v>8</v>
      </c>
    </row>
    <row r="127" ht="22.5" customHeight="1">
      <c r="A127" s="2" t="str">
        <f>IFERROR(__xludf.DUMMYFUNCTION("""COMPUTED_VALUE"""),"2026-06")</f>
        <v>2026-06</v>
      </c>
      <c r="B127" s="2" t="str">
        <f>IFERROR(__xludf.DUMMYFUNCTION("""COMPUTED_VALUE"""),"FRAME-SUV")</f>
        <v>FRAME-SUV</v>
      </c>
      <c r="C127" s="2">
        <f>IFERROR(__xludf.DUMMYFUNCTION("""COMPUTED_VALUE"""),8.0)</f>
        <v>8</v>
      </c>
      <c r="D127" s="2">
        <f>IFERROR(__xludf.DUMMYFUNCTION("""COMPUTED_VALUE"""),0.0)</f>
        <v>0</v>
      </c>
      <c r="E127" s="2">
        <f>IFERROR(__xludf.DUMMYFUNCTION("""COMPUTED_VALUE"""),0.0)</f>
        <v>0</v>
      </c>
      <c r="F127" s="2">
        <f>IFERROR(__xludf.DUMMYFUNCTION("""COMPUTED_VALUE"""),0.0)</f>
        <v>0</v>
      </c>
      <c r="G127" s="2">
        <f>IFERROR(__xludf.DUMMYFUNCTION("""COMPUTED_VALUE"""),0.0)</f>
        <v>0</v>
      </c>
      <c r="H127" s="2">
        <f>IFERROR(__xludf.DUMMYFUNCTION("""COMPUTED_VALUE"""),8.0)</f>
        <v>8</v>
      </c>
    </row>
    <row r="128" ht="22.5" customHeight="1">
      <c r="A128" s="2" t="str">
        <f>IFERROR(__xludf.DUMMYFUNCTION("""COMPUTED_VALUE"""),"2026-07")</f>
        <v>2026-07</v>
      </c>
      <c r="B128" s="2" t="str">
        <f>IFERROR(__xludf.DUMMYFUNCTION("""COMPUTED_VALUE"""),"FRAME-SUV")</f>
        <v>FRAME-SUV</v>
      </c>
      <c r="C128" s="2">
        <f>IFERROR(__xludf.DUMMYFUNCTION("""COMPUTED_VALUE"""),8.0)</f>
        <v>8</v>
      </c>
      <c r="D128" s="2">
        <f>IFERROR(__xludf.DUMMYFUNCTION("""COMPUTED_VALUE"""),0.0)</f>
        <v>0</v>
      </c>
      <c r="E128" s="2">
        <f>IFERROR(__xludf.DUMMYFUNCTION("""COMPUTED_VALUE"""),0.0)</f>
        <v>0</v>
      </c>
      <c r="F128" s="2">
        <f>IFERROR(__xludf.DUMMYFUNCTION("""COMPUTED_VALUE"""),0.0)</f>
        <v>0</v>
      </c>
      <c r="G128" s="2">
        <f>IFERROR(__xludf.DUMMYFUNCTION("""COMPUTED_VALUE"""),0.0)</f>
        <v>0</v>
      </c>
      <c r="H128" s="2">
        <f>IFERROR(__xludf.DUMMYFUNCTION("""COMPUTED_VALUE"""),8.0)</f>
        <v>8</v>
      </c>
    </row>
    <row r="129" ht="22.5" customHeight="1">
      <c r="A129" s="2" t="str">
        <f>IFERROR(__xludf.DUMMYFUNCTION("""COMPUTED_VALUE"""),"2026-08")</f>
        <v>2026-08</v>
      </c>
      <c r="B129" s="2" t="str">
        <f>IFERROR(__xludf.DUMMYFUNCTION("""COMPUTED_VALUE"""),"FRAME-SUV")</f>
        <v>FRAME-SUV</v>
      </c>
      <c r="C129" s="2">
        <f>IFERROR(__xludf.DUMMYFUNCTION("""COMPUTED_VALUE"""),8.0)</f>
        <v>8</v>
      </c>
      <c r="D129" s="2">
        <f>IFERROR(__xludf.DUMMYFUNCTION("""COMPUTED_VALUE"""),0.0)</f>
        <v>0</v>
      </c>
      <c r="E129" s="2">
        <f>IFERROR(__xludf.DUMMYFUNCTION("""COMPUTED_VALUE"""),0.0)</f>
        <v>0</v>
      </c>
      <c r="F129" s="2">
        <f>IFERROR(__xludf.DUMMYFUNCTION("""COMPUTED_VALUE"""),0.0)</f>
        <v>0</v>
      </c>
      <c r="G129" s="2">
        <f>IFERROR(__xludf.DUMMYFUNCTION("""COMPUTED_VALUE"""),0.0)</f>
        <v>0</v>
      </c>
      <c r="H129" s="2">
        <f>IFERROR(__xludf.DUMMYFUNCTION("""COMPUTED_VALUE"""),8.0)</f>
        <v>8</v>
      </c>
    </row>
    <row r="130" ht="22.5" customHeight="1">
      <c r="A130" s="2" t="str">
        <f>IFERROR(__xludf.DUMMYFUNCTION("""COMPUTED_VALUE"""),"2026-09")</f>
        <v>2026-09</v>
      </c>
      <c r="B130" s="2" t="str">
        <f>IFERROR(__xludf.DUMMYFUNCTION("""COMPUTED_VALUE"""),"FRAME-SUV")</f>
        <v>FRAME-SUV</v>
      </c>
      <c r="C130" s="2">
        <f>IFERROR(__xludf.DUMMYFUNCTION("""COMPUTED_VALUE"""),8.0)</f>
        <v>8</v>
      </c>
      <c r="D130" s="2">
        <f>IFERROR(__xludf.DUMMYFUNCTION("""COMPUTED_VALUE"""),0.0)</f>
        <v>0</v>
      </c>
      <c r="E130" s="2">
        <f>IFERROR(__xludf.DUMMYFUNCTION("""COMPUTED_VALUE"""),0.0)</f>
        <v>0</v>
      </c>
      <c r="F130" s="2">
        <f>IFERROR(__xludf.DUMMYFUNCTION("""COMPUTED_VALUE"""),0.0)</f>
        <v>0</v>
      </c>
      <c r="G130" s="2">
        <f>IFERROR(__xludf.DUMMYFUNCTION("""COMPUTED_VALUE"""),0.0)</f>
        <v>0</v>
      </c>
      <c r="H130" s="2">
        <f>IFERROR(__xludf.DUMMYFUNCTION("""COMPUTED_VALUE"""),8.0)</f>
        <v>8</v>
      </c>
    </row>
    <row r="131" ht="22.5" customHeight="1">
      <c r="A131" s="2" t="str">
        <f>IFERROR(__xludf.DUMMYFUNCTION("""COMPUTED_VALUE"""),"2026-10")</f>
        <v>2026-10</v>
      </c>
      <c r="B131" s="2" t="str">
        <f>IFERROR(__xludf.DUMMYFUNCTION("""COMPUTED_VALUE"""),"FRAME-SUV")</f>
        <v>FRAME-SUV</v>
      </c>
      <c r="C131" s="2">
        <f>IFERROR(__xludf.DUMMYFUNCTION("""COMPUTED_VALUE"""),8.0)</f>
        <v>8</v>
      </c>
      <c r="D131" s="2">
        <f>IFERROR(__xludf.DUMMYFUNCTION("""COMPUTED_VALUE"""),0.0)</f>
        <v>0</v>
      </c>
      <c r="E131" s="2">
        <f>IFERROR(__xludf.DUMMYFUNCTION("""COMPUTED_VALUE"""),0.0)</f>
        <v>0</v>
      </c>
      <c r="F131" s="2">
        <f>IFERROR(__xludf.DUMMYFUNCTION("""COMPUTED_VALUE"""),0.0)</f>
        <v>0</v>
      </c>
      <c r="G131" s="2">
        <f>IFERROR(__xludf.DUMMYFUNCTION("""COMPUTED_VALUE"""),8.0)</f>
        <v>8</v>
      </c>
      <c r="H131" s="2">
        <f>IFERROR(__xludf.DUMMYFUNCTION("""COMPUTED_VALUE"""),0.0)</f>
        <v>0</v>
      </c>
    </row>
    <row r="132" ht="22.5" customHeight="1">
      <c r="A132" s="2" t="str">
        <f>IFERROR(__xludf.DUMMYFUNCTION("""COMPUTED_VALUE"""),"2026-11")</f>
        <v>2026-11</v>
      </c>
      <c r="B132" s="2" t="str">
        <f>IFERROR(__xludf.DUMMYFUNCTION("""COMPUTED_VALUE"""),"FRAME-SUV")</f>
        <v>FRAME-SUV</v>
      </c>
      <c r="C132" s="2">
        <f>IFERROR(__xludf.DUMMYFUNCTION("""COMPUTED_VALUE"""),0.0)</f>
        <v>0</v>
      </c>
      <c r="D132" s="2">
        <f>IFERROR(__xludf.DUMMYFUNCTION("""COMPUTED_VALUE"""),0.0)</f>
        <v>0</v>
      </c>
      <c r="E132" s="2">
        <f>IFERROR(__xludf.DUMMYFUNCTION("""COMPUTED_VALUE"""),0.0)</f>
        <v>0</v>
      </c>
      <c r="F132" s="2">
        <f>IFERROR(__xludf.DUMMYFUNCTION("""COMPUTED_VALUE"""),0.0)</f>
        <v>0</v>
      </c>
      <c r="G132" s="2">
        <f>IFERROR(__xludf.DUMMYFUNCTION("""COMPUTED_VALUE"""),0.0)</f>
        <v>0</v>
      </c>
      <c r="H132" s="2">
        <f>IFERROR(__xludf.DUMMYFUNCTION("""COMPUTED_VALUE"""),0.0)</f>
        <v>0</v>
      </c>
    </row>
    <row r="133" ht="22.5" customHeight="1">
      <c r="A133" s="2" t="str">
        <f>IFERROR(__xludf.DUMMYFUNCTION("""COMPUTED_VALUE"""),"2026-12")</f>
        <v>2026-12</v>
      </c>
      <c r="B133" s="2" t="str">
        <f>IFERROR(__xludf.DUMMYFUNCTION("""COMPUTED_VALUE"""),"FRAME-SUV")</f>
        <v>FRAME-SUV</v>
      </c>
      <c r="C133" s="2">
        <f>IFERROR(__xludf.DUMMYFUNCTION("""COMPUTED_VALUE"""),0.0)</f>
        <v>0</v>
      </c>
      <c r="D133" s="2">
        <f>IFERROR(__xludf.DUMMYFUNCTION("""COMPUTED_VALUE"""),0.0)</f>
        <v>0</v>
      </c>
      <c r="E133" s="2">
        <f>IFERROR(__xludf.DUMMYFUNCTION("""COMPUTED_VALUE"""),0.0)</f>
        <v>0</v>
      </c>
      <c r="F133" s="2">
        <f>IFERROR(__xludf.DUMMYFUNCTION("""COMPUTED_VALUE"""),0.0)</f>
        <v>0</v>
      </c>
      <c r="G133" s="2">
        <f>IFERROR(__xludf.DUMMYFUNCTION("""COMPUTED_VALUE"""),0.0)</f>
        <v>0</v>
      </c>
      <c r="H133" s="2">
        <f>IFERROR(__xludf.DUMMYFUNCTION("""COMPUTED_VALUE"""),0.0)</f>
        <v>0</v>
      </c>
    </row>
    <row r="134" ht="22.5" customHeight="1">
      <c r="A134" s="2" t="str">
        <f>IFERROR(__xludf.DUMMYFUNCTION("""COMPUTED_VALUE"""),"2026-01")</f>
        <v>2026-01</v>
      </c>
      <c r="B134" s="2" t="str">
        <f>IFERROR(__xludf.DUMMYFUNCTION("""COMPUTED_VALUE"""),"FRAME-SUV - LX")</f>
        <v>FRAME-SUV - LX</v>
      </c>
      <c r="C134" s="2">
        <f>IFERROR(__xludf.DUMMYFUNCTION("""COMPUTED_VALUE"""),1181.0)</f>
        <v>1181</v>
      </c>
      <c r="D134" s="2">
        <f>IFERROR(__xludf.DUMMYFUNCTION("""COMPUTED_VALUE"""),0.0)</f>
        <v>0</v>
      </c>
      <c r="E134" s="2">
        <f>IFERROR(__xludf.DUMMYFUNCTION("""COMPUTED_VALUE"""),0.0)</f>
        <v>0</v>
      </c>
      <c r="F134" s="2">
        <f>IFERROR(__xludf.DUMMYFUNCTION("""COMPUTED_VALUE"""),0.0)</f>
        <v>0</v>
      </c>
      <c r="G134" s="2">
        <f>IFERROR(__xludf.DUMMYFUNCTION("""COMPUTED_VALUE"""),380.0)</f>
        <v>380</v>
      </c>
      <c r="H134" s="2">
        <f>IFERROR(__xludf.DUMMYFUNCTION("""COMPUTED_VALUE"""),801.0)</f>
        <v>801</v>
      </c>
    </row>
    <row r="135" ht="22.5" customHeight="1">
      <c r="A135" s="2" t="str">
        <f>IFERROR(__xludf.DUMMYFUNCTION("""COMPUTED_VALUE"""),"2026-02")</f>
        <v>2026-02</v>
      </c>
      <c r="B135" s="2" t="str">
        <f>IFERROR(__xludf.DUMMYFUNCTION("""COMPUTED_VALUE"""),"FRAME-SUV - LX")</f>
        <v>FRAME-SUV - LX</v>
      </c>
      <c r="C135" s="2">
        <f>IFERROR(__xludf.DUMMYFUNCTION("""COMPUTED_VALUE"""),801.0)</f>
        <v>801</v>
      </c>
      <c r="D135" s="2">
        <f>IFERROR(__xludf.DUMMYFUNCTION("""COMPUTED_VALUE"""),0.0)</f>
        <v>0</v>
      </c>
      <c r="E135" s="2">
        <f>IFERROR(__xludf.DUMMYFUNCTION("""COMPUTED_VALUE"""),0.0)</f>
        <v>0</v>
      </c>
      <c r="F135" s="2">
        <f>IFERROR(__xludf.DUMMYFUNCTION("""COMPUTED_VALUE"""),0.0)</f>
        <v>0</v>
      </c>
      <c r="G135" s="2">
        <f>IFERROR(__xludf.DUMMYFUNCTION("""COMPUTED_VALUE"""),521.0)</f>
        <v>521</v>
      </c>
      <c r="H135" s="2">
        <f>IFERROR(__xludf.DUMMYFUNCTION("""COMPUTED_VALUE"""),280.0)</f>
        <v>280</v>
      </c>
    </row>
    <row r="136" ht="22.5" customHeight="1">
      <c r="A136" s="2" t="str">
        <f>IFERROR(__xludf.DUMMYFUNCTION("""COMPUTED_VALUE"""),"2026-03")</f>
        <v>2026-03</v>
      </c>
      <c r="B136" s="2" t="str">
        <f>IFERROR(__xludf.DUMMYFUNCTION("""COMPUTED_VALUE"""),"FRAME-SUV - LX")</f>
        <v>FRAME-SUV - LX</v>
      </c>
      <c r="C136" s="2">
        <f>IFERROR(__xludf.DUMMYFUNCTION("""COMPUTED_VALUE"""),280.0)</f>
        <v>280</v>
      </c>
      <c r="D136" s="2">
        <f>IFERROR(__xludf.DUMMYFUNCTION("""COMPUTED_VALUE"""),0.0)</f>
        <v>0</v>
      </c>
      <c r="E136" s="2">
        <f>IFERROR(__xludf.DUMMYFUNCTION("""COMPUTED_VALUE"""),0.0)</f>
        <v>0</v>
      </c>
      <c r="F136" s="2">
        <f>IFERROR(__xludf.DUMMYFUNCTION("""COMPUTED_VALUE"""),0.0)</f>
        <v>0</v>
      </c>
      <c r="G136" s="2">
        <f>IFERROR(__xludf.DUMMYFUNCTION("""COMPUTED_VALUE"""),280.0)</f>
        <v>280</v>
      </c>
      <c r="H136" s="2">
        <f>IFERROR(__xludf.DUMMYFUNCTION("""COMPUTED_VALUE"""),0.0)</f>
        <v>0</v>
      </c>
    </row>
    <row r="137" ht="22.5" customHeight="1">
      <c r="A137" s="2" t="str">
        <f>IFERROR(__xludf.DUMMYFUNCTION("""COMPUTED_VALUE"""),"2026-04")</f>
        <v>2026-04</v>
      </c>
      <c r="B137" s="2" t="str">
        <f>IFERROR(__xludf.DUMMYFUNCTION("""COMPUTED_VALUE"""),"FRAME-SUV - LX")</f>
        <v>FRAME-SUV - LX</v>
      </c>
      <c r="C137" s="2">
        <f>IFERROR(__xludf.DUMMYFUNCTION("""COMPUTED_VALUE"""),0.0)</f>
        <v>0</v>
      </c>
      <c r="D137" s="2">
        <f>IFERROR(__xludf.DUMMYFUNCTION("""COMPUTED_VALUE"""),0.0)</f>
        <v>0</v>
      </c>
      <c r="E137" s="2">
        <f>IFERROR(__xludf.DUMMYFUNCTION("""COMPUTED_VALUE"""),0.0)</f>
        <v>0</v>
      </c>
      <c r="F137" s="2">
        <f>IFERROR(__xludf.DUMMYFUNCTION("""COMPUTED_VALUE"""),0.0)</f>
        <v>0</v>
      </c>
      <c r="G137" s="2">
        <f>IFERROR(__xludf.DUMMYFUNCTION("""COMPUTED_VALUE"""),0.0)</f>
        <v>0</v>
      </c>
      <c r="H137" s="2">
        <f>IFERROR(__xludf.DUMMYFUNCTION("""COMPUTED_VALUE"""),0.0)</f>
        <v>0</v>
      </c>
    </row>
    <row r="138" ht="22.5" customHeight="1">
      <c r="A138" s="2" t="str">
        <f>IFERROR(__xludf.DUMMYFUNCTION("""COMPUTED_VALUE"""),"2026-05")</f>
        <v>2026-05</v>
      </c>
      <c r="B138" s="2" t="str">
        <f>IFERROR(__xludf.DUMMYFUNCTION("""COMPUTED_VALUE"""),"FRAME-SUV - LX")</f>
        <v>FRAME-SUV - LX</v>
      </c>
      <c r="C138" s="2">
        <f>IFERROR(__xludf.DUMMYFUNCTION("""COMPUTED_VALUE"""),0.0)</f>
        <v>0</v>
      </c>
      <c r="D138" s="2">
        <f>IFERROR(__xludf.DUMMYFUNCTION("""COMPUTED_VALUE"""),0.0)</f>
        <v>0</v>
      </c>
      <c r="E138" s="2">
        <f>IFERROR(__xludf.DUMMYFUNCTION("""COMPUTED_VALUE"""),0.0)</f>
        <v>0</v>
      </c>
      <c r="F138" s="2">
        <f>IFERROR(__xludf.DUMMYFUNCTION("""COMPUTED_VALUE"""),0.0)</f>
        <v>0</v>
      </c>
      <c r="G138" s="2">
        <f>IFERROR(__xludf.DUMMYFUNCTION("""COMPUTED_VALUE"""),0.0)</f>
        <v>0</v>
      </c>
      <c r="H138" s="2">
        <f>IFERROR(__xludf.DUMMYFUNCTION("""COMPUTED_VALUE"""),0.0)</f>
        <v>0</v>
      </c>
    </row>
    <row r="139" ht="22.5" customHeight="1">
      <c r="A139" s="2" t="str">
        <f>IFERROR(__xludf.DUMMYFUNCTION("""COMPUTED_VALUE"""),"2026-06")</f>
        <v>2026-06</v>
      </c>
      <c r="B139" s="2" t="str">
        <f>IFERROR(__xludf.DUMMYFUNCTION("""COMPUTED_VALUE"""),"FRAME-SUV - LX")</f>
        <v>FRAME-SUV - LX</v>
      </c>
      <c r="C139" s="2">
        <f>IFERROR(__xludf.DUMMYFUNCTION("""COMPUTED_VALUE"""),0.0)</f>
        <v>0</v>
      </c>
      <c r="D139" s="2">
        <f>IFERROR(__xludf.DUMMYFUNCTION("""COMPUTED_VALUE"""),0.0)</f>
        <v>0</v>
      </c>
      <c r="E139" s="2">
        <f>IFERROR(__xludf.DUMMYFUNCTION("""COMPUTED_VALUE"""),0.0)</f>
        <v>0</v>
      </c>
      <c r="F139" s="2">
        <f>IFERROR(__xludf.DUMMYFUNCTION("""COMPUTED_VALUE"""),0.0)</f>
        <v>0</v>
      </c>
      <c r="G139" s="2">
        <f>IFERROR(__xludf.DUMMYFUNCTION("""COMPUTED_VALUE"""),0.0)</f>
        <v>0</v>
      </c>
      <c r="H139" s="2">
        <f>IFERROR(__xludf.DUMMYFUNCTION("""COMPUTED_VALUE"""),0.0)</f>
        <v>0</v>
      </c>
    </row>
    <row r="140" ht="22.5" customHeight="1">
      <c r="A140" s="2" t="str">
        <f>IFERROR(__xludf.DUMMYFUNCTION("""COMPUTED_VALUE"""),"2026-07")</f>
        <v>2026-07</v>
      </c>
      <c r="B140" s="2" t="str">
        <f>IFERROR(__xludf.DUMMYFUNCTION("""COMPUTED_VALUE"""),"FRAME-SUV - LX")</f>
        <v>FRAME-SUV - LX</v>
      </c>
      <c r="C140" s="2">
        <f>IFERROR(__xludf.DUMMYFUNCTION("""COMPUTED_VALUE"""),0.0)</f>
        <v>0</v>
      </c>
      <c r="D140" s="2">
        <f>IFERROR(__xludf.DUMMYFUNCTION("""COMPUTED_VALUE"""),0.0)</f>
        <v>0</v>
      </c>
      <c r="E140" s="2">
        <f>IFERROR(__xludf.DUMMYFUNCTION("""COMPUTED_VALUE"""),0.0)</f>
        <v>0</v>
      </c>
      <c r="F140" s="2">
        <f>IFERROR(__xludf.DUMMYFUNCTION("""COMPUTED_VALUE"""),0.0)</f>
        <v>0</v>
      </c>
      <c r="G140" s="2">
        <f>IFERROR(__xludf.DUMMYFUNCTION("""COMPUTED_VALUE"""),0.0)</f>
        <v>0</v>
      </c>
      <c r="H140" s="2">
        <f>IFERROR(__xludf.DUMMYFUNCTION("""COMPUTED_VALUE"""),0.0)</f>
        <v>0</v>
      </c>
    </row>
    <row r="141" ht="22.5" customHeight="1">
      <c r="A141" s="2" t="str">
        <f>IFERROR(__xludf.DUMMYFUNCTION("""COMPUTED_VALUE"""),"2026-08")</f>
        <v>2026-08</v>
      </c>
      <c r="B141" s="2" t="str">
        <f>IFERROR(__xludf.DUMMYFUNCTION("""COMPUTED_VALUE"""),"FRAME-SUV - LX")</f>
        <v>FRAME-SUV - LX</v>
      </c>
      <c r="C141" s="2">
        <f>IFERROR(__xludf.DUMMYFUNCTION("""COMPUTED_VALUE"""),0.0)</f>
        <v>0</v>
      </c>
      <c r="D141" s="2">
        <f>IFERROR(__xludf.DUMMYFUNCTION("""COMPUTED_VALUE"""),0.0)</f>
        <v>0</v>
      </c>
      <c r="E141" s="2">
        <f>IFERROR(__xludf.DUMMYFUNCTION("""COMPUTED_VALUE"""),0.0)</f>
        <v>0</v>
      </c>
      <c r="F141" s="2">
        <f>IFERROR(__xludf.DUMMYFUNCTION("""COMPUTED_VALUE"""),0.0)</f>
        <v>0</v>
      </c>
      <c r="G141" s="2">
        <f>IFERROR(__xludf.DUMMYFUNCTION("""COMPUTED_VALUE"""),0.0)</f>
        <v>0</v>
      </c>
      <c r="H141" s="2">
        <f>IFERROR(__xludf.DUMMYFUNCTION("""COMPUTED_VALUE"""),0.0)</f>
        <v>0</v>
      </c>
    </row>
    <row r="142" ht="22.5" customHeight="1">
      <c r="A142" s="2" t="str">
        <f>IFERROR(__xludf.DUMMYFUNCTION("""COMPUTED_VALUE"""),"2026-09")</f>
        <v>2026-09</v>
      </c>
      <c r="B142" s="2" t="str">
        <f>IFERROR(__xludf.DUMMYFUNCTION("""COMPUTED_VALUE"""),"FRAME-SUV - LX")</f>
        <v>FRAME-SUV - LX</v>
      </c>
      <c r="C142" s="2">
        <f>IFERROR(__xludf.DUMMYFUNCTION("""COMPUTED_VALUE"""),0.0)</f>
        <v>0</v>
      </c>
      <c r="D142" s="2">
        <f>IFERROR(__xludf.DUMMYFUNCTION("""COMPUTED_VALUE"""),0.0)</f>
        <v>0</v>
      </c>
      <c r="E142" s="2">
        <f>IFERROR(__xludf.DUMMYFUNCTION("""COMPUTED_VALUE"""),0.0)</f>
        <v>0</v>
      </c>
      <c r="F142" s="2">
        <f>IFERROR(__xludf.DUMMYFUNCTION("""COMPUTED_VALUE"""),0.0)</f>
        <v>0</v>
      </c>
      <c r="G142" s="2">
        <f>IFERROR(__xludf.DUMMYFUNCTION("""COMPUTED_VALUE"""),0.0)</f>
        <v>0</v>
      </c>
      <c r="H142" s="2">
        <f>IFERROR(__xludf.DUMMYFUNCTION("""COMPUTED_VALUE"""),0.0)</f>
        <v>0</v>
      </c>
    </row>
    <row r="143" ht="22.5" customHeight="1">
      <c r="A143" s="2" t="str">
        <f>IFERROR(__xludf.DUMMYFUNCTION("""COMPUTED_VALUE"""),"2026-10")</f>
        <v>2026-10</v>
      </c>
      <c r="B143" s="2" t="str">
        <f>IFERROR(__xludf.DUMMYFUNCTION("""COMPUTED_VALUE"""),"FRAME-SUV - LX")</f>
        <v>FRAME-SUV - LX</v>
      </c>
      <c r="C143" s="2">
        <f>IFERROR(__xludf.DUMMYFUNCTION("""COMPUTED_VALUE"""),0.0)</f>
        <v>0</v>
      </c>
      <c r="D143" s="2">
        <f>IFERROR(__xludf.DUMMYFUNCTION("""COMPUTED_VALUE"""),0.0)</f>
        <v>0</v>
      </c>
      <c r="E143" s="2">
        <f>IFERROR(__xludf.DUMMYFUNCTION("""COMPUTED_VALUE"""),0.0)</f>
        <v>0</v>
      </c>
      <c r="F143" s="2">
        <f>IFERROR(__xludf.DUMMYFUNCTION("""COMPUTED_VALUE"""),0.0)</f>
        <v>0</v>
      </c>
      <c r="G143" s="2">
        <f>IFERROR(__xludf.DUMMYFUNCTION("""COMPUTED_VALUE"""),0.0)</f>
        <v>0</v>
      </c>
      <c r="H143" s="2">
        <f>IFERROR(__xludf.DUMMYFUNCTION("""COMPUTED_VALUE"""),0.0)</f>
        <v>0</v>
      </c>
    </row>
    <row r="144" ht="22.5" customHeight="1">
      <c r="A144" s="2" t="str">
        <f>IFERROR(__xludf.DUMMYFUNCTION("""COMPUTED_VALUE"""),"2026-11")</f>
        <v>2026-11</v>
      </c>
      <c r="B144" s="2" t="str">
        <f>IFERROR(__xludf.DUMMYFUNCTION("""COMPUTED_VALUE"""),"FRAME-SUV - LX")</f>
        <v>FRAME-SUV - LX</v>
      </c>
      <c r="C144" s="2">
        <f>IFERROR(__xludf.DUMMYFUNCTION("""COMPUTED_VALUE"""),0.0)</f>
        <v>0</v>
      </c>
      <c r="D144" s="2">
        <f>IFERROR(__xludf.DUMMYFUNCTION("""COMPUTED_VALUE"""),0.0)</f>
        <v>0</v>
      </c>
      <c r="E144" s="2">
        <f>IFERROR(__xludf.DUMMYFUNCTION("""COMPUTED_VALUE"""),0.0)</f>
        <v>0</v>
      </c>
      <c r="F144" s="2">
        <f>IFERROR(__xludf.DUMMYFUNCTION("""COMPUTED_VALUE"""),0.0)</f>
        <v>0</v>
      </c>
      <c r="G144" s="2">
        <f>IFERROR(__xludf.DUMMYFUNCTION("""COMPUTED_VALUE"""),0.0)</f>
        <v>0</v>
      </c>
      <c r="H144" s="2">
        <f>IFERROR(__xludf.DUMMYFUNCTION("""COMPUTED_VALUE"""),0.0)</f>
        <v>0</v>
      </c>
    </row>
    <row r="145" ht="22.5" customHeight="1">
      <c r="A145" s="2" t="str">
        <f>IFERROR(__xludf.DUMMYFUNCTION("""COMPUTED_VALUE"""),"2026-12")</f>
        <v>2026-12</v>
      </c>
      <c r="B145" s="2" t="str">
        <f>IFERROR(__xludf.DUMMYFUNCTION("""COMPUTED_VALUE"""),"FRAME-SUV - LX")</f>
        <v>FRAME-SUV - LX</v>
      </c>
      <c r="C145" s="2">
        <f>IFERROR(__xludf.DUMMYFUNCTION("""COMPUTED_VALUE"""),0.0)</f>
        <v>0</v>
      </c>
      <c r="D145" s="2">
        <f>IFERROR(__xludf.DUMMYFUNCTION("""COMPUTED_VALUE"""),0.0)</f>
        <v>0</v>
      </c>
      <c r="E145" s="2">
        <f>IFERROR(__xludf.DUMMYFUNCTION("""COMPUTED_VALUE"""),0.0)</f>
        <v>0</v>
      </c>
      <c r="F145" s="2">
        <f>IFERROR(__xludf.DUMMYFUNCTION("""COMPUTED_VALUE"""),0.0)</f>
        <v>0</v>
      </c>
      <c r="G145" s="2">
        <f>IFERROR(__xludf.DUMMYFUNCTION("""COMPUTED_VALUE"""),0.0)</f>
        <v>0</v>
      </c>
      <c r="H145" s="2">
        <f>IFERROR(__xludf.DUMMYFUNCTION("""COMPUTED_VALUE"""),0.0)</f>
        <v>0</v>
      </c>
    </row>
    <row r="146" ht="22.5" customHeight="1">
      <c r="A146" s="2" t="str">
        <f>IFERROR(__xludf.DUMMYFUNCTION("""COMPUTED_VALUE"""),"2026-01")</f>
        <v>2026-01</v>
      </c>
      <c r="B146" s="2" t="str">
        <f>IFERROR(__xludf.DUMMYFUNCTION("""COMPUTED_VALUE"""),"FRAMESEAT-SD")</f>
        <v>FRAMESEAT-SD</v>
      </c>
      <c r="C146" s="2">
        <f>IFERROR(__xludf.DUMMYFUNCTION("""COMPUTED_VALUE"""),696.0)</f>
        <v>696</v>
      </c>
      <c r="D146" s="2">
        <f>IFERROR(__xludf.DUMMYFUNCTION("""COMPUTED_VALUE"""),0.0)</f>
        <v>0</v>
      </c>
      <c r="E146" s="2">
        <f>IFERROR(__xludf.DUMMYFUNCTION("""COMPUTED_VALUE"""),0.0)</f>
        <v>0</v>
      </c>
      <c r="F146" s="2">
        <f>IFERROR(__xludf.DUMMYFUNCTION("""COMPUTED_VALUE"""),0.0)</f>
        <v>0</v>
      </c>
      <c r="G146" s="2">
        <f>IFERROR(__xludf.DUMMYFUNCTION("""COMPUTED_VALUE"""),51.0)</f>
        <v>51</v>
      </c>
      <c r="H146" s="2">
        <f>IFERROR(__xludf.DUMMYFUNCTION("""COMPUTED_VALUE"""),645.0)</f>
        <v>645</v>
      </c>
    </row>
    <row r="147" ht="22.5" customHeight="1">
      <c r="A147" s="2" t="str">
        <f>IFERROR(__xludf.DUMMYFUNCTION("""COMPUTED_VALUE"""),"2026-02")</f>
        <v>2026-02</v>
      </c>
      <c r="B147" s="2" t="str">
        <f>IFERROR(__xludf.DUMMYFUNCTION("""COMPUTED_VALUE"""),"FRAMESEAT-SD")</f>
        <v>FRAMESEAT-SD</v>
      </c>
      <c r="C147" s="2">
        <f>IFERROR(__xludf.DUMMYFUNCTION("""COMPUTED_VALUE"""),645.0)</f>
        <v>645</v>
      </c>
      <c r="D147" s="2">
        <f>IFERROR(__xludf.DUMMYFUNCTION("""COMPUTED_VALUE"""),0.0)</f>
        <v>0</v>
      </c>
      <c r="E147" s="2">
        <f>IFERROR(__xludf.DUMMYFUNCTION("""COMPUTED_VALUE"""),0.0)</f>
        <v>0</v>
      </c>
      <c r="F147" s="2">
        <f>IFERROR(__xludf.DUMMYFUNCTION("""COMPUTED_VALUE"""),0.0)</f>
        <v>0</v>
      </c>
      <c r="G147" s="2">
        <f>IFERROR(__xludf.DUMMYFUNCTION("""COMPUTED_VALUE"""),0.0)</f>
        <v>0</v>
      </c>
      <c r="H147" s="2">
        <f>IFERROR(__xludf.DUMMYFUNCTION("""COMPUTED_VALUE"""),645.0)</f>
        <v>645</v>
      </c>
    </row>
    <row r="148" ht="22.5" customHeight="1">
      <c r="A148" s="2" t="str">
        <f>IFERROR(__xludf.DUMMYFUNCTION("""COMPUTED_VALUE"""),"2026-03")</f>
        <v>2026-03</v>
      </c>
      <c r="B148" s="2" t="str">
        <f>IFERROR(__xludf.DUMMYFUNCTION("""COMPUTED_VALUE"""),"FRAMESEAT-SD")</f>
        <v>FRAMESEAT-SD</v>
      </c>
      <c r="C148" s="2">
        <f>IFERROR(__xludf.DUMMYFUNCTION("""COMPUTED_VALUE"""),645.0)</f>
        <v>645</v>
      </c>
      <c r="D148" s="2">
        <f>IFERROR(__xludf.DUMMYFUNCTION("""COMPUTED_VALUE"""),0.0)</f>
        <v>0</v>
      </c>
      <c r="E148" s="2">
        <f>IFERROR(__xludf.DUMMYFUNCTION("""COMPUTED_VALUE"""),0.0)</f>
        <v>0</v>
      </c>
      <c r="F148" s="2">
        <f>IFERROR(__xludf.DUMMYFUNCTION("""COMPUTED_VALUE"""),0.0)</f>
        <v>0</v>
      </c>
      <c r="G148" s="2">
        <f>IFERROR(__xludf.DUMMYFUNCTION("""COMPUTED_VALUE"""),0.0)</f>
        <v>0</v>
      </c>
      <c r="H148" s="2">
        <f>IFERROR(__xludf.DUMMYFUNCTION("""COMPUTED_VALUE"""),645.0)</f>
        <v>645</v>
      </c>
    </row>
    <row r="149" ht="22.5" customHeight="1">
      <c r="A149" s="2" t="str">
        <f>IFERROR(__xludf.DUMMYFUNCTION("""COMPUTED_VALUE"""),"2026-04")</f>
        <v>2026-04</v>
      </c>
      <c r="B149" s="2" t="str">
        <f>IFERROR(__xludf.DUMMYFUNCTION("""COMPUTED_VALUE"""),"FRAMESEAT-SD")</f>
        <v>FRAMESEAT-SD</v>
      </c>
      <c r="C149" s="2">
        <f>IFERROR(__xludf.DUMMYFUNCTION("""COMPUTED_VALUE"""),645.0)</f>
        <v>645</v>
      </c>
      <c r="D149" s="2">
        <f>IFERROR(__xludf.DUMMYFUNCTION("""COMPUTED_VALUE"""),0.0)</f>
        <v>0</v>
      </c>
      <c r="E149" s="2">
        <f>IFERROR(__xludf.DUMMYFUNCTION("""COMPUTED_VALUE"""),0.0)</f>
        <v>0</v>
      </c>
      <c r="F149" s="2">
        <f>IFERROR(__xludf.DUMMYFUNCTION("""COMPUTED_VALUE"""),0.0)</f>
        <v>0</v>
      </c>
      <c r="G149" s="2">
        <f>IFERROR(__xludf.DUMMYFUNCTION("""COMPUTED_VALUE"""),0.0)</f>
        <v>0</v>
      </c>
      <c r="H149" s="2">
        <f>IFERROR(__xludf.DUMMYFUNCTION("""COMPUTED_VALUE"""),645.0)</f>
        <v>645</v>
      </c>
    </row>
    <row r="150" ht="22.5" customHeight="1">
      <c r="A150" s="2" t="str">
        <f>IFERROR(__xludf.DUMMYFUNCTION("""COMPUTED_VALUE"""),"2026-05")</f>
        <v>2026-05</v>
      </c>
      <c r="B150" s="2" t="str">
        <f>IFERROR(__xludf.DUMMYFUNCTION("""COMPUTED_VALUE"""),"FRAMESEAT-SD")</f>
        <v>FRAMESEAT-SD</v>
      </c>
      <c r="C150" s="2">
        <f>IFERROR(__xludf.DUMMYFUNCTION("""COMPUTED_VALUE"""),645.0)</f>
        <v>645</v>
      </c>
      <c r="D150" s="2">
        <f>IFERROR(__xludf.DUMMYFUNCTION("""COMPUTED_VALUE"""),0.0)</f>
        <v>0</v>
      </c>
      <c r="E150" s="2">
        <f>IFERROR(__xludf.DUMMYFUNCTION("""COMPUTED_VALUE"""),0.0)</f>
        <v>0</v>
      </c>
      <c r="F150" s="2">
        <f>IFERROR(__xludf.DUMMYFUNCTION("""COMPUTED_VALUE"""),0.0)</f>
        <v>0</v>
      </c>
      <c r="G150" s="2">
        <f>IFERROR(__xludf.DUMMYFUNCTION("""COMPUTED_VALUE"""),0.0)</f>
        <v>0</v>
      </c>
      <c r="H150" s="2">
        <f>IFERROR(__xludf.DUMMYFUNCTION("""COMPUTED_VALUE"""),645.0)</f>
        <v>645</v>
      </c>
    </row>
    <row r="151" ht="22.5" customHeight="1">
      <c r="A151" s="2" t="str">
        <f>IFERROR(__xludf.DUMMYFUNCTION("""COMPUTED_VALUE"""),"2026-06")</f>
        <v>2026-06</v>
      </c>
      <c r="B151" s="2" t="str">
        <f>IFERROR(__xludf.DUMMYFUNCTION("""COMPUTED_VALUE"""),"FRAMESEAT-SD")</f>
        <v>FRAMESEAT-SD</v>
      </c>
      <c r="C151" s="2">
        <f>IFERROR(__xludf.DUMMYFUNCTION("""COMPUTED_VALUE"""),645.0)</f>
        <v>645</v>
      </c>
      <c r="D151" s="2">
        <f>IFERROR(__xludf.DUMMYFUNCTION("""COMPUTED_VALUE"""),0.0)</f>
        <v>0</v>
      </c>
      <c r="E151" s="2">
        <f>IFERROR(__xludf.DUMMYFUNCTION("""COMPUTED_VALUE"""),0.0)</f>
        <v>0</v>
      </c>
      <c r="F151" s="2">
        <f>IFERROR(__xludf.DUMMYFUNCTION("""COMPUTED_VALUE"""),0.0)</f>
        <v>0</v>
      </c>
      <c r="G151" s="2">
        <f>IFERROR(__xludf.DUMMYFUNCTION("""COMPUTED_VALUE"""),0.0)</f>
        <v>0</v>
      </c>
      <c r="H151" s="2">
        <f>IFERROR(__xludf.DUMMYFUNCTION("""COMPUTED_VALUE"""),645.0)</f>
        <v>645</v>
      </c>
    </row>
    <row r="152" ht="22.5" customHeight="1">
      <c r="A152" s="2" t="str">
        <f>IFERROR(__xludf.DUMMYFUNCTION("""COMPUTED_VALUE"""),"2026-07")</f>
        <v>2026-07</v>
      </c>
      <c r="B152" s="2" t="str">
        <f>IFERROR(__xludf.DUMMYFUNCTION("""COMPUTED_VALUE"""),"FRAMESEAT-SD")</f>
        <v>FRAMESEAT-SD</v>
      </c>
      <c r="C152" s="2">
        <f>IFERROR(__xludf.DUMMYFUNCTION("""COMPUTED_VALUE"""),645.0)</f>
        <v>645</v>
      </c>
      <c r="D152" s="2">
        <f>IFERROR(__xludf.DUMMYFUNCTION("""COMPUTED_VALUE"""),0.0)</f>
        <v>0</v>
      </c>
      <c r="E152" s="2">
        <f>IFERROR(__xludf.DUMMYFUNCTION("""COMPUTED_VALUE"""),0.0)</f>
        <v>0</v>
      </c>
      <c r="F152" s="2">
        <f>IFERROR(__xludf.DUMMYFUNCTION("""COMPUTED_VALUE"""),0.0)</f>
        <v>0</v>
      </c>
      <c r="G152" s="2">
        <f>IFERROR(__xludf.DUMMYFUNCTION("""COMPUTED_VALUE"""),0.0)</f>
        <v>0</v>
      </c>
      <c r="H152" s="2">
        <f>IFERROR(__xludf.DUMMYFUNCTION("""COMPUTED_VALUE"""),645.0)</f>
        <v>645</v>
      </c>
    </row>
    <row r="153" ht="22.5" customHeight="1">
      <c r="A153" s="2" t="str">
        <f>IFERROR(__xludf.DUMMYFUNCTION("""COMPUTED_VALUE"""),"2026-08")</f>
        <v>2026-08</v>
      </c>
      <c r="B153" s="2" t="str">
        <f>IFERROR(__xludf.DUMMYFUNCTION("""COMPUTED_VALUE"""),"FRAMESEAT-SD")</f>
        <v>FRAMESEAT-SD</v>
      </c>
      <c r="C153" s="2">
        <f>IFERROR(__xludf.DUMMYFUNCTION("""COMPUTED_VALUE"""),645.0)</f>
        <v>645</v>
      </c>
      <c r="D153" s="2">
        <f>IFERROR(__xludf.DUMMYFUNCTION("""COMPUTED_VALUE"""),0.0)</f>
        <v>0</v>
      </c>
      <c r="E153" s="2">
        <f>IFERROR(__xludf.DUMMYFUNCTION("""COMPUTED_VALUE"""),0.0)</f>
        <v>0</v>
      </c>
      <c r="F153" s="2">
        <f>IFERROR(__xludf.DUMMYFUNCTION("""COMPUTED_VALUE"""),0.0)</f>
        <v>0</v>
      </c>
      <c r="G153" s="2">
        <f>IFERROR(__xludf.DUMMYFUNCTION("""COMPUTED_VALUE"""),0.0)</f>
        <v>0</v>
      </c>
      <c r="H153" s="2">
        <f>IFERROR(__xludf.DUMMYFUNCTION("""COMPUTED_VALUE"""),645.0)</f>
        <v>645</v>
      </c>
    </row>
    <row r="154" ht="22.5" customHeight="1">
      <c r="A154" s="2" t="str">
        <f>IFERROR(__xludf.DUMMYFUNCTION("""COMPUTED_VALUE"""),"2026-09")</f>
        <v>2026-09</v>
      </c>
      <c r="B154" s="2" t="str">
        <f>IFERROR(__xludf.DUMMYFUNCTION("""COMPUTED_VALUE"""),"FRAMESEAT-SD")</f>
        <v>FRAMESEAT-SD</v>
      </c>
      <c r="C154" s="2">
        <f>IFERROR(__xludf.DUMMYFUNCTION("""COMPUTED_VALUE"""),645.0)</f>
        <v>645</v>
      </c>
      <c r="D154" s="2">
        <f>IFERROR(__xludf.DUMMYFUNCTION("""COMPUTED_VALUE"""),0.0)</f>
        <v>0</v>
      </c>
      <c r="E154" s="2">
        <f>IFERROR(__xludf.DUMMYFUNCTION("""COMPUTED_VALUE"""),0.0)</f>
        <v>0</v>
      </c>
      <c r="F154" s="2">
        <f>IFERROR(__xludf.DUMMYFUNCTION("""COMPUTED_VALUE"""),0.0)</f>
        <v>0</v>
      </c>
      <c r="G154" s="2">
        <f>IFERROR(__xludf.DUMMYFUNCTION("""COMPUTED_VALUE"""),0.0)</f>
        <v>0</v>
      </c>
      <c r="H154" s="2">
        <f>IFERROR(__xludf.DUMMYFUNCTION("""COMPUTED_VALUE"""),645.0)</f>
        <v>645</v>
      </c>
    </row>
    <row r="155" ht="22.5" customHeight="1">
      <c r="A155" s="2" t="str">
        <f>IFERROR(__xludf.DUMMYFUNCTION("""COMPUTED_VALUE"""),"2026-10")</f>
        <v>2026-10</v>
      </c>
      <c r="B155" s="2" t="str">
        <f>IFERROR(__xludf.DUMMYFUNCTION("""COMPUTED_VALUE"""),"FRAMESEAT-SD")</f>
        <v>FRAMESEAT-SD</v>
      </c>
      <c r="C155" s="2">
        <f>IFERROR(__xludf.DUMMYFUNCTION("""COMPUTED_VALUE"""),645.0)</f>
        <v>645</v>
      </c>
      <c r="D155" s="2">
        <f>IFERROR(__xludf.DUMMYFUNCTION("""COMPUTED_VALUE"""),0.0)</f>
        <v>0</v>
      </c>
      <c r="E155" s="2">
        <f>IFERROR(__xludf.DUMMYFUNCTION("""COMPUTED_VALUE"""),0.0)</f>
        <v>0</v>
      </c>
      <c r="F155" s="2">
        <f>IFERROR(__xludf.DUMMYFUNCTION("""COMPUTED_VALUE"""),0.0)</f>
        <v>0</v>
      </c>
      <c r="G155" s="2">
        <f>IFERROR(__xludf.DUMMYFUNCTION("""COMPUTED_VALUE"""),0.0)</f>
        <v>0</v>
      </c>
      <c r="H155" s="2">
        <f>IFERROR(__xludf.DUMMYFUNCTION("""COMPUTED_VALUE"""),645.0)</f>
        <v>645</v>
      </c>
    </row>
    <row r="156" ht="22.5" customHeight="1">
      <c r="A156" s="2" t="str">
        <f>IFERROR(__xludf.DUMMYFUNCTION("""COMPUTED_VALUE"""),"2026-11")</f>
        <v>2026-11</v>
      </c>
      <c r="B156" s="2" t="str">
        <f>IFERROR(__xludf.DUMMYFUNCTION("""COMPUTED_VALUE"""),"FRAMESEAT-SD")</f>
        <v>FRAMESEAT-SD</v>
      </c>
      <c r="C156" s="2">
        <f>IFERROR(__xludf.DUMMYFUNCTION("""COMPUTED_VALUE"""),645.0)</f>
        <v>645</v>
      </c>
      <c r="D156" s="2">
        <f>IFERROR(__xludf.DUMMYFUNCTION("""COMPUTED_VALUE"""),0.0)</f>
        <v>0</v>
      </c>
      <c r="E156" s="2">
        <f>IFERROR(__xludf.DUMMYFUNCTION("""COMPUTED_VALUE"""),0.0)</f>
        <v>0</v>
      </c>
      <c r="F156" s="2">
        <f>IFERROR(__xludf.DUMMYFUNCTION("""COMPUTED_VALUE"""),0.0)</f>
        <v>0</v>
      </c>
      <c r="G156" s="2">
        <f>IFERROR(__xludf.DUMMYFUNCTION("""COMPUTED_VALUE"""),0.0)</f>
        <v>0</v>
      </c>
      <c r="H156" s="2">
        <f>IFERROR(__xludf.DUMMYFUNCTION("""COMPUTED_VALUE"""),645.0)</f>
        <v>645</v>
      </c>
    </row>
    <row r="157" ht="22.5" customHeight="1">
      <c r="A157" s="2" t="str">
        <f>IFERROR(__xludf.DUMMYFUNCTION("""COMPUTED_VALUE"""),"2026-12")</f>
        <v>2026-12</v>
      </c>
      <c r="B157" s="2" t="str">
        <f>IFERROR(__xludf.DUMMYFUNCTION("""COMPUTED_VALUE"""),"FRAMESEAT-SD")</f>
        <v>FRAMESEAT-SD</v>
      </c>
      <c r="C157" s="2">
        <f>IFERROR(__xludf.DUMMYFUNCTION("""COMPUTED_VALUE"""),645.0)</f>
        <v>645</v>
      </c>
      <c r="D157" s="2">
        <f>IFERROR(__xludf.DUMMYFUNCTION("""COMPUTED_VALUE"""),0.0)</f>
        <v>0</v>
      </c>
      <c r="E157" s="2">
        <f>IFERROR(__xludf.DUMMYFUNCTION("""COMPUTED_VALUE"""),0.0)</f>
        <v>0</v>
      </c>
      <c r="F157" s="2">
        <f>IFERROR(__xludf.DUMMYFUNCTION("""COMPUTED_VALUE"""),0.0)</f>
        <v>0</v>
      </c>
      <c r="G157" s="2">
        <f>IFERROR(__xludf.DUMMYFUNCTION("""COMPUTED_VALUE"""),0.0)</f>
        <v>0</v>
      </c>
      <c r="H157" s="2">
        <f>IFERROR(__xludf.DUMMYFUNCTION("""COMPUTED_VALUE"""),645.0)</f>
        <v>645</v>
      </c>
    </row>
    <row r="158" ht="22.5" customHeight="1">
      <c r="A158" s="2" t="str">
        <f>IFERROR(__xludf.DUMMYFUNCTION("""COMPUTED_VALUE"""),"2026-01")</f>
        <v>2026-01</v>
      </c>
      <c r="B158" s="2" t="str">
        <f>IFERROR(__xludf.DUMMYFUNCTION("""COMPUTED_VALUE"""),"FRAMESEAT-SD - LX")</f>
        <v>FRAMESEAT-SD - LX</v>
      </c>
      <c r="C158" s="2">
        <f>IFERROR(__xludf.DUMMYFUNCTION("""COMPUTED_VALUE"""),227.0)</f>
        <v>227</v>
      </c>
      <c r="D158" s="2">
        <f>IFERROR(__xludf.DUMMYFUNCTION("""COMPUTED_VALUE"""),0.0)</f>
        <v>0</v>
      </c>
      <c r="E158" s="2">
        <f>IFERROR(__xludf.DUMMYFUNCTION("""COMPUTED_VALUE"""),0.0)</f>
        <v>0</v>
      </c>
      <c r="F158" s="2">
        <f>IFERROR(__xludf.DUMMYFUNCTION("""COMPUTED_VALUE"""),0.0)</f>
        <v>0</v>
      </c>
      <c r="G158" s="2">
        <f>IFERROR(__xludf.DUMMYFUNCTION("""COMPUTED_VALUE"""),154.0)</f>
        <v>154</v>
      </c>
      <c r="H158" s="2">
        <f>IFERROR(__xludf.DUMMYFUNCTION("""COMPUTED_VALUE"""),73.0)</f>
        <v>73</v>
      </c>
    </row>
    <row r="159" ht="22.5" customHeight="1">
      <c r="A159" s="2" t="str">
        <f>IFERROR(__xludf.DUMMYFUNCTION("""COMPUTED_VALUE"""),"2026-02")</f>
        <v>2026-02</v>
      </c>
      <c r="B159" s="2" t="str">
        <f>IFERROR(__xludf.DUMMYFUNCTION("""COMPUTED_VALUE"""),"FRAMESEAT-SD - LX")</f>
        <v>FRAMESEAT-SD - LX</v>
      </c>
      <c r="C159" s="2">
        <f>IFERROR(__xludf.DUMMYFUNCTION("""COMPUTED_VALUE"""),73.0)</f>
        <v>73</v>
      </c>
      <c r="D159" s="2">
        <f>IFERROR(__xludf.DUMMYFUNCTION("""COMPUTED_VALUE"""),0.0)</f>
        <v>0</v>
      </c>
      <c r="E159" s="2">
        <f>IFERROR(__xludf.DUMMYFUNCTION("""COMPUTED_VALUE"""),0.0)</f>
        <v>0</v>
      </c>
      <c r="F159" s="2">
        <f>IFERROR(__xludf.DUMMYFUNCTION("""COMPUTED_VALUE"""),0.0)</f>
        <v>0</v>
      </c>
      <c r="G159" s="2">
        <f>IFERROR(__xludf.DUMMYFUNCTION("""COMPUTED_VALUE"""),0.0)</f>
        <v>0</v>
      </c>
      <c r="H159" s="2">
        <f>IFERROR(__xludf.DUMMYFUNCTION("""COMPUTED_VALUE"""),73.0)</f>
        <v>73</v>
      </c>
    </row>
    <row r="160" ht="22.5" customHeight="1">
      <c r="A160" s="2" t="str">
        <f>IFERROR(__xludf.DUMMYFUNCTION("""COMPUTED_VALUE"""),"2026-03")</f>
        <v>2026-03</v>
      </c>
      <c r="B160" s="2" t="str">
        <f>IFERROR(__xludf.DUMMYFUNCTION("""COMPUTED_VALUE"""),"FRAMESEAT-SD - LX")</f>
        <v>FRAMESEAT-SD - LX</v>
      </c>
      <c r="C160" s="2">
        <f>IFERROR(__xludf.DUMMYFUNCTION("""COMPUTED_VALUE"""),73.0)</f>
        <v>73</v>
      </c>
      <c r="D160" s="2">
        <f>IFERROR(__xludf.DUMMYFUNCTION("""COMPUTED_VALUE"""),0.0)</f>
        <v>0</v>
      </c>
      <c r="E160" s="2">
        <f>IFERROR(__xludf.DUMMYFUNCTION("""COMPUTED_VALUE"""),0.0)</f>
        <v>0</v>
      </c>
      <c r="F160" s="2">
        <f>IFERROR(__xludf.DUMMYFUNCTION("""COMPUTED_VALUE"""),0.0)</f>
        <v>0</v>
      </c>
      <c r="G160" s="2">
        <f>IFERROR(__xludf.DUMMYFUNCTION("""COMPUTED_VALUE"""),0.0)</f>
        <v>0</v>
      </c>
      <c r="H160" s="2">
        <f>IFERROR(__xludf.DUMMYFUNCTION("""COMPUTED_VALUE"""),73.0)</f>
        <v>73</v>
      </c>
    </row>
    <row r="161" ht="22.5" customHeight="1">
      <c r="A161" s="2" t="str">
        <f>IFERROR(__xludf.DUMMYFUNCTION("""COMPUTED_VALUE"""),"2026-04")</f>
        <v>2026-04</v>
      </c>
      <c r="B161" s="2" t="str">
        <f>IFERROR(__xludf.DUMMYFUNCTION("""COMPUTED_VALUE"""),"FRAMESEAT-SD - LX")</f>
        <v>FRAMESEAT-SD - LX</v>
      </c>
      <c r="C161" s="2">
        <f>IFERROR(__xludf.DUMMYFUNCTION("""COMPUTED_VALUE"""),73.0)</f>
        <v>73</v>
      </c>
      <c r="D161" s="2">
        <f>IFERROR(__xludf.DUMMYFUNCTION("""COMPUTED_VALUE"""),0.0)</f>
        <v>0</v>
      </c>
      <c r="E161" s="2">
        <f>IFERROR(__xludf.DUMMYFUNCTION("""COMPUTED_VALUE"""),0.0)</f>
        <v>0</v>
      </c>
      <c r="F161" s="2">
        <f>IFERROR(__xludf.DUMMYFUNCTION("""COMPUTED_VALUE"""),0.0)</f>
        <v>0</v>
      </c>
      <c r="G161" s="2">
        <f>IFERROR(__xludf.DUMMYFUNCTION("""COMPUTED_VALUE"""),0.0)</f>
        <v>0</v>
      </c>
      <c r="H161" s="2">
        <f>IFERROR(__xludf.DUMMYFUNCTION("""COMPUTED_VALUE"""),73.0)</f>
        <v>73</v>
      </c>
    </row>
    <row r="162" ht="22.5" customHeight="1">
      <c r="A162" s="2" t="str">
        <f>IFERROR(__xludf.DUMMYFUNCTION("""COMPUTED_VALUE"""),"2026-05")</f>
        <v>2026-05</v>
      </c>
      <c r="B162" s="2" t="str">
        <f>IFERROR(__xludf.DUMMYFUNCTION("""COMPUTED_VALUE"""),"FRAMESEAT-SD - LX")</f>
        <v>FRAMESEAT-SD - LX</v>
      </c>
      <c r="C162" s="2">
        <f>IFERROR(__xludf.DUMMYFUNCTION("""COMPUTED_VALUE"""),73.0)</f>
        <v>73</v>
      </c>
      <c r="D162" s="2">
        <f>IFERROR(__xludf.DUMMYFUNCTION("""COMPUTED_VALUE"""),0.0)</f>
        <v>0</v>
      </c>
      <c r="E162" s="2">
        <f>IFERROR(__xludf.DUMMYFUNCTION("""COMPUTED_VALUE"""),0.0)</f>
        <v>0</v>
      </c>
      <c r="F162" s="2">
        <f>IFERROR(__xludf.DUMMYFUNCTION("""COMPUTED_VALUE"""),0.0)</f>
        <v>0</v>
      </c>
      <c r="G162" s="2">
        <f>IFERROR(__xludf.DUMMYFUNCTION("""COMPUTED_VALUE"""),0.0)</f>
        <v>0</v>
      </c>
      <c r="H162" s="2">
        <f>IFERROR(__xludf.DUMMYFUNCTION("""COMPUTED_VALUE"""),73.0)</f>
        <v>73</v>
      </c>
    </row>
    <row r="163" ht="22.5" customHeight="1">
      <c r="A163" s="2" t="str">
        <f>IFERROR(__xludf.DUMMYFUNCTION("""COMPUTED_VALUE"""),"2026-06")</f>
        <v>2026-06</v>
      </c>
      <c r="B163" s="2" t="str">
        <f>IFERROR(__xludf.DUMMYFUNCTION("""COMPUTED_VALUE"""),"FRAMESEAT-SD - LX")</f>
        <v>FRAMESEAT-SD - LX</v>
      </c>
      <c r="C163" s="2">
        <f>IFERROR(__xludf.DUMMYFUNCTION("""COMPUTED_VALUE"""),73.0)</f>
        <v>73</v>
      </c>
      <c r="D163" s="2">
        <f>IFERROR(__xludf.DUMMYFUNCTION("""COMPUTED_VALUE"""),0.0)</f>
        <v>0</v>
      </c>
      <c r="E163" s="2">
        <f>IFERROR(__xludf.DUMMYFUNCTION("""COMPUTED_VALUE"""),0.0)</f>
        <v>0</v>
      </c>
      <c r="F163" s="2">
        <f>IFERROR(__xludf.DUMMYFUNCTION("""COMPUTED_VALUE"""),0.0)</f>
        <v>0</v>
      </c>
      <c r="G163" s="2">
        <f>IFERROR(__xludf.DUMMYFUNCTION("""COMPUTED_VALUE"""),0.0)</f>
        <v>0</v>
      </c>
      <c r="H163" s="2">
        <f>IFERROR(__xludf.DUMMYFUNCTION("""COMPUTED_VALUE"""),73.0)</f>
        <v>73</v>
      </c>
    </row>
    <row r="164" ht="22.5" customHeight="1">
      <c r="A164" s="2" t="str">
        <f>IFERROR(__xludf.DUMMYFUNCTION("""COMPUTED_VALUE"""),"2026-07")</f>
        <v>2026-07</v>
      </c>
      <c r="B164" s="2" t="str">
        <f>IFERROR(__xludf.DUMMYFUNCTION("""COMPUTED_VALUE"""),"FRAMESEAT-SD - LX")</f>
        <v>FRAMESEAT-SD - LX</v>
      </c>
      <c r="C164" s="2">
        <f>IFERROR(__xludf.DUMMYFUNCTION("""COMPUTED_VALUE"""),73.0)</f>
        <v>73</v>
      </c>
      <c r="D164" s="2">
        <f>IFERROR(__xludf.DUMMYFUNCTION("""COMPUTED_VALUE"""),0.0)</f>
        <v>0</v>
      </c>
      <c r="E164" s="2">
        <f>IFERROR(__xludf.DUMMYFUNCTION("""COMPUTED_VALUE"""),0.0)</f>
        <v>0</v>
      </c>
      <c r="F164" s="2">
        <f>IFERROR(__xludf.DUMMYFUNCTION("""COMPUTED_VALUE"""),0.0)</f>
        <v>0</v>
      </c>
      <c r="G164" s="2">
        <f>IFERROR(__xludf.DUMMYFUNCTION("""COMPUTED_VALUE"""),0.0)</f>
        <v>0</v>
      </c>
      <c r="H164" s="2">
        <f>IFERROR(__xludf.DUMMYFUNCTION("""COMPUTED_VALUE"""),73.0)</f>
        <v>73</v>
      </c>
    </row>
    <row r="165" ht="22.5" customHeight="1">
      <c r="A165" s="2" t="str">
        <f>IFERROR(__xludf.DUMMYFUNCTION("""COMPUTED_VALUE"""),"2026-08")</f>
        <v>2026-08</v>
      </c>
      <c r="B165" s="2" t="str">
        <f>IFERROR(__xludf.DUMMYFUNCTION("""COMPUTED_VALUE"""),"FRAMESEAT-SD - LX")</f>
        <v>FRAMESEAT-SD - LX</v>
      </c>
      <c r="C165" s="2">
        <f>IFERROR(__xludf.DUMMYFUNCTION("""COMPUTED_VALUE"""),73.0)</f>
        <v>73</v>
      </c>
      <c r="D165" s="2">
        <f>IFERROR(__xludf.DUMMYFUNCTION("""COMPUTED_VALUE"""),0.0)</f>
        <v>0</v>
      </c>
      <c r="E165" s="2">
        <f>IFERROR(__xludf.DUMMYFUNCTION("""COMPUTED_VALUE"""),0.0)</f>
        <v>0</v>
      </c>
      <c r="F165" s="2">
        <f>IFERROR(__xludf.DUMMYFUNCTION("""COMPUTED_VALUE"""),0.0)</f>
        <v>0</v>
      </c>
      <c r="G165" s="2">
        <f>IFERROR(__xludf.DUMMYFUNCTION("""COMPUTED_VALUE"""),0.0)</f>
        <v>0</v>
      </c>
      <c r="H165" s="2">
        <f>IFERROR(__xludf.DUMMYFUNCTION("""COMPUTED_VALUE"""),73.0)</f>
        <v>73</v>
      </c>
    </row>
    <row r="166" ht="22.5" customHeight="1">
      <c r="A166" s="2" t="str">
        <f>IFERROR(__xludf.DUMMYFUNCTION("""COMPUTED_VALUE"""),"2026-09")</f>
        <v>2026-09</v>
      </c>
      <c r="B166" s="2" t="str">
        <f>IFERROR(__xludf.DUMMYFUNCTION("""COMPUTED_VALUE"""),"FRAMESEAT-SD - LX")</f>
        <v>FRAMESEAT-SD - LX</v>
      </c>
      <c r="C166" s="2">
        <f>IFERROR(__xludf.DUMMYFUNCTION("""COMPUTED_VALUE"""),73.0)</f>
        <v>73</v>
      </c>
      <c r="D166" s="2">
        <f>IFERROR(__xludf.DUMMYFUNCTION("""COMPUTED_VALUE"""),0.0)</f>
        <v>0</v>
      </c>
      <c r="E166" s="2">
        <f>IFERROR(__xludf.DUMMYFUNCTION("""COMPUTED_VALUE"""),0.0)</f>
        <v>0</v>
      </c>
      <c r="F166" s="2">
        <f>IFERROR(__xludf.DUMMYFUNCTION("""COMPUTED_VALUE"""),0.0)</f>
        <v>0</v>
      </c>
      <c r="G166" s="2">
        <f>IFERROR(__xludf.DUMMYFUNCTION("""COMPUTED_VALUE"""),0.0)</f>
        <v>0</v>
      </c>
      <c r="H166" s="2">
        <f>IFERROR(__xludf.DUMMYFUNCTION("""COMPUTED_VALUE"""),73.0)</f>
        <v>73</v>
      </c>
    </row>
    <row r="167" ht="22.5" customHeight="1">
      <c r="A167" s="2" t="str">
        <f>IFERROR(__xludf.DUMMYFUNCTION("""COMPUTED_VALUE"""),"2026-10")</f>
        <v>2026-10</v>
      </c>
      <c r="B167" s="2" t="str">
        <f>IFERROR(__xludf.DUMMYFUNCTION("""COMPUTED_VALUE"""),"FRAMESEAT-SD - LX")</f>
        <v>FRAMESEAT-SD - LX</v>
      </c>
      <c r="C167" s="2">
        <f>IFERROR(__xludf.DUMMYFUNCTION("""COMPUTED_VALUE"""),73.0)</f>
        <v>73</v>
      </c>
      <c r="D167" s="2">
        <f>IFERROR(__xludf.DUMMYFUNCTION("""COMPUTED_VALUE"""),0.0)</f>
        <v>0</v>
      </c>
      <c r="E167" s="2">
        <f>IFERROR(__xludf.DUMMYFUNCTION("""COMPUTED_VALUE"""),0.0)</f>
        <v>0</v>
      </c>
      <c r="F167" s="2">
        <f>IFERROR(__xludf.DUMMYFUNCTION("""COMPUTED_VALUE"""),0.0)</f>
        <v>0</v>
      </c>
      <c r="G167" s="2">
        <f>IFERROR(__xludf.DUMMYFUNCTION("""COMPUTED_VALUE"""),0.0)</f>
        <v>0</v>
      </c>
      <c r="H167" s="2">
        <f>IFERROR(__xludf.DUMMYFUNCTION("""COMPUTED_VALUE"""),73.0)</f>
        <v>73</v>
      </c>
    </row>
    <row r="168" ht="22.5" customHeight="1">
      <c r="A168" s="2" t="str">
        <f>IFERROR(__xludf.DUMMYFUNCTION("""COMPUTED_VALUE"""),"2026-11")</f>
        <v>2026-11</v>
      </c>
      <c r="B168" s="2" t="str">
        <f>IFERROR(__xludf.DUMMYFUNCTION("""COMPUTED_VALUE"""),"FRAMESEAT-SD - LX")</f>
        <v>FRAMESEAT-SD - LX</v>
      </c>
      <c r="C168" s="2">
        <f>IFERROR(__xludf.DUMMYFUNCTION("""COMPUTED_VALUE"""),73.0)</f>
        <v>73</v>
      </c>
      <c r="D168" s="2">
        <f>IFERROR(__xludf.DUMMYFUNCTION("""COMPUTED_VALUE"""),0.0)</f>
        <v>0</v>
      </c>
      <c r="E168" s="2">
        <f>IFERROR(__xludf.DUMMYFUNCTION("""COMPUTED_VALUE"""),0.0)</f>
        <v>0</v>
      </c>
      <c r="F168" s="2">
        <f>IFERROR(__xludf.DUMMYFUNCTION("""COMPUTED_VALUE"""),0.0)</f>
        <v>0</v>
      </c>
      <c r="G168" s="2">
        <f>IFERROR(__xludf.DUMMYFUNCTION("""COMPUTED_VALUE"""),0.0)</f>
        <v>0</v>
      </c>
      <c r="H168" s="2">
        <f>IFERROR(__xludf.DUMMYFUNCTION("""COMPUTED_VALUE"""),73.0)</f>
        <v>73</v>
      </c>
    </row>
    <row r="169" ht="22.5" customHeight="1">
      <c r="A169" s="2" t="str">
        <f>IFERROR(__xludf.DUMMYFUNCTION("""COMPUTED_VALUE"""),"2026-12")</f>
        <v>2026-12</v>
      </c>
      <c r="B169" s="2" t="str">
        <f>IFERROR(__xludf.DUMMYFUNCTION("""COMPUTED_VALUE"""),"FRAMESEAT-SD - LX")</f>
        <v>FRAMESEAT-SD - LX</v>
      </c>
      <c r="C169" s="2">
        <f>IFERROR(__xludf.DUMMYFUNCTION("""COMPUTED_VALUE"""),73.0)</f>
        <v>73</v>
      </c>
      <c r="D169" s="2">
        <f>IFERROR(__xludf.DUMMYFUNCTION("""COMPUTED_VALUE"""),0.0)</f>
        <v>0</v>
      </c>
      <c r="E169" s="2">
        <f>IFERROR(__xludf.DUMMYFUNCTION("""COMPUTED_VALUE"""),0.0)</f>
        <v>0</v>
      </c>
      <c r="F169" s="2">
        <f>IFERROR(__xludf.DUMMYFUNCTION("""COMPUTED_VALUE"""),0.0)</f>
        <v>0</v>
      </c>
      <c r="G169" s="2">
        <f>IFERROR(__xludf.DUMMYFUNCTION("""COMPUTED_VALUE"""),0.0)</f>
        <v>0</v>
      </c>
      <c r="H169" s="2">
        <f>IFERROR(__xludf.DUMMYFUNCTION("""COMPUTED_VALUE"""),73.0)</f>
        <v>73</v>
      </c>
    </row>
    <row r="170" ht="22.5" customHeight="1">
      <c r="A170" s="2" t="str">
        <f>IFERROR(__xludf.DUMMYFUNCTION("""COMPUTED_VALUE"""),"2026-01")</f>
        <v>2026-01</v>
      </c>
      <c r="B170" s="2" t="str">
        <f>IFERROR(__xludf.DUMMYFUNCTION("""COMPUTED_VALUE"""),"FRAMESEAT-SUV")</f>
        <v>FRAMESEAT-SUV</v>
      </c>
      <c r="C170" s="2">
        <f>IFERROR(__xludf.DUMMYFUNCTION("""COMPUTED_VALUE"""),747.0)</f>
        <v>747</v>
      </c>
      <c r="D170" s="2">
        <f>IFERROR(__xludf.DUMMYFUNCTION("""COMPUTED_VALUE"""),0.0)</f>
        <v>0</v>
      </c>
      <c r="E170" s="2">
        <f>IFERROR(__xludf.DUMMYFUNCTION("""COMPUTED_VALUE"""),0.0)</f>
        <v>0</v>
      </c>
      <c r="F170" s="2">
        <f>IFERROR(__xludf.DUMMYFUNCTION("""COMPUTED_VALUE"""),0.0)</f>
        <v>0</v>
      </c>
      <c r="G170" s="2">
        <f>IFERROR(__xludf.DUMMYFUNCTION("""COMPUTED_VALUE"""),90.0)</f>
        <v>90</v>
      </c>
      <c r="H170" s="2">
        <f>IFERROR(__xludf.DUMMYFUNCTION("""COMPUTED_VALUE"""),657.0)</f>
        <v>657</v>
      </c>
    </row>
    <row r="171" ht="22.5" customHeight="1">
      <c r="A171" s="2" t="str">
        <f>IFERROR(__xludf.DUMMYFUNCTION("""COMPUTED_VALUE"""),"2026-02")</f>
        <v>2026-02</v>
      </c>
      <c r="B171" s="2" t="str">
        <f>IFERROR(__xludf.DUMMYFUNCTION("""COMPUTED_VALUE"""),"FRAMESEAT-SUV")</f>
        <v>FRAMESEAT-SUV</v>
      </c>
      <c r="C171" s="2">
        <f>IFERROR(__xludf.DUMMYFUNCTION("""COMPUTED_VALUE"""),657.0)</f>
        <v>657</v>
      </c>
      <c r="D171" s="2">
        <f>IFERROR(__xludf.DUMMYFUNCTION("""COMPUTED_VALUE"""),0.0)</f>
        <v>0</v>
      </c>
      <c r="E171" s="2">
        <f>IFERROR(__xludf.DUMMYFUNCTION("""COMPUTED_VALUE"""),0.0)</f>
        <v>0</v>
      </c>
      <c r="F171" s="2">
        <f>IFERROR(__xludf.DUMMYFUNCTION("""COMPUTED_VALUE"""),0.0)</f>
        <v>0</v>
      </c>
      <c r="G171" s="2">
        <f>IFERROR(__xludf.DUMMYFUNCTION("""COMPUTED_VALUE"""),0.0)</f>
        <v>0</v>
      </c>
      <c r="H171" s="2">
        <f>IFERROR(__xludf.DUMMYFUNCTION("""COMPUTED_VALUE"""),657.0)</f>
        <v>657</v>
      </c>
    </row>
    <row r="172" ht="22.5" customHeight="1">
      <c r="A172" s="2" t="str">
        <f>IFERROR(__xludf.DUMMYFUNCTION("""COMPUTED_VALUE"""),"2026-03")</f>
        <v>2026-03</v>
      </c>
      <c r="B172" s="2" t="str">
        <f>IFERROR(__xludf.DUMMYFUNCTION("""COMPUTED_VALUE"""),"FRAMESEAT-SUV")</f>
        <v>FRAMESEAT-SUV</v>
      </c>
      <c r="C172" s="2">
        <f>IFERROR(__xludf.DUMMYFUNCTION("""COMPUTED_VALUE"""),657.0)</f>
        <v>657</v>
      </c>
      <c r="D172" s="2">
        <f>IFERROR(__xludf.DUMMYFUNCTION("""COMPUTED_VALUE"""),0.0)</f>
        <v>0</v>
      </c>
      <c r="E172" s="2">
        <f>IFERROR(__xludf.DUMMYFUNCTION("""COMPUTED_VALUE"""),0.0)</f>
        <v>0</v>
      </c>
      <c r="F172" s="2">
        <f>IFERROR(__xludf.DUMMYFUNCTION("""COMPUTED_VALUE"""),0.0)</f>
        <v>0</v>
      </c>
      <c r="G172" s="2">
        <f>IFERROR(__xludf.DUMMYFUNCTION("""COMPUTED_VALUE"""),0.0)</f>
        <v>0</v>
      </c>
      <c r="H172" s="2">
        <f>IFERROR(__xludf.DUMMYFUNCTION("""COMPUTED_VALUE"""),657.0)</f>
        <v>657</v>
      </c>
    </row>
    <row r="173" ht="22.5" customHeight="1">
      <c r="A173" s="2" t="str">
        <f>IFERROR(__xludf.DUMMYFUNCTION("""COMPUTED_VALUE"""),"2026-04")</f>
        <v>2026-04</v>
      </c>
      <c r="B173" s="2" t="str">
        <f>IFERROR(__xludf.DUMMYFUNCTION("""COMPUTED_VALUE"""),"FRAMESEAT-SUV")</f>
        <v>FRAMESEAT-SUV</v>
      </c>
      <c r="C173" s="2">
        <f>IFERROR(__xludf.DUMMYFUNCTION("""COMPUTED_VALUE"""),657.0)</f>
        <v>657</v>
      </c>
      <c r="D173" s="2">
        <f>IFERROR(__xludf.DUMMYFUNCTION("""COMPUTED_VALUE"""),0.0)</f>
        <v>0</v>
      </c>
      <c r="E173" s="2">
        <f>IFERROR(__xludf.DUMMYFUNCTION("""COMPUTED_VALUE"""),0.0)</f>
        <v>0</v>
      </c>
      <c r="F173" s="2">
        <f>IFERROR(__xludf.DUMMYFUNCTION("""COMPUTED_VALUE"""),0.0)</f>
        <v>0</v>
      </c>
      <c r="G173" s="2">
        <f>IFERROR(__xludf.DUMMYFUNCTION("""COMPUTED_VALUE"""),0.0)</f>
        <v>0</v>
      </c>
      <c r="H173" s="2">
        <f>IFERROR(__xludf.DUMMYFUNCTION("""COMPUTED_VALUE"""),657.0)</f>
        <v>657</v>
      </c>
    </row>
    <row r="174" ht="22.5" customHeight="1">
      <c r="A174" s="2" t="str">
        <f>IFERROR(__xludf.DUMMYFUNCTION("""COMPUTED_VALUE"""),"2026-05")</f>
        <v>2026-05</v>
      </c>
      <c r="B174" s="2" t="str">
        <f>IFERROR(__xludf.DUMMYFUNCTION("""COMPUTED_VALUE"""),"FRAMESEAT-SUV")</f>
        <v>FRAMESEAT-SUV</v>
      </c>
      <c r="C174" s="2">
        <f>IFERROR(__xludf.DUMMYFUNCTION("""COMPUTED_VALUE"""),657.0)</f>
        <v>657</v>
      </c>
      <c r="D174" s="2">
        <f>IFERROR(__xludf.DUMMYFUNCTION("""COMPUTED_VALUE"""),0.0)</f>
        <v>0</v>
      </c>
      <c r="E174" s="2">
        <f>IFERROR(__xludf.DUMMYFUNCTION("""COMPUTED_VALUE"""),0.0)</f>
        <v>0</v>
      </c>
      <c r="F174" s="2">
        <f>IFERROR(__xludf.DUMMYFUNCTION("""COMPUTED_VALUE"""),0.0)</f>
        <v>0</v>
      </c>
      <c r="G174" s="2">
        <f>IFERROR(__xludf.DUMMYFUNCTION("""COMPUTED_VALUE"""),0.0)</f>
        <v>0</v>
      </c>
      <c r="H174" s="2">
        <f>IFERROR(__xludf.DUMMYFUNCTION("""COMPUTED_VALUE"""),657.0)</f>
        <v>657</v>
      </c>
    </row>
    <row r="175" ht="22.5" customHeight="1">
      <c r="A175" s="2" t="str">
        <f>IFERROR(__xludf.DUMMYFUNCTION("""COMPUTED_VALUE"""),"2026-06")</f>
        <v>2026-06</v>
      </c>
      <c r="B175" s="2" t="str">
        <f>IFERROR(__xludf.DUMMYFUNCTION("""COMPUTED_VALUE"""),"FRAMESEAT-SUV")</f>
        <v>FRAMESEAT-SUV</v>
      </c>
      <c r="C175" s="2">
        <f>IFERROR(__xludf.DUMMYFUNCTION("""COMPUTED_VALUE"""),657.0)</f>
        <v>657</v>
      </c>
      <c r="D175" s="2">
        <f>IFERROR(__xludf.DUMMYFUNCTION("""COMPUTED_VALUE"""),0.0)</f>
        <v>0</v>
      </c>
      <c r="E175" s="2">
        <f>IFERROR(__xludf.DUMMYFUNCTION("""COMPUTED_VALUE"""),0.0)</f>
        <v>0</v>
      </c>
      <c r="F175" s="2">
        <f>IFERROR(__xludf.DUMMYFUNCTION("""COMPUTED_VALUE"""),0.0)</f>
        <v>0</v>
      </c>
      <c r="G175" s="2">
        <f>IFERROR(__xludf.DUMMYFUNCTION("""COMPUTED_VALUE"""),0.0)</f>
        <v>0</v>
      </c>
      <c r="H175" s="2">
        <f>IFERROR(__xludf.DUMMYFUNCTION("""COMPUTED_VALUE"""),657.0)</f>
        <v>657</v>
      </c>
    </row>
    <row r="176" ht="22.5" customHeight="1">
      <c r="A176" s="2" t="str">
        <f>IFERROR(__xludf.DUMMYFUNCTION("""COMPUTED_VALUE"""),"2026-07")</f>
        <v>2026-07</v>
      </c>
      <c r="B176" s="2" t="str">
        <f>IFERROR(__xludf.DUMMYFUNCTION("""COMPUTED_VALUE"""),"FRAMESEAT-SUV")</f>
        <v>FRAMESEAT-SUV</v>
      </c>
      <c r="C176" s="2">
        <f>IFERROR(__xludf.DUMMYFUNCTION("""COMPUTED_VALUE"""),657.0)</f>
        <v>657</v>
      </c>
      <c r="D176" s="2">
        <f>IFERROR(__xludf.DUMMYFUNCTION("""COMPUTED_VALUE"""),0.0)</f>
        <v>0</v>
      </c>
      <c r="E176" s="2">
        <f>IFERROR(__xludf.DUMMYFUNCTION("""COMPUTED_VALUE"""),0.0)</f>
        <v>0</v>
      </c>
      <c r="F176" s="2">
        <f>IFERROR(__xludf.DUMMYFUNCTION("""COMPUTED_VALUE"""),0.0)</f>
        <v>0</v>
      </c>
      <c r="G176" s="2">
        <f>IFERROR(__xludf.DUMMYFUNCTION("""COMPUTED_VALUE"""),0.0)</f>
        <v>0</v>
      </c>
      <c r="H176" s="2">
        <f>IFERROR(__xludf.DUMMYFUNCTION("""COMPUTED_VALUE"""),657.0)</f>
        <v>657</v>
      </c>
    </row>
    <row r="177" ht="22.5" customHeight="1">
      <c r="A177" s="2" t="str">
        <f>IFERROR(__xludf.DUMMYFUNCTION("""COMPUTED_VALUE"""),"2026-08")</f>
        <v>2026-08</v>
      </c>
      <c r="B177" s="2" t="str">
        <f>IFERROR(__xludf.DUMMYFUNCTION("""COMPUTED_VALUE"""),"FRAMESEAT-SUV")</f>
        <v>FRAMESEAT-SUV</v>
      </c>
      <c r="C177" s="2">
        <f>IFERROR(__xludf.DUMMYFUNCTION("""COMPUTED_VALUE"""),657.0)</f>
        <v>657</v>
      </c>
      <c r="D177" s="2">
        <f>IFERROR(__xludf.DUMMYFUNCTION("""COMPUTED_VALUE"""),0.0)</f>
        <v>0</v>
      </c>
      <c r="E177" s="2">
        <f>IFERROR(__xludf.DUMMYFUNCTION("""COMPUTED_VALUE"""),0.0)</f>
        <v>0</v>
      </c>
      <c r="F177" s="2">
        <f>IFERROR(__xludf.DUMMYFUNCTION("""COMPUTED_VALUE"""),0.0)</f>
        <v>0</v>
      </c>
      <c r="G177" s="2">
        <f>IFERROR(__xludf.DUMMYFUNCTION("""COMPUTED_VALUE"""),0.0)</f>
        <v>0</v>
      </c>
      <c r="H177" s="2">
        <f>IFERROR(__xludf.DUMMYFUNCTION("""COMPUTED_VALUE"""),657.0)</f>
        <v>657</v>
      </c>
    </row>
    <row r="178" ht="22.5" customHeight="1">
      <c r="A178" s="2" t="str">
        <f>IFERROR(__xludf.DUMMYFUNCTION("""COMPUTED_VALUE"""),"2026-09")</f>
        <v>2026-09</v>
      </c>
      <c r="B178" s="2" t="str">
        <f>IFERROR(__xludf.DUMMYFUNCTION("""COMPUTED_VALUE"""),"FRAMESEAT-SUV")</f>
        <v>FRAMESEAT-SUV</v>
      </c>
      <c r="C178" s="2">
        <f>IFERROR(__xludf.DUMMYFUNCTION("""COMPUTED_VALUE"""),657.0)</f>
        <v>657</v>
      </c>
      <c r="D178" s="2">
        <f>IFERROR(__xludf.DUMMYFUNCTION("""COMPUTED_VALUE"""),0.0)</f>
        <v>0</v>
      </c>
      <c r="E178" s="2">
        <f>IFERROR(__xludf.DUMMYFUNCTION("""COMPUTED_VALUE"""),0.0)</f>
        <v>0</v>
      </c>
      <c r="F178" s="2">
        <f>IFERROR(__xludf.DUMMYFUNCTION("""COMPUTED_VALUE"""),0.0)</f>
        <v>0</v>
      </c>
      <c r="G178" s="2">
        <f>IFERROR(__xludf.DUMMYFUNCTION("""COMPUTED_VALUE"""),0.0)</f>
        <v>0</v>
      </c>
      <c r="H178" s="2">
        <f>IFERROR(__xludf.DUMMYFUNCTION("""COMPUTED_VALUE"""),657.0)</f>
        <v>657</v>
      </c>
    </row>
    <row r="179" ht="22.5" customHeight="1">
      <c r="A179" s="2" t="str">
        <f>IFERROR(__xludf.DUMMYFUNCTION("""COMPUTED_VALUE"""),"2026-10")</f>
        <v>2026-10</v>
      </c>
      <c r="B179" s="2" t="str">
        <f>IFERROR(__xludf.DUMMYFUNCTION("""COMPUTED_VALUE"""),"FRAMESEAT-SUV")</f>
        <v>FRAMESEAT-SUV</v>
      </c>
      <c r="C179" s="2">
        <f>IFERROR(__xludf.DUMMYFUNCTION("""COMPUTED_VALUE"""),657.0)</f>
        <v>657</v>
      </c>
      <c r="D179" s="2">
        <f>IFERROR(__xludf.DUMMYFUNCTION("""COMPUTED_VALUE"""),0.0)</f>
        <v>0</v>
      </c>
      <c r="E179" s="2">
        <f>IFERROR(__xludf.DUMMYFUNCTION("""COMPUTED_VALUE"""),0.0)</f>
        <v>0</v>
      </c>
      <c r="F179" s="2">
        <f>IFERROR(__xludf.DUMMYFUNCTION("""COMPUTED_VALUE"""),0.0)</f>
        <v>0</v>
      </c>
      <c r="G179" s="2">
        <f>IFERROR(__xludf.DUMMYFUNCTION("""COMPUTED_VALUE"""),0.0)</f>
        <v>0</v>
      </c>
      <c r="H179" s="2">
        <f>IFERROR(__xludf.DUMMYFUNCTION("""COMPUTED_VALUE"""),657.0)</f>
        <v>657</v>
      </c>
    </row>
    <row r="180" ht="22.5" customHeight="1">
      <c r="A180" s="2" t="str">
        <f>IFERROR(__xludf.DUMMYFUNCTION("""COMPUTED_VALUE"""),"2026-11")</f>
        <v>2026-11</v>
      </c>
      <c r="B180" s="2" t="str">
        <f>IFERROR(__xludf.DUMMYFUNCTION("""COMPUTED_VALUE"""),"FRAMESEAT-SUV")</f>
        <v>FRAMESEAT-SUV</v>
      </c>
      <c r="C180" s="2">
        <f>IFERROR(__xludf.DUMMYFUNCTION("""COMPUTED_VALUE"""),657.0)</f>
        <v>657</v>
      </c>
      <c r="D180" s="2">
        <f>IFERROR(__xludf.DUMMYFUNCTION("""COMPUTED_VALUE"""),0.0)</f>
        <v>0</v>
      </c>
      <c r="E180" s="2">
        <f>IFERROR(__xludf.DUMMYFUNCTION("""COMPUTED_VALUE"""),0.0)</f>
        <v>0</v>
      </c>
      <c r="F180" s="2">
        <f>IFERROR(__xludf.DUMMYFUNCTION("""COMPUTED_VALUE"""),0.0)</f>
        <v>0</v>
      </c>
      <c r="G180" s="2">
        <f>IFERROR(__xludf.DUMMYFUNCTION("""COMPUTED_VALUE"""),0.0)</f>
        <v>0</v>
      </c>
      <c r="H180" s="2">
        <f>IFERROR(__xludf.DUMMYFUNCTION("""COMPUTED_VALUE"""),657.0)</f>
        <v>657</v>
      </c>
    </row>
    <row r="181" ht="22.5" customHeight="1">
      <c r="A181" s="2" t="str">
        <f>IFERROR(__xludf.DUMMYFUNCTION("""COMPUTED_VALUE"""),"2026-12")</f>
        <v>2026-12</v>
      </c>
      <c r="B181" s="2" t="str">
        <f>IFERROR(__xludf.DUMMYFUNCTION("""COMPUTED_VALUE"""),"FRAMESEAT-SUV")</f>
        <v>FRAMESEAT-SUV</v>
      </c>
      <c r="C181" s="2">
        <f>IFERROR(__xludf.DUMMYFUNCTION("""COMPUTED_VALUE"""),657.0)</f>
        <v>657</v>
      </c>
      <c r="D181" s="2">
        <f>IFERROR(__xludf.DUMMYFUNCTION("""COMPUTED_VALUE"""),0.0)</f>
        <v>0</v>
      </c>
      <c r="E181" s="2">
        <f>IFERROR(__xludf.DUMMYFUNCTION("""COMPUTED_VALUE"""),0.0)</f>
        <v>0</v>
      </c>
      <c r="F181" s="2">
        <f>IFERROR(__xludf.DUMMYFUNCTION("""COMPUTED_VALUE"""),0.0)</f>
        <v>0</v>
      </c>
      <c r="G181" s="2">
        <f>IFERROR(__xludf.DUMMYFUNCTION("""COMPUTED_VALUE"""),0.0)</f>
        <v>0</v>
      </c>
      <c r="H181" s="2">
        <f>IFERROR(__xludf.DUMMYFUNCTION("""COMPUTED_VALUE"""),657.0)</f>
        <v>657</v>
      </c>
    </row>
    <row r="182" ht="22.5" customHeight="1">
      <c r="A182" s="2" t="str">
        <f>IFERROR(__xludf.DUMMYFUNCTION("""COMPUTED_VALUE"""),"2026-01")</f>
        <v>2026-01</v>
      </c>
      <c r="B182" s="2" t="str">
        <f>IFERROR(__xludf.DUMMYFUNCTION("""COMPUTED_VALUE"""),"FRAMESEAT-SUV - LX")</f>
        <v>FRAMESEAT-SUV - LX</v>
      </c>
      <c r="C182" s="2">
        <f>IFERROR(__xludf.DUMMYFUNCTION("""COMPUTED_VALUE"""),536.0)</f>
        <v>536</v>
      </c>
      <c r="D182" s="2">
        <f>IFERROR(__xludf.DUMMYFUNCTION("""COMPUTED_VALUE"""),0.0)</f>
        <v>0</v>
      </c>
      <c r="E182" s="2">
        <f>IFERROR(__xludf.DUMMYFUNCTION("""COMPUTED_VALUE"""),0.0)</f>
        <v>0</v>
      </c>
      <c r="F182" s="2">
        <f>IFERROR(__xludf.DUMMYFUNCTION("""COMPUTED_VALUE"""),0.0)</f>
        <v>0</v>
      </c>
      <c r="G182" s="2">
        <f>IFERROR(__xludf.DUMMYFUNCTION("""COMPUTED_VALUE"""),68.0)</f>
        <v>68</v>
      </c>
      <c r="H182" s="2">
        <f>IFERROR(__xludf.DUMMYFUNCTION("""COMPUTED_VALUE"""),468.0)</f>
        <v>468</v>
      </c>
    </row>
    <row r="183" ht="22.5" customHeight="1">
      <c r="A183" s="2" t="str">
        <f>IFERROR(__xludf.DUMMYFUNCTION("""COMPUTED_VALUE"""),"2026-02")</f>
        <v>2026-02</v>
      </c>
      <c r="B183" s="2" t="str">
        <f>IFERROR(__xludf.DUMMYFUNCTION("""COMPUTED_VALUE"""),"FRAMESEAT-SUV - LX")</f>
        <v>FRAMESEAT-SUV - LX</v>
      </c>
      <c r="C183" s="2">
        <f>IFERROR(__xludf.DUMMYFUNCTION("""COMPUTED_VALUE"""),468.0)</f>
        <v>468</v>
      </c>
      <c r="D183" s="2">
        <f>IFERROR(__xludf.DUMMYFUNCTION("""COMPUTED_VALUE"""),0.0)</f>
        <v>0</v>
      </c>
      <c r="E183" s="2">
        <f>IFERROR(__xludf.DUMMYFUNCTION("""COMPUTED_VALUE"""),0.0)</f>
        <v>0</v>
      </c>
      <c r="F183" s="2">
        <f>IFERROR(__xludf.DUMMYFUNCTION("""COMPUTED_VALUE"""),0.0)</f>
        <v>0</v>
      </c>
      <c r="G183" s="2">
        <f>IFERROR(__xludf.DUMMYFUNCTION("""COMPUTED_VALUE"""),0.0)</f>
        <v>0</v>
      </c>
      <c r="H183" s="2">
        <f>IFERROR(__xludf.DUMMYFUNCTION("""COMPUTED_VALUE"""),468.0)</f>
        <v>468</v>
      </c>
    </row>
    <row r="184" ht="22.5" customHeight="1">
      <c r="A184" s="2" t="str">
        <f>IFERROR(__xludf.DUMMYFUNCTION("""COMPUTED_VALUE"""),"2026-03")</f>
        <v>2026-03</v>
      </c>
      <c r="B184" s="2" t="str">
        <f>IFERROR(__xludf.DUMMYFUNCTION("""COMPUTED_VALUE"""),"FRAMESEAT-SUV - LX")</f>
        <v>FRAMESEAT-SUV - LX</v>
      </c>
      <c r="C184" s="2">
        <f>IFERROR(__xludf.DUMMYFUNCTION("""COMPUTED_VALUE"""),468.0)</f>
        <v>468</v>
      </c>
      <c r="D184" s="2">
        <f>IFERROR(__xludf.DUMMYFUNCTION("""COMPUTED_VALUE"""),0.0)</f>
        <v>0</v>
      </c>
      <c r="E184" s="2">
        <f>IFERROR(__xludf.DUMMYFUNCTION("""COMPUTED_VALUE"""),0.0)</f>
        <v>0</v>
      </c>
      <c r="F184" s="2">
        <f>IFERROR(__xludf.DUMMYFUNCTION("""COMPUTED_VALUE"""),0.0)</f>
        <v>0</v>
      </c>
      <c r="G184" s="2">
        <f>IFERROR(__xludf.DUMMYFUNCTION("""COMPUTED_VALUE"""),0.0)</f>
        <v>0</v>
      </c>
      <c r="H184" s="2">
        <f>IFERROR(__xludf.DUMMYFUNCTION("""COMPUTED_VALUE"""),468.0)</f>
        <v>468</v>
      </c>
    </row>
    <row r="185" ht="22.5" customHeight="1">
      <c r="A185" s="2" t="str">
        <f>IFERROR(__xludf.DUMMYFUNCTION("""COMPUTED_VALUE"""),"2026-04")</f>
        <v>2026-04</v>
      </c>
      <c r="B185" s="2" t="str">
        <f>IFERROR(__xludf.DUMMYFUNCTION("""COMPUTED_VALUE"""),"FRAMESEAT-SUV - LX")</f>
        <v>FRAMESEAT-SUV - LX</v>
      </c>
      <c r="C185" s="2">
        <f>IFERROR(__xludf.DUMMYFUNCTION("""COMPUTED_VALUE"""),468.0)</f>
        <v>468</v>
      </c>
      <c r="D185" s="2">
        <f>IFERROR(__xludf.DUMMYFUNCTION("""COMPUTED_VALUE"""),0.0)</f>
        <v>0</v>
      </c>
      <c r="E185" s="2">
        <f>IFERROR(__xludf.DUMMYFUNCTION("""COMPUTED_VALUE"""),0.0)</f>
        <v>0</v>
      </c>
      <c r="F185" s="2">
        <f>IFERROR(__xludf.DUMMYFUNCTION("""COMPUTED_VALUE"""),0.0)</f>
        <v>0</v>
      </c>
      <c r="G185" s="2">
        <f>IFERROR(__xludf.DUMMYFUNCTION("""COMPUTED_VALUE"""),0.0)</f>
        <v>0</v>
      </c>
      <c r="H185" s="2">
        <f>IFERROR(__xludf.DUMMYFUNCTION("""COMPUTED_VALUE"""),468.0)</f>
        <v>468</v>
      </c>
    </row>
    <row r="186" ht="22.5" customHeight="1">
      <c r="A186" s="2" t="str">
        <f>IFERROR(__xludf.DUMMYFUNCTION("""COMPUTED_VALUE"""),"2026-05")</f>
        <v>2026-05</v>
      </c>
      <c r="B186" s="2" t="str">
        <f>IFERROR(__xludf.DUMMYFUNCTION("""COMPUTED_VALUE"""),"FRAMESEAT-SUV - LX")</f>
        <v>FRAMESEAT-SUV - LX</v>
      </c>
      <c r="C186" s="2">
        <f>IFERROR(__xludf.DUMMYFUNCTION("""COMPUTED_VALUE"""),468.0)</f>
        <v>468</v>
      </c>
      <c r="D186" s="2">
        <f>IFERROR(__xludf.DUMMYFUNCTION("""COMPUTED_VALUE"""),0.0)</f>
        <v>0</v>
      </c>
      <c r="E186" s="2">
        <f>IFERROR(__xludf.DUMMYFUNCTION("""COMPUTED_VALUE"""),0.0)</f>
        <v>0</v>
      </c>
      <c r="F186" s="2">
        <f>IFERROR(__xludf.DUMMYFUNCTION("""COMPUTED_VALUE"""),0.0)</f>
        <v>0</v>
      </c>
      <c r="G186" s="2">
        <f>IFERROR(__xludf.DUMMYFUNCTION("""COMPUTED_VALUE"""),0.0)</f>
        <v>0</v>
      </c>
      <c r="H186" s="2">
        <f>IFERROR(__xludf.DUMMYFUNCTION("""COMPUTED_VALUE"""),468.0)</f>
        <v>468</v>
      </c>
    </row>
    <row r="187" ht="22.5" customHeight="1">
      <c r="A187" s="2" t="str">
        <f>IFERROR(__xludf.DUMMYFUNCTION("""COMPUTED_VALUE"""),"2026-06")</f>
        <v>2026-06</v>
      </c>
      <c r="B187" s="2" t="str">
        <f>IFERROR(__xludf.DUMMYFUNCTION("""COMPUTED_VALUE"""),"FRAMESEAT-SUV - LX")</f>
        <v>FRAMESEAT-SUV - LX</v>
      </c>
      <c r="C187" s="2">
        <f>IFERROR(__xludf.DUMMYFUNCTION("""COMPUTED_VALUE"""),468.0)</f>
        <v>468</v>
      </c>
      <c r="D187" s="2">
        <f>IFERROR(__xludf.DUMMYFUNCTION("""COMPUTED_VALUE"""),0.0)</f>
        <v>0</v>
      </c>
      <c r="E187" s="2">
        <f>IFERROR(__xludf.DUMMYFUNCTION("""COMPUTED_VALUE"""),0.0)</f>
        <v>0</v>
      </c>
      <c r="F187" s="2">
        <f>IFERROR(__xludf.DUMMYFUNCTION("""COMPUTED_VALUE"""),0.0)</f>
        <v>0</v>
      </c>
      <c r="G187" s="2">
        <f>IFERROR(__xludf.DUMMYFUNCTION("""COMPUTED_VALUE"""),0.0)</f>
        <v>0</v>
      </c>
      <c r="H187" s="2">
        <f>IFERROR(__xludf.DUMMYFUNCTION("""COMPUTED_VALUE"""),468.0)</f>
        <v>468</v>
      </c>
    </row>
    <row r="188" ht="22.5" customHeight="1">
      <c r="A188" s="2" t="str">
        <f>IFERROR(__xludf.DUMMYFUNCTION("""COMPUTED_VALUE"""),"2026-07")</f>
        <v>2026-07</v>
      </c>
      <c r="B188" s="2" t="str">
        <f>IFERROR(__xludf.DUMMYFUNCTION("""COMPUTED_VALUE"""),"FRAMESEAT-SUV - LX")</f>
        <v>FRAMESEAT-SUV - LX</v>
      </c>
      <c r="C188" s="2">
        <f>IFERROR(__xludf.DUMMYFUNCTION("""COMPUTED_VALUE"""),468.0)</f>
        <v>468</v>
      </c>
      <c r="D188" s="2">
        <f>IFERROR(__xludf.DUMMYFUNCTION("""COMPUTED_VALUE"""),0.0)</f>
        <v>0</v>
      </c>
      <c r="E188" s="2">
        <f>IFERROR(__xludf.DUMMYFUNCTION("""COMPUTED_VALUE"""),0.0)</f>
        <v>0</v>
      </c>
      <c r="F188" s="2">
        <f>IFERROR(__xludf.DUMMYFUNCTION("""COMPUTED_VALUE"""),0.0)</f>
        <v>0</v>
      </c>
      <c r="G188" s="2">
        <f>IFERROR(__xludf.DUMMYFUNCTION("""COMPUTED_VALUE"""),0.0)</f>
        <v>0</v>
      </c>
      <c r="H188" s="2">
        <f>IFERROR(__xludf.DUMMYFUNCTION("""COMPUTED_VALUE"""),468.0)</f>
        <v>468</v>
      </c>
    </row>
    <row r="189" ht="22.5" customHeight="1">
      <c r="A189" s="2" t="str">
        <f>IFERROR(__xludf.DUMMYFUNCTION("""COMPUTED_VALUE"""),"2026-08")</f>
        <v>2026-08</v>
      </c>
      <c r="B189" s="2" t="str">
        <f>IFERROR(__xludf.DUMMYFUNCTION("""COMPUTED_VALUE"""),"FRAMESEAT-SUV - LX")</f>
        <v>FRAMESEAT-SUV - LX</v>
      </c>
      <c r="C189" s="2">
        <f>IFERROR(__xludf.DUMMYFUNCTION("""COMPUTED_VALUE"""),468.0)</f>
        <v>468</v>
      </c>
      <c r="D189" s="2">
        <f>IFERROR(__xludf.DUMMYFUNCTION("""COMPUTED_VALUE"""),0.0)</f>
        <v>0</v>
      </c>
      <c r="E189" s="2">
        <f>IFERROR(__xludf.DUMMYFUNCTION("""COMPUTED_VALUE"""),0.0)</f>
        <v>0</v>
      </c>
      <c r="F189" s="2">
        <f>IFERROR(__xludf.DUMMYFUNCTION("""COMPUTED_VALUE"""),0.0)</f>
        <v>0</v>
      </c>
      <c r="G189" s="2">
        <f>IFERROR(__xludf.DUMMYFUNCTION("""COMPUTED_VALUE"""),0.0)</f>
        <v>0</v>
      </c>
      <c r="H189" s="2">
        <f>IFERROR(__xludf.DUMMYFUNCTION("""COMPUTED_VALUE"""),468.0)</f>
        <v>468</v>
      </c>
    </row>
    <row r="190" ht="22.5" customHeight="1">
      <c r="A190" s="2" t="str">
        <f>IFERROR(__xludf.DUMMYFUNCTION("""COMPUTED_VALUE"""),"2026-09")</f>
        <v>2026-09</v>
      </c>
      <c r="B190" s="2" t="str">
        <f>IFERROR(__xludf.DUMMYFUNCTION("""COMPUTED_VALUE"""),"FRAMESEAT-SUV - LX")</f>
        <v>FRAMESEAT-SUV - LX</v>
      </c>
      <c r="C190" s="2">
        <f>IFERROR(__xludf.DUMMYFUNCTION("""COMPUTED_VALUE"""),468.0)</f>
        <v>468</v>
      </c>
      <c r="D190" s="2">
        <f>IFERROR(__xludf.DUMMYFUNCTION("""COMPUTED_VALUE"""),0.0)</f>
        <v>0</v>
      </c>
      <c r="E190" s="2">
        <f>IFERROR(__xludf.DUMMYFUNCTION("""COMPUTED_VALUE"""),0.0)</f>
        <v>0</v>
      </c>
      <c r="F190" s="2">
        <f>IFERROR(__xludf.DUMMYFUNCTION("""COMPUTED_VALUE"""),0.0)</f>
        <v>0</v>
      </c>
      <c r="G190" s="2">
        <f>IFERROR(__xludf.DUMMYFUNCTION("""COMPUTED_VALUE"""),0.0)</f>
        <v>0</v>
      </c>
      <c r="H190" s="2">
        <f>IFERROR(__xludf.DUMMYFUNCTION("""COMPUTED_VALUE"""),468.0)</f>
        <v>468</v>
      </c>
    </row>
    <row r="191" ht="22.5" customHeight="1">
      <c r="A191" s="2" t="str">
        <f>IFERROR(__xludf.DUMMYFUNCTION("""COMPUTED_VALUE"""),"2026-10")</f>
        <v>2026-10</v>
      </c>
      <c r="B191" s="2" t="str">
        <f>IFERROR(__xludf.DUMMYFUNCTION("""COMPUTED_VALUE"""),"FRAMESEAT-SUV - LX")</f>
        <v>FRAMESEAT-SUV - LX</v>
      </c>
      <c r="C191" s="2">
        <f>IFERROR(__xludf.DUMMYFUNCTION("""COMPUTED_VALUE"""),468.0)</f>
        <v>468</v>
      </c>
      <c r="D191" s="2">
        <f>IFERROR(__xludf.DUMMYFUNCTION("""COMPUTED_VALUE"""),0.0)</f>
        <v>0</v>
      </c>
      <c r="E191" s="2">
        <f>IFERROR(__xludf.DUMMYFUNCTION("""COMPUTED_VALUE"""),0.0)</f>
        <v>0</v>
      </c>
      <c r="F191" s="2">
        <f>IFERROR(__xludf.DUMMYFUNCTION("""COMPUTED_VALUE"""),0.0)</f>
        <v>0</v>
      </c>
      <c r="G191" s="2">
        <f>IFERROR(__xludf.DUMMYFUNCTION("""COMPUTED_VALUE"""),0.0)</f>
        <v>0</v>
      </c>
      <c r="H191" s="2">
        <f>IFERROR(__xludf.DUMMYFUNCTION("""COMPUTED_VALUE"""),468.0)</f>
        <v>468</v>
      </c>
    </row>
    <row r="192" ht="22.5" customHeight="1">
      <c r="A192" s="2" t="str">
        <f>IFERROR(__xludf.DUMMYFUNCTION("""COMPUTED_VALUE"""),"2026-11")</f>
        <v>2026-11</v>
      </c>
      <c r="B192" s="2" t="str">
        <f>IFERROR(__xludf.DUMMYFUNCTION("""COMPUTED_VALUE"""),"FRAMESEAT-SUV - LX")</f>
        <v>FRAMESEAT-SUV - LX</v>
      </c>
      <c r="C192" s="2">
        <f>IFERROR(__xludf.DUMMYFUNCTION("""COMPUTED_VALUE"""),468.0)</f>
        <v>468</v>
      </c>
      <c r="D192" s="2">
        <f>IFERROR(__xludf.DUMMYFUNCTION("""COMPUTED_VALUE"""),0.0)</f>
        <v>0</v>
      </c>
      <c r="E192" s="2">
        <f>IFERROR(__xludf.DUMMYFUNCTION("""COMPUTED_VALUE"""),0.0)</f>
        <v>0</v>
      </c>
      <c r="F192" s="2">
        <f>IFERROR(__xludf.DUMMYFUNCTION("""COMPUTED_VALUE"""),0.0)</f>
        <v>0</v>
      </c>
      <c r="G192" s="2">
        <f>IFERROR(__xludf.DUMMYFUNCTION("""COMPUTED_VALUE"""),0.0)</f>
        <v>0</v>
      </c>
      <c r="H192" s="2">
        <f>IFERROR(__xludf.DUMMYFUNCTION("""COMPUTED_VALUE"""),468.0)</f>
        <v>468</v>
      </c>
    </row>
    <row r="193" ht="22.5" customHeight="1">
      <c r="A193" s="2" t="str">
        <f>IFERROR(__xludf.DUMMYFUNCTION("""COMPUTED_VALUE"""),"2026-12")</f>
        <v>2026-12</v>
      </c>
      <c r="B193" s="2" t="str">
        <f>IFERROR(__xludf.DUMMYFUNCTION("""COMPUTED_VALUE"""),"FRAMESEAT-SUV - LX")</f>
        <v>FRAMESEAT-SUV - LX</v>
      </c>
      <c r="C193" s="2">
        <f>IFERROR(__xludf.DUMMYFUNCTION("""COMPUTED_VALUE"""),468.0)</f>
        <v>468</v>
      </c>
      <c r="D193" s="2">
        <f>IFERROR(__xludf.DUMMYFUNCTION("""COMPUTED_VALUE"""),0.0)</f>
        <v>0</v>
      </c>
      <c r="E193" s="2">
        <f>IFERROR(__xludf.DUMMYFUNCTION("""COMPUTED_VALUE"""),0.0)</f>
        <v>0</v>
      </c>
      <c r="F193" s="2">
        <f>IFERROR(__xludf.DUMMYFUNCTION("""COMPUTED_VALUE"""),0.0)</f>
        <v>0</v>
      </c>
      <c r="G193" s="2">
        <f>IFERROR(__xludf.DUMMYFUNCTION("""COMPUTED_VALUE"""),0.0)</f>
        <v>0</v>
      </c>
      <c r="H193" s="2">
        <f>IFERROR(__xludf.DUMMYFUNCTION("""COMPUTED_VALUE"""),468.0)</f>
        <v>468</v>
      </c>
    </row>
    <row r="194" ht="22.5" customHeight="1">
      <c r="A194" s="2" t="str">
        <f>IFERROR(__xludf.DUMMYFUNCTION("""COMPUTED_VALUE"""),"2026-01")</f>
        <v>2026-01</v>
      </c>
      <c r="B194" s="2" t="str">
        <f>IFERROR(__xludf.DUMMYFUNCTION("""COMPUTED_VALUE"""),"GEAR-SD")</f>
        <v>GEAR-SD</v>
      </c>
      <c r="C194" s="2">
        <f>IFERROR(__xludf.DUMMYFUNCTION("""COMPUTED_VALUE"""),495.0)</f>
        <v>495</v>
      </c>
      <c r="D194" s="2">
        <f>IFERROR(__xludf.DUMMYFUNCTION("""COMPUTED_VALUE"""),139.0)</f>
        <v>139</v>
      </c>
      <c r="E194" s="2">
        <f>IFERROR(__xludf.DUMMYFUNCTION("""COMPUTED_VALUE"""),3.0)</f>
        <v>3</v>
      </c>
      <c r="F194" s="2">
        <f>IFERROR(__xludf.DUMMYFUNCTION("""COMPUTED_VALUE"""),11.0)</f>
        <v>11</v>
      </c>
      <c r="G194" s="2">
        <f>IFERROR(__xludf.DUMMYFUNCTION("""COMPUTED_VALUE"""),591.0)</f>
        <v>591</v>
      </c>
      <c r="H194" s="2">
        <f>IFERROR(__xludf.DUMMYFUNCTION("""COMPUTED_VALUE"""),43.0)</f>
        <v>43</v>
      </c>
    </row>
    <row r="195" ht="22.5" customHeight="1">
      <c r="A195" s="2" t="str">
        <f>IFERROR(__xludf.DUMMYFUNCTION("""COMPUTED_VALUE"""),"2026-02")</f>
        <v>2026-02</v>
      </c>
      <c r="B195" s="2" t="str">
        <f>IFERROR(__xludf.DUMMYFUNCTION("""COMPUTED_VALUE"""),"GEAR-SD")</f>
        <v>GEAR-SD</v>
      </c>
      <c r="C195" s="2">
        <f>IFERROR(__xludf.DUMMYFUNCTION("""COMPUTED_VALUE"""),43.0)</f>
        <v>43</v>
      </c>
      <c r="D195" s="2">
        <f>IFERROR(__xludf.DUMMYFUNCTION("""COMPUTED_VALUE"""),437.0)</f>
        <v>437</v>
      </c>
      <c r="E195" s="2">
        <f>IFERROR(__xludf.DUMMYFUNCTION("""COMPUTED_VALUE"""),9.0)</f>
        <v>9</v>
      </c>
      <c r="F195" s="2">
        <f>IFERROR(__xludf.DUMMYFUNCTION("""COMPUTED_VALUE"""),13.0)</f>
        <v>13</v>
      </c>
      <c r="G195" s="2">
        <f>IFERROR(__xludf.DUMMYFUNCTION("""COMPUTED_VALUE"""),480.0)</f>
        <v>480</v>
      </c>
      <c r="H195" s="2">
        <f>IFERROR(__xludf.DUMMYFUNCTION("""COMPUTED_VALUE"""),0.0)</f>
        <v>0</v>
      </c>
    </row>
    <row r="196" ht="22.5" customHeight="1">
      <c r="A196" s="2" t="str">
        <f>IFERROR(__xludf.DUMMYFUNCTION("""COMPUTED_VALUE"""),"2026-03")</f>
        <v>2026-03</v>
      </c>
      <c r="B196" s="2" t="str">
        <f>IFERROR(__xludf.DUMMYFUNCTION("""COMPUTED_VALUE"""),"GEAR-SD")</f>
        <v>GEAR-SD</v>
      </c>
      <c r="C196" s="2">
        <f>IFERROR(__xludf.DUMMYFUNCTION("""COMPUTED_VALUE"""),0.0)</f>
        <v>0</v>
      </c>
      <c r="D196" s="2">
        <f>IFERROR(__xludf.DUMMYFUNCTION("""COMPUTED_VALUE"""),0.0)</f>
        <v>0</v>
      </c>
      <c r="E196" s="2">
        <f>IFERROR(__xludf.DUMMYFUNCTION("""COMPUTED_VALUE"""),0.0)</f>
        <v>0</v>
      </c>
      <c r="F196" s="2">
        <f>IFERROR(__xludf.DUMMYFUNCTION("""COMPUTED_VALUE"""),0.0)</f>
        <v>0</v>
      </c>
      <c r="G196" s="2">
        <f>IFERROR(__xludf.DUMMYFUNCTION("""COMPUTED_VALUE"""),0.0)</f>
        <v>0</v>
      </c>
      <c r="H196" s="2">
        <f>IFERROR(__xludf.DUMMYFUNCTION("""COMPUTED_VALUE"""),0.0)</f>
        <v>0</v>
      </c>
    </row>
    <row r="197" ht="22.5" customHeight="1">
      <c r="A197" s="2" t="str">
        <f>IFERROR(__xludf.DUMMYFUNCTION("""COMPUTED_VALUE"""),"2026-04")</f>
        <v>2026-04</v>
      </c>
      <c r="B197" s="2" t="str">
        <f>IFERROR(__xludf.DUMMYFUNCTION("""COMPUTED_VALUE"""),"GEAR-SD")</f>
        <v>GEAR-SD</v>
      </c>
      <c r="C197" s="2">
        <f>IFERROR(__xludf.DUMMYFUNCTION("""COMPUTED_VALUE"""),0.0)</f>
        <v>0</v>
      </c>
      <c r="D197" s="2">
        <f>IFERROR(__xludf.DUMMYFUNCTION("""COMPUTED_VALUE"""),0.0)</f>
        <v>0</v>
      </c>
      <c r="E197" s="2">
        <f>IFERROR(__xludf.DUMMYFUNCTION("""COMPUTED_VALUE"""),0.0)</f>
        <v>0</v>
      </c>
      <c r="F197" s="2">
        <f>IFERROR(__xludf.DUMMYFUNCTION("""COMPUTED_VALUE"""),0.0)</f>
        <v>0</v>
      </c>
      <c r="G197" s="2">
        <f>IFERROR(__xludf.DUMMYFUNCTION("""COMPUTED_VALUE"""),0.0)</f>
        <v>0</v>
      </c>
      <c r="H197" s="2">
        <f>IFERROR(__xludf.DUMMYFUNCTION("""COMPUTED_VALUE"""),0.0)</f>
        <v>0</v>
      </c>
    </row>
    <row r="198" ht="22.5" customHeight="1">
      <c r="A198" s="2" t="str">
        <f>IFERROR(__xludf.DUMMYFUNCTION("""COMPUTED_VALUE"""),"2026-05")</f>
        <v>2026-05</v>
      </c>
      <c r="B198" s="2" t="str">
        <f>IFERROR(__xludf.DUMMYFUNCTION("""COMPUTED_VALUE"""),"GEAR-SD")</f>
        <v>GEAR-SD</v>
      </c>
      <c r="C198" s="2">
        <f>IFERROR(__xludf.DUMMYFUNCTION("""COMPUTED_VALUE"""),0.0)</f>
        <v>0</v>
      </c>
      <c r="D198" s="2">
        <f>IFERROR(__xludf.DUMMYFUNCTION("""COMPUTED_VALUE"""),0.0)</f>
        <v>0</v>
      </c>
      <c r="E198" s="2">
        <f>IFERROR(__xludf.DUMMYFUNCTION("""COMPUTED_VALUE"""),0.0)</f>
        <v>0</v>
      </c>
      <c r="F198" s="2">
        <f>IFERROR(__xludf.DUMMYFUNCTION("""COMPUTED_VALUE"""),0.0)</f>
        <v>0</v>
      </c>
      <c r="G198" s="2">
        <f>IFERROR(__xludf.DUMMYFUNCTION("""COMPUTED_VALUE"""),0.0)</f>
        <v>0</v>
      </c>
      <c r="H198" s="2">
        <f>IFERROR(__xludf.DUMMYFUNCTION("""COMPUTED_VALUE"""),0.0)</f>
        <v>0</v>
      </c>
    </row>
    <row r="199" ht="22.5" customHeight="1">
      <c r="A199" s="2" t="str">
        <f>IFERROR(__xludf.DUMMYFUNCTION("""COMPUTED_VALUE"""),"2026-06")</f>
        <v>2026-06</v>
      </c>
      <c r="B199" s="2" t="str">
        <f>IFERROR(__xludf.DUMMYFUNCTION("""COMPUTED_VALUE"""),"GEAR-SD")</f>
        <v>GEAR-SD</v>
      </c>
      <c r="C199" s="2">
        <f>IFERROR(__xludf.DUMMYFUNCTION("""COMPUTED_VALUE"""),0.0)</f>
        <v>0</v>
      </c>
      <c r="D199" s="2">
        <f>IFERROR(__xludf.DUMMYFUNCTION("""COMPUTED_VALUE"""),0.0)</f>
        <v>0</v>
      </c>
      <c r="E199" s="2">
        <f>IFERROR(__xludf.DUMMYFUNCTION("""COMPUTED_VALUE"""),0.0)</f>
        <v>0</v>
      </c>
      <c r="F199" s="2">
        <f>IFERROR(__xludf.DUMMYFUNCTION("""COMPUTED_VALUE"""),0.0)</f>
        <v>0</v>
      </c>
      <c r="G199" s="2">
        <f>IFERROR(__xludf.DUMMYFUNCTION("""COMPUTED_VALUE"""),0.0)</f>
        <v>0</v>
      </c>
      <c r="H199" s="2">
        <f>IFERROR(__xludf.DUMMYFUNCTION("""COMPUTED_VALUE"""),0.0)</f>
        <v>0</v>
      </c>
    </row>
    <row r="200" ht="22.5" customHeight="1">
      <c r="A200" s="2" t="str">
        <f>IFERROR(__xludf.DUMMYFUNCTION("""COMPUTED_VALUE"""),"2026-07")</f>
        <v>2026-07</v>
      </c>
      <c r="B200" s="2" t="str">
        <f>IFERROR(__xludf.DUMMYFUNCTION("""COMPUTED_VALUE"""),"GEAR-SD")</f>
        <v>GEAR-SD</v>
      </c>
      <c r="C200" s="2">
        <f>IFERROR(__xludf.DUMMYFUNCTION("""COMPUTED_VALUE"""),0.0)</f>
        <v>0</v>
      </c>
      <c r="D200" s="2">
        <f>IFERROR(__xludf.DUMMYFUNCTION("""COMPUTED_VALUE"""),0.0)</f>
        <v>0</v>
      </c>
      <c r="E200" s="2">
        <f>IFERROR(__xludf.DUMMYFUNCTION("""COMPUTED_VALUE"""),0.0)</f>
        <v>0</v>
      </c>
      <c r="F200" s="2">
        <f>IFERROR(__xludf.DUMMYFUNCTION("""COMPUTED_VALUE"""),0.0)</f>
        <v>0</v>
      </c>
      <c r="G200" s="2">
        <f>IFERROR(__xludf.DUMMYFUNCTION("""COMPUTED_VALUE"""),0.0)</f>
        <v>0</v>
      </c>
      <c r="H200" s="2">
        <f>IFERROR(__xludf.DUMMYFUNCTION("""COMPUTED_VALUE"""),0.0)</f>
        <v>0</v>
      </c>
    </row>
    <row r="201" ht="22.5" customHeight="1">
      <c r="A201" s="2" t="str">
        <f>IFERROR(__xludf.DUMMYFUNCTION("""COMPUTED_VALUE"""),"2026-08")</f>
        <v>2026-08</v>
      </c>
      <c r="B201" s="2" t="str">
        <f>IFERROR(__xludf.DUMMYFUNCTION("""COMPUTED_VALUE"""),"GEAR-SD")</f>
        <v>GEAR-SD</v>
      </c>
      <c r="C201" s="2">
        <f>IFERROR(__xludf.DUMMYFUNCTION("""COMPUTED_VALUE"""),0.0)</f>
        <v>0</v>
      </c>
      <c r="D201" s="2">
        <f>IFERROR(__xludf.DUMMYFUNCTION("""COMPUTED_VALUE"""),0.0)</f>
        <v>0</v>
      </c>
      <c r="E201" s="2">
        <f>IFERROR(__xludf.DUMMYFUNCTION("""COMPUTED_VALUE"""),0.0)</f>
        <v>0</v>
      </c>
      <c r="F201" s="2">
        <f>IFERROR(__xludf.DUMMYFUNCTION("""COMPUTED_VALUE"""),0.0)</f>
        <v>0</v>
      </c>
      <c r="G201" s="2">
        <f>IFERROR(__xludf.DUMMYFUNCTION("""COMPUTED_VALUE"""),0.0)</f>
        <v>0</v>
      </c>
      <c r="H201" s="2">
        <f>IFERROR(__xludf.DUMMYFUNCTION("""COMPUTED_VALUE"""),0.0)</f>
        <v>0</v>
      </c>
    </row>
    <row r="202" ht="22.5" customHeight="1">
      <c r="A202" s="2" t="str">
        <f>IFERROR(__xludf.DUMMYFUNCTION("""COMPUTED_VALUE"""),"2026-09")</f>
        <v>2026-09</v>
      </c>
      <c r="B202" s="2" t="str">
        <f>IFERROR(__xludf.DUMMYFUNCTION("""COMPUTED_VALUE"""),"GEAR-SD")</f>
        <v>GEAR-SD</v>
      </c>
      <c r="C202" s="2">
        <f>IFERROR(__xludf.DUMMYFUNCTION("""COMPUTED_VALUE"""),0.0)</f>
        <v>0</v>
      </c>
      <c r="D202" s="2">
        <f>IFERROR(__xludf.DUMMYFUNCTION("""COMPUTED_VALUE"""),0.0)</f>
        <v>0</v>
      </c>
      <c r="E202" s="2">
        <f>IFERROR(__xludf.DUMMYFUNCTION("""COMPUTED_VALUE"""),0.0)</f>
        <v>0</v>
      </c>
      <c r="F202" s="2">
        <f>IFERROR(__xludf.DUMMYFUNCTION("""COMPUTED_VALUE"""),0.0)</f>
        <v>0</v>
      </c>
      <c r="G202" s="2">
        <f>IFERROR(__xludf.DUMMYFUNCTION("""COMPUTED_VALUE"""),0.0)</f>
        <v>0</v>
      </c>
      <c r="H202" s="2">
        <f>IFERROR(__xludf.DUMMYFUNCTION("""COMPUTED_VALUE"""),0.0)</f>
        <v>0</v>
      </c>
    </row>
    <row r="203" ht="22.5" customHeight="1">
      <c r="A203" s="2" t="str">
        <f>IFERROR(__xludf.DUMMYFUNCTION("""COMPUTED_VALUE"""),"2026-10")</f>
        <v>2026-10</v>
      </c>
      <c r="B203" s="2" t="str">
        <f>IFERROR(__xludf.DUMMYFUNCTION("""COMPUTED_VALUE"""),"GEAR-SD")</f>
        <v>GEAR-SD</v>
      </c>
      <c r="C203" s="2">
        <f>IFERROR(__xludf.DUMMYFUNCTION("""COMPUTED_VALUE"""),0.0)</f>
        <v>0</v>
      </c>
      <c r="D203" s="2">
        <f>IFERROR(__xludf.DUMMYFUNCTION("""COMPUTED_VALUE"""),0.0)</f>
        <v>0</v>
      </c>
      <c r="E203" s="2">
        <f>IFERROR(__xludf.DUMMYFUNCTION("""COMPUTED_VALUE"""),0.0)</f>
        <v>0</v>
      </c>
      <c r="F203" s="2">
        <f>IFERROR(__xludf.DUMMYFUNCTION("""COMPUTED_VALUE"""),0.0)</f>
        <v>0</v>
      </c>
      <c r="G203" s="2">
        <f>IFERROR(__xludf.DUMMYFUNCTION("""COMPUTED_VALUE"""),0.0)</f>
        <v>0</v>
      </c>
      <c r="H203" s="2">
        <f>IFERROR(__xludf.DUMMYFUNCTION("""COMPUTED_VALUE"""),0.0)</f>
        <v>0</v>
      </c>
    </row>
    <row r="204" ht="22.5" customHeight="1">
      <c r="A204" s="2" t="str">
        <f>IFERROR(__xludf.DUMMYFUNCTION("""COMPUTED_VALUE"""),"2026-11")</f>
        <v>2026-11</v>
      </c>
      <c r="B204" s="2" t="str">
        <f>IFERROR(__xludf.DUMMYFUNCTION("""COMPUTED_VALUE"""),"GEAR-SD")</f>
        <v>GEAR-SD</v>
      </c>
      <c r="C204" s="2">
        <f>IFERROR(__xludf.DUMMYFUNCTION("""COMPUTED_VALUE"""),0.0)</f>
        <v>0</v>
      </c>
      <c r="D204" s="2">
        <f>IFERROR(__xludf.DUMMYFUNCTION("""COMPUTED_VALUE"""),0.0)</f>
        <v>0</v>
      </c>
      <c r="E204" s="2">
        <f>IFERROR(__xludf.DUMMYFUNCTION("""COMPUTED_VALUE"""),0.0)</f>
        <v>0</v>
      </c>
      <c r="F204" s="2">
        <f>IFERROR(__xludf.DUMMYFUNCTION("""COMPUTED_VALUE"""),0.0)</f>
        <v>0</v>
      </c>
      <c r="G204" s="2">
        <f>IFERROR(__xludf.DUMMYFUNCTION("""COMPUTED_VALUE"""),0.0)</f>
        <v>0</v>
      </c>
      <c r="H204" s="2">
        <f>IFERROR(__xludf.DUMMYFUNCTION("""COMPUTED_VALUE"""),0.0)</f>
        <v>0</v>
      </c>
    </row>
    <row r="205" ht="22.5" customHeight="1">
      <c r="A205" s="2" t="str">
        <f>IFERROR(__xludf.DUMMYFUNCTION("""COMPUTED_VALUE"""),"2026-12")</f>
        <v>2026-12</v>
      </c>
      <c r="B205" s="2" t="str">
        <f>IFERROR(__xludf.DUMMYFUNCTION("""COMPUTED_VALUE"""),"GEAR-SD")</f>
        <v>GEAR-SD</v>
      </c>
      <c r="C205" s="2">
        <f>IFERROR(__xludf.DUMMYFUNCTION("""COMPUTED_VALUE"""),0.0)</f>
        <v>0</v>
      </c>
      <c r="D205" s="2">
        <f>IFERROR(__xludf.DUMMYFUNCTION("""COMPUTED_VALUE"""),0.0)</f>
        <v>0</v>
      </c>
      <c r="E205" s="2">
        <f>IFERROR(__xludf.DUMMYFUNCTION("""COMPUTED_VALUE"""),0.0)</f>
        <v>0</v>
      </c>
      <c r="F205" s="2">
        <f>IFERROR(__xludf.DUMMYFUNCTION("""COMPUTED_VALUE"""),0.0)</f>
        <v>0</v>
      </c>
      <c r="G205" s="2">
        <f>IFERROR(__xludf.DUMMYFUNCTION("""COMPUTED_VALUE"""),0.0)</f>
        <v>0</v>
      </c>
      <c r="H205" s="2">
        <f>IFERROR(__xludf.DUMMYFUNCTION("""COMPUTED_VALUE"""),0.0)</f>
        <v>0</v>
      </c>
    </row>
    <row r="206" ht="22.5" customHeight="1">
      <c r="A206" s="2" t="str">
        <f>IFERROR(__xludf.DUMMYFUNCTION("""COMPUTED_VALUE"""),"2026-01")</f>
        <v>2026-01</v>
      </c>
      <c r="B206" s="2" t="str">
        <f>IFERROR(__xludf.DUMMYFUNCTION("""COMPUTED_VALUE"""),"GEAR-SD - LX")</f>
        <v>GEAR-SD - LX</v>
      </c>
      <c r="C206" s="2">
        <f>IFERROR(__xludf.DUMMYFUNCTION("""COMPUTED_VALUE"""),592.0)</f>
        <v>592</v>
      </c>
      <c r="D206" s="2">
        <f>IFERROR(__xludf.DUMMYFUNCTION("""COMPUTED_VALUE"""),0.0)</f>
        <v>0</v>
      </c>
      <c r="E206" s="2">
        <f>IFERROR(__xludf.DUMMYFUNCTION("""COMPUTED_VALUE"""),0.0)</f>
        <v>0</v>
      </c>
      <c r="F206" s="2">
        <f>IFERROR(__xludf.DUMMYFUNCTION("""COMPUTED_VALUE"""),0.0)</f>
        <v>0</v>
      </c>
      <c r="G206" s="2">
        <f>IFERROR(__xludf.DUMMYFUNCTION("""COMPUTED_VALUE"""),592.0)</f>
        <v>592</v>
      </c>
      <c r="H206" s="2">
        <f>IFERROR(__xludf.DUMMYFUNCTION("""COMPUTED_VALUE"""),0.0)</f>
        <v>0</v>
      </c>
    </row>
    <row r="207" ht="22.5" customHeight="1">
      <c r="A207" s="2" t="str">
        <f>IFERROR(__xludf.DUMMYFUNCTION("""COMPUTED_VALUE"""),"2026-02")</f>
        <v>2026-02</v>
      </c>
      <c r="B207" s="2" t="str">
        <f>IFERROR(__xludf.DUMMYFUNCTION("""COMPUTED_VALUE"""),"GEAR-SD - LX")</f>
        <v>GEAR-SD - LX</v>
      </c>
      <c r="C207" s="2">
        <f>IFERROR(__xludf.DUMMYFUNCTION("""COMPUTED_VALUE"""),0.0)</f>
        <v>0</v>
      </c>
      <c r="D207" s="2">
        <f>IFERROR(__xludf.DUMMYFUNCTION("""COMPUTED_VALUE"""),265.0)</f>
        <v>265</v>
      </c>
      <c r="E207" s="2">
        <f>IFERROR(__xludf.DUMMYFUNCTION("""COMPUTED_VALUE"""),9.0)</f>
        <v>9</v>
      </c>
      <c r="F207" s="2">
        <f>IFERROR(__xludf.DUMMYFUNCTION("""COMPUTED_VALUE"""),50.0)</f>
        <v>50</v>
      </c>
      <c r="G207" s="2">
        <f>IFERROR(__xludf.DUMMYFUNCTION("""COMPUTED_VALUE"""),265.0)</f>
        <v>265</v>
      </c>
      <c r="H207" s="2">
        <f>IFERROR(__xludf.DUMMYFUNCTION("""COMPUTED_VALUE"""),0.0)</f>
        <v>0</v>
      </c>
    </row>
    <row r="208" ht="22.5" customHeight="1">
      <c r="A208" s="2" t="str">
        <f>IFERROR(__xludf.DUMMYFUNCTION("""COMPUTED_VALUE"""),"2026-03")</f>
        <v>2026-03</v>
      </c>
      <c r="B208" s="2" t="str">
        <f>IFERROR(__xludf.DUMMYFUNCTION("""COMPUTED_VALUE"""),"GEAR-SD - LX")</f>
        <v>GEAR-SD - LX</v>
      </c>
      <c r="C208" s="2">
        <f>IFERROR(__xludf.DUMMYFUNCTION("""COMPUTED_VALUE"""),0.0)</f>
        <v>0</v>
      </c>
      <c r="D208" s="2">
        <f>IFERROR(__xludf.DUMMYFUNCTION("""COMPUTED_VALUE"""),174.0)</f>
        <v>174</v>
      </c>
      <c r="E208" s="2">
        <f>IFERROR(__xludf.DUMMYFUNCTION("""COMPUTED_VALUE"""),5.0)</f>
        <v>5</v>
      </c>
      <c r="F208" s="2">
        <f>IFERROR(__xludf.DUMMYFUNCTION("""COMPUTED_VALUE"""),1.0)</f>
        <v>1</v>
      </c>
      <c r="G208" s="2">
        <f>IFERROR(__xludf.DUMMYFUNCTION("""COMPUTED_VALUE"""),174.0)</f>
        <v>174</v>
      </c>
      <c r="H208" s="2">
        <f>IFERROR(__xludf.DUMMYFUNCTION("""COMPUTED_VALUE"""),0.0)</f>
        <v>0</v>
      </c>
    </row>
    <row r="209" ht="22.5" customHeight="1">
      <c r="A209" s="2" t="str">
        <f>IFERROR(__xludf.DUMMYFUNCTION("""COMPUTED_VALUE"""),"2026-04")</f>
        <v>2026-04</v>
      </c>
      <c r="B209" s="2" t="str">
        <f>IFERROR(__xludf.DUMMYFUNCTION("""COMPUTED_VALUE"""),"GEAR-SD - LX")</f>
        <v>GEAR-SD - LX</v>
      </c>
      <c r="C209" s="2">
        <f>IFERROR(__xludf.DUMMYFUNCTION("""COMPUTED_VALUE"""),0.0)</f>
        <v>0</v>
      </c>
      <c r="D209" s="2">
        <f>IFERROR(__xludf.DUMMYFUNCTION("""COMPUTED_VALUE"""),0.0)</f>
        <v>0</v>
      </c>
      <c r="E209" s="2">
        <f>IFERROR(__xludf.DUMMYFUNCTION("""COMPUTED_VALUE"""),0.0)</f>
        <v>0</v>
      </c>
      <c r="F209" s="2">
        <f>IFERROR(__xludf.DUMMYFUNCTION("""COMPUTED_VALUE"""),0.0)</f>
        <v>0</v>
      </c>
      <c r="G209" s="2">
        <f>IFERROR(__xludf.DUMMYFUNCTION("""COMPUTED_VALUE"""),0.0)</f>
        <v>0</v>
      </c>
      <c r="H209" s="2">
        <f>IFERROR(__xludf.DUMMYFUNCTION("""COMPUTED_VALUE"""),0.0)</f>
        <v>0</v>
      </c>
    </row>
    <row r="210" ht="22.5" customHeight="1">
      <c r="A210" s="2" t="str">
        <f>IFERROR(__xludf.DUMMYFUNCTION("""COMPUTED_VALUE"""),"2026-05")</f>
        <v>2026-05</v>
      </c>
      <c r="B210" s="2" t="str">
        <f>IFERROR(__xludf.DUMMYFUNCTION("""COMPUTED_VALUE"""),"GEAR-SD - LX")</f>
        <v>GEAR-SD - LX</v>
      </c>
      <c r="C210" s="2">
        <f>IFERROR(__xludf.DUMMYFUNCTION("""COMPUTED_VALUE"""),0.0)</f>
        <v>0</v>
      </c>
      <c r="D210" s="2">
        <f>IFERROR(__xludf.DUMMYFUNCTION("""COMPUTED_VALUE"""),0.0)</f>
        <v>0</v>
      </c>
      <c r="E210" s="2">
        <f>IFERROR(__xludf.DUMMYFUNCTION("""COMPUTED_VALUE"""),0.0)</f>
        <v>0</v>
      </c>
      <c r="F210" s="2">
        <f>IFERROR(__xludf.DUMMYFUNCTION("""COMPUTED_VALUE"""),0.0)</f>
        <v>0</v>
      </c>
      <c r="G210" s="2">
        <f>IFERROR(__xludf.DUMMYFUNCTION("""COMPUTED_VALUE"""),0.0)</f>
        <v>0</v>
      </c>
      <c r="H210" s="2">
        <f>IFERROR(__xludf.DUMMYFUNCTION("""COMPUTED_VALUE"""),0.0)</f>
        <v>0</v>
      </c>
    </row>
    <row r="211" ht="22.5" customHeight="1">
      <c r="A211" s="2" t="str">
        <f>IFERROR(__xludf.DUMMYFUNCTION("""COMPUTED_VALUE"""),"2026-06")</f>
        <v>2026-06</v>
      </c>
      <c r="B211" s="2" t="str">
        <f>IFERROR(__xludf.DUMMYFUNCTION("""COMPUTED_VALUE"""),"GEAR-SD - LX")</f>
        <v>GEAR-SD - LX</v>
      </c>
      <c r="C211" s="2">
        <f>IFERROR(__xludf.DUMMYFUNCTION("""COMPUTED_VALUE"""),0.0)</f>
        <v>0</v>
      </c>
      <c r="D211" s="2">
        <f>IFERROR(__xludf.DUMMYFUNCTION("""COMPUTED_VALUE"""),0.0)</f>
        <v>0</v>
      </c>
      <c r="E211" s="2">
        <f>IFERROR(__xludf.DUMMYFUNCTION("""COMPUTED_VALUE"""),0.0)</f>
        <v>0</v>
      </c>
      <c r="F211" s="2">
        <f>IFERROR(__xludf.DUMMYFUNCTION("""COMPUTED_VALUE"""),0.0)</f>
        <v>0</v>
      </c>
      <c r="G211" s="2">
        <f>IFERROR(__xludf.DUMMYFUNCTION("""COMPUTED_VALUE"""),0.0)</f>
        <v>0</v>
      </c>
      <c r="H211" s="2">
        <f>IFERROR(__xludf.DUMMYFUNCTION("""COMPUTED_VALUE"""),0.0)</f>
        <v>0</v>
      </c>
    </row>
    <row r="212" ht="22.5" customHeight="1">
      <c r="A212" s="2" t="str">
        <f>IFERROR(__xludf.DUMMYFUNCTION("""COMPUTED_VALUE"""),"2026-07")</f>
        <v>2026-07</v>
      </c>
      <c r="B212" s="2" t="str">
        <f>IFERROR(__xludf.DUMMYFUNCTION("""COMPUTED_VALUE"""),"GEAR-SD - LX")</f>
        <v>GEAR-SD - LX</v>
      </c>
      <c r="C212" s="2">
        <f>IFERROR(__xludf.DUMMYFUNCTION("""COMPUTED_VALUE"""),0.0)</f>
        <v>0</v>
      </c>
      <c r="D212" s="2">
        <f>IFERROR(__xludf.DUMMYFUNCTION("""COMPUTED_VALUE"""),0.0)</f>
        <v>0</v>
      </c>
      <c r="E212" s="2">
        <f>IFERROR(__xludf.DUMMYFUNCTION("""COMPUTED_VALUE"""),0.0)</f>
        <v>0</v>
      </c>
      <c r="F212" s="2">
        <f>IFERROR(__xludf.DUMMYFUNCTION("""COMPUTED_VALUE"""),0.0)</f>
        <v>0</v>
      </c>
      <c r="G212" s="2">
        <f>IFERROR(__xludf.DUMMYFUNCTION("""COMPUTED_VALUE"""),0.0)</f>
        <v>0</v>
      </c>
      <c r="H212" s="2">
        <f>IFERROR(__xludf.DUMMYFUNCTION("""COMPUTED_VALUE"""),0.0)</f>
        <v>0</v>
      </c>
    </row>
    <row r="213" ht="22.5" customHeight="1">
      <c r="A213" s="2" t="str">
        <f>IFERROR(__xludf.DUMMYFUNCTION("""COMPUTED_VALUE"""),"2026-08")</f>
        <v>2026-08</v>
      </c>
      <c r="B213" s="2" t="str">
        <f>IFERROR(__xludf.DUMMYFUNCTION("""COMPUTED_VALUE"""),"GEAR-SD - LX")</f>
        <v>GEAR-SD - LX</v>
      </c>
      <c r="C213" s="2">
        <f>IFERROR(__xludf.DUMMYFUNCTION("""COMPUTED_VALUE"""),0.0)</f>
        <v>0</v>
      </c>
      <c r="D213" s="2">
        <f>IFERROR(__xludf.DUMMYFUNCTION("""COMPUTED_VALUE"""),0.0)</f>
        <v>0</v>
      </c>
      <c r="E213" s="2">
        <f>IFERROR(__xludf.DUMMYFUNCTION("""COMPUTED_VALUE"""),0.0)</f>
        <v>0</v>
      </c>
      <c r="F213" s="2">
        <f>IFERROR(__xludf.DUMMYFUNCTION("""COMPUTED_VALUE"""),0.0)</f>
        <v>0</v>
      </c>
      <c r="G213" s="2">
        <f>IFERROR(__xludf.DUMMYFUNCTION("""COMPUTED_VALUE"""),0.0)</f>
        <v>0</v>
      </c>
      <c r="H213" s="2">
        <f>IFERROR(__xludf.DUMMYFUNCTION("""COMPUTED_VALUE"""),0.0)</f>
        <v>0</v>
      </c>
    </row>
    <row r="214" ht="22.5" customHeight="1">
      <c r="A214" s="2" t="str">
        <f>IFERROR(__xludf.DUMMYFUNCTION("""COMPUTED_VALUE"""),"2026-09")</f>
        <v>2026-09</v>
      </c>
      <c r="B214" s="2" t="str">
        <f>IFERROR(__xludf.DUMMYFUNCTION("""COMPUTED_VALUE"""),"GEAR-SD - LX")</f>
        <v>GEAR-SD - LX</v>
      </c>
      <c r="C214" s="2">
        <f>IFERROR(__xludf.DUMMYFUNCTION("""COMPUTED_VALUE"""),0.0)</f>
        <v>0</v>
      </c>
      <c r="D214" s="2">
        <f>IFERROR(__xludf.DUMMYFUNCTION("""COMPUTED_VALUE"""),0.0)</f>
        <v>0</v>
      </c>
      <c r="E214" s="2">
        <f>IFERROR(__xludf.DUMMYFUNCTION("""COMPUTED_VALUE"""),0.0)</f>
        <v>0</v>
      </c>
      <c r="F214" s="2">
        <f>IFERROR(__xludf.DUMMYFUNCTION("""COMPUTED_VALUE"""),0.0)</f>
        <v>0</v>
      </c>
      <c r="G214" s="2">
        <f>IFERROR(__xludf.DUMMYFUNCTION("""COMPUTED_VALUE"""),0.0)</f>
        <v>0</v>
      </c>
      <c r="H214" s="2">
        <f>IFERROR(__xludf.DUMMYFUNCTION("""COMPUTED_VALUE"""),0.0)</f>
        <v>0</v>
      </c>
    </row>
    <row r="215" ht="22.5" customHeight="1">
      <c r="A215" s="2" t="str">
        <f>IFERROR(__xludf.DUMMYFUNCTION("""COMPUTED_VALUE"""),"2026-10")</f>
        <v>2026-10</v>
      </c>
      <c r="B215" s="2" t="str">
        <f>IFERROR(__xludf.DUMMYFUNCTION("""COMPUTED_VALUE"""),"GEAR-SD - LX")</f>
        <v>GEAR-SD - LX</v>
      </c>
      <c r="C215" s="2">
        <f>IFERROR(__xludf.DUMMYFUNCTION("""COMPUTED_VALUE"""),0.0)</f>
        <v>0</v>
      </c>
      <c r="D215" s="2">
        <f>IFERROR(__xludf.DUMMYFUNCTION("""COMPUTED_VALUE"""),0.0)</f>
        <v>0</v>
      </c>
      <c r="E215" s="2">
        <f>IFERROR(__xludf.DUMMYFUNCTION("""COMPUTED_VALUE"""),0.0)</f>
        <v>0</v>
      </c>
      <c r="F215" s="2">
        <f>IFERROR(__xludf.DUMMYFUNCTION("""COMPUTED_VALUE"""),0.0)</f>
        <v>0</v>
      </c>
      <c r="G215" s="2">
        <f>IFERROR(__xludf.DUMMYFUNCTION("""COMPUTED_VALUE"""),0.0)</f>
        <v>0</v>
      </c>
      <c r="H215" s="2">
        <f>IFERROR(__xludf.DUMMYFUNCTION("""COMPUTED_VALUE"""),0.0)</f>
        <v>0</v>
      </c>
    </row>
    <row r="216" ht="22.5" customHeight="1">
      <c r="A216" s="2" t="str">
        <f>IFERROR(__xludf.DUMMYFUNCTION("""COMPUTED_VALUE"""),"2026-11")</f>
        <v>2026-11</v>
      </c>
      <c r="B216" s="2" t="str">
        <f>IFERROR(__xludf.DUMMYFUNCTION("""COMPUTED_VALUE"""),"GEAR-SD - LX")</f>
        <v>GEAR-SD - LX</v>
      </c>
      <c r="C216" s="2">
        <f>IFERROR(__xludf.DUMMYFUNCTION("""COMPUTED_VALUE"""),0.0)</f>
        <v>0</v>
      </c>
      <c r="D216" s="2">
        <f>IFERROR(__xludf.DUMMYFUNCTION("""COMPUTED_VALUE"""),0.0)</f>
        <v>0</v>
      </c>
      <c r="E216" s="2">
        <f>IFERROR(__xludf.DUMMYFUNCTION("""COMPUTED_VALUE"""),0.0)</f>
        <v>0</v>
      </c>
      <c r="F216" s="2">
        <f>IFERROR(__xludf.DUMMYFUNCTION("""COMPUTED_VALUE"""),0.0)</f>
        <v>0</v>
      </c>
      <c r="G216" s="2">
        <f>IFERROR(__xludf.DUMMYFUNCTION("""COMPUTED_VALUE"""),0.0)</f>
        <v>0</v>
      </c>
      <c r="H216" s="2">
        <f>IFERROR(__xludf.DUMMYFUNCTION("""COMPUTED_VALUE"""),0.0)</f>
        <v>0</v>
      </c>
    </row>
    <row r="217" ht="22.5" customHeight="1">
      <c r="A217" s="2" t="str">
        <f>IFERROR(__xludf.DUMMYFUNCTION("""COMPUTED_VALUE"""),"2026-12")</f>
        <v>2026-12</v>
      </c>
      <c r="B217" s="2" t="str">
        <f>IFERROR(__xludf.DUMMYFUNCTION("""COMPUTED_VALUE"""),"GEAR-SD - LX")</f>
        <v>GEAR-SD - LX</v>
      </c>
      <c r="C217" s="2">
        <f>IFERROR(__xludf.DUMMYFUNCTION("""COMPUTED_VALUE"""),0.0)</f>
        <v>0</v>
      </c>
      <c r="D217" s="2">
        <f>IFERROR(__xludf.DUMMYFUNCTION("""COMPUTED_VALUE"""),0.0)</f>
        <v>0</v>
      </c>
      <c r="E217" s="2">
        <f>IFERROR(__xludf.DUMMYFUNCTION("""COMPUTED_VALUE"""),0.0)</f>
        <v>0</v>
      </c>
      <c r="F217" s="2">
        <f>IFERROR(__xludf.DUMMYFUNCTION("""COMPUTED_VALUE"""),0.0)</f>
        <v>0</v>
      </c>
      <c r="G217" s="2">
        <f>IFERROR(__xludf.DUMMYFUNCTION("""COMPUTED_VALUE"""),0.0)</f>
        <v>0</v>
      </c>
      <c r="H217" s="2">
        <f>IFERROR(__xludf.DUMMYFUNCTION("""COMPUTED_VALUE"""),0.0)</f>
        <v>0</v>
      </c>
    </row>
    <row r="218" ht="22.5" customHeight="1">
      <c r="A218" s="2" t="str">
        <f>IFERROR(__xludf.DUMMYFUNCTION("""COMPUTED_VALUE"""),"2026-01")</f>
        <v>2026-01</v>
      </c>
      <c r="B218" s="2" t="str">
        <f>IFERROR(__xludf.DUMMYFUNCTION("""COMPUTED_VALUE"""),"GEAR-SUV")</f>
        <v>GEAR-SUV</v>
      </c>
      <c r="C218" s="2">
        <f>IFERROR(__xludf.DUMMYFUNCTION("""COMPUTED_VALUE"""),338.0)</f>
        <v>338</v>
      </c>
      <c r="D218" s="2">
        <f>IFERROR(__xludf.DUMMYFUNCTION("""COMPUTED_VALUE"""),289.0)</f>
        <v>289</v>
      </c>
      <c r="E218" s="2">
        <f>IFERROR(__xludf.DUMMYFUNCTION("""COMPUTED_VALUE"""),6.0)</f>
        <v>6</v>
      </c>
      <c r="F218" s="2">
        <f>IFERROR(__xludf.DUMMYFUNCTION("""COMPUTED_VALUE"""),11.0)</f>
        <v>11</v>
      </c>
      <c r="G218" s="2">
        <f>IFERROR(__xludf.DUMMYFUNCTION("""COMPUTED_VALUE"""),627.0)</f>
        <v>627</v>
      </c>
      <c r="H218" s="2">
        <f>IFERROR(__xludf.DUMMYFUNCTION("""COMPUTED_VALUE"""),0.0)</f>
        <v>0</v>
      </c>
    </row>
    <row r="219" ht="22.5" customHeight="1">
      <c r="A219" s="2" t="str">
        <f>IFERROR(__xludf.DUMMYFUNCTION("""COMPUTED_VALUE"""),"2026-02")</f>
        <v>2026-02</v>
      </c>
      <c r="B219" s="2" t="str">
        <f>IFERROR(__xludf.DUMMYFUNCTION("""COMPUTED_VALUE"""),"GEAR-SUV")</f>
        <v>GEAR-SUV</v>
      </c>
      <c r="C219" s="2">
        <f>IFERROR(__xludf.DUMMYFUNCTION("""COMPUTED_VALUE"""),0.0)</f>
        <v>0</v>
      </c>
      <c r="D219" s="2">
        <f>IFERROR(__xludf.DUMMYFUNCTION("""COMPUTED_VALUE"""),486.0)</f>
        <v>486</v>
      </c>
      <c r="E219" s="2">
        <f>IFERROR(__xludf.DUMMYFUNCTION("""COMPUTED_VALUE"""),10.0)</f>
        <v>10</v>
      </c>
      <c r="F219" s="2">
        <f>IFERROR(__xludf.DUMMYFUNCTION("""COMPUTED_VALUE"""),14.0)</f>
        <v>14</v>
      </c>
      <c r="G219" s="2">
        <f>IFERROR(__xludf.DUMMYFUNCTION("""COMPUTED_VALUE"""),486.0)</f>
        <v>486</v>
      </c>
      <c r="H219" s="2">
        <f>IFERROR(__xludf.DUMMYFUNCTION("""COMPUTED_VALUE"""),0.0)</f>
        <v>0</v>
      </c>
    </row>
    <row r="220" ht="22.5" customHeight="1">
      <c r="A220" s="2" t="str">
        <f>IFERROR(__xludf.DUMMYFUNCTION("""COMPUTED_VALUE"""),"2026-03")</f>
        <v>2026-03</v>
      </c>
      <c r="B220" s="2" t="str">
        <f>IFERROR(__xludf.DUMMYFUNCTION("""COMPUTED_VALUE"""),"GEAR-SUV")</f>
        <v>GEAR-SUV</v>
      </c>
      <c r="C220" s="2">
        <f>IFERROR(__xludf.DUMMYFUNCTION("""COMPUTED_VALUE"""),0.0)</f>
        <v>0</v>
      </c>
      <c r="D220" s="2">
        <f>IFERROR(__xludf.DUMMYFUNCTION("""COMPUTED_VALUE"""),0.0)</f>
        <v>0</v>
      </c>
      <c r="E220" s="2">
        <f>IFERROR(__xludf.DUMMYFUNCTION("""COMPUTED_VALUE"""),0.0)</f>
        <v>0</v>
      </c>
      <c r="F220" s="2">
        <f>IFERROR(__xludf.DUMMYFUNCTION("""COMPUTED_VALUE"""),0.0)</f>
        <v>0</v>
      </c>
      <c r="G220" s="2">
        <f>IFERROR(__xludf.DUMMYFUNCTION("""COMPUTED_VALUE"""),0.0)</f>
        <v>0</v>
      </c>
      <c r="H220" s="2">
        <f>IFERROR(__xludf.DUMMYFUNCTION("""COMPUTED_VALUE"""),0.0)</f>
        <v>0</v>
      </c>
    </row>
    <row r="221" ht="22.5" customHeight="1">
      <c r="A221" s="2" t="str">
        <f>IFERROR(__xludf.DUMMYFUNCTION("""COMPUTED_VALUE"""),"2026-04")</f>
        <v>2026-04</v>
      </c>
      <c r="B221" s="2" t="str">
        <f>IFERROR(__xludf.DUMMYFUNCTION("""COMPUTED_VALUE"""),"GEAR-SUV")</f>
        <v>GEAR-SUV</v>
      </c>
      <c r="C221" s="2">
        <f>IFERROR(__xludf.DUMMYFUNCTION("""COMPUTED_VALUE"""),0.0)</f>
        <v>0</v>
      </c>
      <c r="D221" s="2">
        <f>IFERROR(__xludf.DUMMYFUNCTION("""COMPUTED_VALUE"""),0.0)</f>
        <v>0</v>
      </c>
      <c r="E221" s="2">
        <f>IFERROR(__xludf.DUMMYFUNCTION("""COMPUTED_VALUE"""),0.0)</f>
        <v>0</v>
      </c>
      <c r="F221" s="2">
        <f>IFERROR(__xludf.DUMMYFUNCTION("""COMPUTED_VALUE"""),0.0)</f>
        <v>0</v>
      </c>
      <c r="G221" s="2">
        <f>IFERROR(__xludf.DUMMYFUNCTION("""COMPUTED_VALUE"""),0.0)</f>
        <v>0</v>
      </c>
      <c r="H221" s="2">
        <f>IFERROR(__xludf.DUMMYFUNCTION("""COMPUTED_VALUE"""),0.0)</f>
        <v>0</v>
      </c>
    </row>
    <row r="222" ht="22.5" customHeight="1">
      <c r="A222" s="2" t="str">
        <f>IFERROR(__xludf.DUMMYFUNCTION("""COMPUTED_VALUE"""),"2026-05")</f>
        <v>2026-05</v>
      </c>
      <c r="B222" s="2" t="str">
        <f>IFERROR(__xludf.DUMMYFUNCTION("""COMPUTED_VALUE"""),"GEAR-SUV")</f>
        <v>GEAR-SUV</v>
      </c>
      <c r="C222" s="2">
        <f>IFERROR(__xludf.DUMMYFUNCTION("""COMPUTED_VALUE"""),0.0)</f>
        <v>0</v>
      </c>
      <c r="D222" s="2">
        <f>IFERROR(__xludf.DUMMYFUNCTION("""COMPUTED_VALUE"""),0.0)</f>
        <v>0</v>
      </c>
      <c r="E222" s="2">
        <f>IFERROR(__xludf.DUMMYFUNCTION("""COMPUTED_VALUE"""),0.0)</f>
        <v>0</v>
      </c>
      <c r="F222" s="2">
        <f>IFERROR(__xludf.DUMMYFUNCTION("""COMPUTED_VALUE"""),0.0)</f>
        <v>0</v>
      </c>
      <c r="G222" s="2">
        <f>IFERROR(__xludf.DUMMYFUNCTION("""COMPUTED_VALUE"""),0.0)</f>
        <v>0</v>
      </c>
      <c r="H222" s="2">
        <f>IFERROR(__xludf.DUMMYFUNCTION("""COMPUTED_VALUE"""),0.0)</f>
        <v>0</v>
      </c>
    </row>
    <row r="223" ht="22.5" customHeight="1">
      <c r="A223" s="2" t="str">
        <f>IFERROR(__xludf.DUMMYFUNCTION("""COMPUTED_VALUE"""),"2026-06")</f>
        <v>2026-06</v>
      </c>
      <c r="B223" s="2" t="str">
        <f>IFERROR(__xludf.DUMMYFUNCTION("""COMPUTED_VALUE"""),"GEAR-SUV")</f>
        <v>GEAR-SUV</v>
      </c>
      <c r="C223" s="2">
        <f>IFERROR(__xludf.DUMMYFUNCTION("""COMPUTED_VALUE"""),0.0)</f>
        <v>0</v>
      </c>
      <c r="D223" s="2">
        <f>IFERROR(__xludf.DUMMYFUNCTION("""COMPUTED_VALUE"""),0.0)</f>
        <v>0</v>
      </c>
      <c r="E223" s="2">
        <f>IFERROR(__xludf.DUMMYFUNCTION("""COMPUTED_VALUE"""),0.0)</f>
        <v>0</v>
      </c>
      <c r="F223" s="2">
        <f>IFERROR(__xludf.DUMMYFUNCTION("""COMPUTED_VALUE"""),0.0)</f>
        <v>0</v>
      </c>
      <c r="G223" s="2">
        <f>IFERROR(__xludf.DUMMYFUNCTION("""COMPUTED_VALUE"""),0.0)</f>
        <v>0</v>
      </c>
      <c r="H223" s="2">
        <f>IFERROR(__xludf.DUMMYFUNCTION("""COMPUTED_VALUE"""),0.0)</f>
        <v>0</v>
      </c>
    </row>
    <row r="224" ht="22.5" customHeight="1">
      <c r="A224" s="2" t="str">
        <f>IFERROR(__xludf.DUMMYFUNCTION("""COMPUTED_VALUE"""),"2026-07")</f>
        <v>2026-07</v>
      </c>
      <c r="B224" s="2" t="str">
        <f>IFERROR(__xludf.DUMMYFUNCTION("""COMPUTED_VALUE"""),"GEAR-SUV")</f>
        <v>GEAR-SUV</v>
      </c>
      <c r="C224" s="2">
        <f>IFERROR(__xludf.DUMMYFUNCTION("""COMPUTED_VALUE"""),0.0)</f>
        <v>0</v>
      </c>
      <c r="D224" s="2">
        <f>IFERROR(__xludf.DUMMYFUNCTION("""COMPUTED_VALUE"""),0.0)</f>
        <v>0</v>
      </c>
      <c r="E224" s="2">
        <f>IFERROR(__xludf.DUMMYFUNCTION("""COMPUTED_VALUE"""),0.0)</f>
        <v>0</v>
      </c>
      <c r="F224" s="2">
        <f>IFERROR(__xludf.DUMMYFUNCTION("""COMPUTED_VALUE"""),0.0)</f>
        <v>0</v>
      </c>
      <c r="G224" s="2">
        <f>IFERROR(__xludf.DUMMYFUNCTION("""COMPUTED_VALUE"""),0.0)</f>
        <v>0</v>
      </c>
      <c r="H224" s="2">
        <f>IFERROR(__xludf.DUMMYFUNCTION("""COMPUTED_VALUE"""),0.0)</f>
        <v>0</v>
      </c>
    </row>
    <row r="225" ht="22.5" customHeight="1">
      <c r="A225" s="2" t="str">
        <f>IFERROR(__xludf.DUMMYFUNCTION("""COMPUTED_VALUE"""),"2026-08")</f>
        <v>2026-08</v>
      </c>
      <c r="B225" s="2" t="str">
        <f>IFERROR(__xludf.DUMMYFUNCTION("""COMPUTED_VALUE"""),"GEAR-SUV")</f>
        <v>GEAR-SUV</v>
      </c>
      <c r="C225" s="2">
        <f>IFERROR(__xludf.DUMMYFUNCTION("""COMPUTED_VALUE"""),0.0)</f>
        <v>0</v>
      </c>
      <c r="D225" s="2">
        <f>IFERROR(__xludf.DUMMYFUNCTION("""COMPUTED_VALUE"""),0.0)</f>
        <v>0</v>
      </c>
      <c r="E225" s="2">
        <f>IFERROR(__xludf.DUMMYFUNCTION("""COMPUTED_VALUE"""),0.0)</f>
        <v>0</v>
      </c>
      <c r="F225" s="2">
        <f>IFERROR(__xludf.DUMMYFUNCTION("""COMPUTED_VALUE"""),0.0)</f>
        <v>0</v>
      </c>
      <c r="G225" s="2">
        <f>IFERROR(__xludf.DUMMYFUNCTION("""COMPUTED_VALUE"""),0.0)</f>
        <v>0</v>
      </c>
      <c r="H225" s="2">
        <f>IFERROR(__xludf.DUMMYFUNCTION("""COMPUTED_VALUE"""),0.0)</f>
        <v>0</v>
      </c>
    </row>
    <row r="226" ht="22.5" customHeight="1">
      <c r="A226" s="2" t="str">
        <f>IFERROR(__xludf.DUMMYFUNCTION("""COMPUTED_VALUE"""),"2026-09")</f>
        <v>2026-09</v>
      </c>
      <c r="B226" s="2" t="str">
        <f>IFERROR(__xludf.DUMMYFUNCTION("""COMPUTED_VALUE"""),"GEAR-SUV")</f>
        <v>GEAR-SUV</v>
      </c>
      <c r="C226" s="2">
        <f>IFERROR(__xludf.DUMMYFUNCTION("""COMPUTED_VALUE"""),0.0)</f>
        <v>0</v>
      </c>
      <c r="D226" s="2">
        <f>IFERROR(__xludf.DUMMYFUNCTION("""COMPUTED_VALUE"""),0.0)</f>
        <v>0</v>
      </c>
      <c r="E226" s="2">
        <f>IFERROR(__xludf.DUMMYFUNCTION("""COMPUTED_VALUE"""),0.0)</f>
        <v>0</v>
      </c>
      <c r="F226" s="2">
        <f>IFERROR(__xludf.DUMMYFUNCTION("""COMPUTED_VALUE"""),0.0)</f>
        <v>0</v>
      </c>
      <c r="G226" s="2">
        <f>IFERROR(__xludf.DUMMYFUNCTION("""COMPUTED_VALUE"""),0.0)</f>
        <v>0</v>
      </c>
      <c r="H226" s="2">
        <f>IFERROR(__xludf.DUMMYFUNCTION("""COMPUTED_VALUE"""),0.0)</f>
        <v>0</v>
      </c>
    </row>
    <row r="227" ht="22.5" customHeight="1">
      <c r="A227" s="2" t="str">
        <f>IFERROR(__xludf.DUMMYFUNCTION("""COMPUTED_VALUE"""),"2026-10")</f>
        <v>2026-10</v>
      </c>
      <c r="B227" s="2" t="str">
        <f>IFERROR(__xludf.DUMMYFUNCTION("""COMPUTED_VALUE"""),"GEAR-SUV")</f>
        <v>GEAR-SUV</v>
      </c>
      <c r="C227" s="2">
        <f>IFERROR(__xludf.DUMMYFUNCTION("""COMPUTED_VALUE"""),0.0)</f>
        <v>0</v>
      </c>
      <c r="D227" s="2">
        <f>IFERROR(__xludf.DUMMYFUNCTION("""COMPUTED_VALUE"""),0.0)</f>
        <v>0</v>
      </c>
      <c r="E227" s="2">
        <f>IFERROR(__xludf.DUMMYFUNCTION("""COMPUTED_VALUE"""),0.0)</f>
        <v>0</v>
      </c>
      <c r="F227" s="2">
        <f>IFERROR(__xludf.DUMMYFUNCTION("""COMPUTED_VALUE"""),0.0)</f>
        <v>0</v>
      </c>
      <c r="G227" s="2">
        <f>IFERROR(__xludf.DUMMYFUNCTION("""COMPUTED_VALUE"""),0.0)</f>
        <v>0</v>
      </c>
      <c r="H227" s="2">
        <f>IFERROR(__xludf.DUMMYFUNCTION("""COMPUTED_VALUE"""),0.0)</f>
        <v>0</v>
      </c>
    </row>
    <row r="228" ht="22.5" customHeight="1">
      <c r="A228" s="2" t="str">
        <f>IFERROR(__xludf.DUMMYFUNCTION("""COMPUTED_VALUE"""),"2026-11")</f>
        <v>2026-11</v>
      </c>
      <c r="B228" s="2" t="str">
        <f>IFERROR(__xludf.DUMMYFUNCTION("""COMPUTED_VALUE"""),"GEAR-SUV")</f>
        <v>GEAR-SUV</v>
      </c>
      <c r="C228" s="2">
        <f>IFERROR(__xludf.DUMMYFUNCTION("""COMPUTED_VALUE"""),0.0)</f>
        <v>0</v>
      </c>
      <c r="D228" s="2">
        <f>IFERROR(__xludf.DUMMYFUNCTION("""COMPUTED_VALUE"""),0.0)</f>
        <v>0</v>
      </c>
      <c r="E228" s="2">
        <f>IFERROR(__xludf.DUMMYFUNCTION("""COMPUTED_VALUE"""),0.0)</f>
        <v>0</v>
      </c>
      <c r="F228" s="2">
        <f>IFERROR(__xludf.DUMMYFUNCTION("""COMPUTED_VALUE"""),0.0)</f>
        <v>0</v>
      </c>
      <c r="G228" s="2">
        <f>IFERROR(__xludf.DUMMYFUNCTION("""COMPUTED_VALUE"""),0.0)</f>
        <v>0</v>
      </c>
      <c r="H228" s="2">
        <f>IFERROR(__xludf.DUMMYFUNCTION("""COMPUTED_VALUE"""),0.0)</f>
        <v>0</v>
      </c>
    </row>
    <row r="229" ht="22.5" customHeight="1">
      <c r="A229" s="2" t="str">
        <f>IFERROR(__xludf.DUMMYFUNCTION("""COMPUTED_VALUE"""),"2026-12")</f>
        <v>2026-12</v>
      </c>
      <c r="B229" s="2" t="str">
        <f>IFERROR(__xludf.DUMMYFUNCTION("""COMPUTED_VALUE"""),"GEAR-SUV")</f>
        <v>GEAR-SUV</v>
      </c>
      <c r="C229" s="2">
        <f>IFERROR(__xludf.DUMMYFUNCTION("""COMPUTED_VALUE"""),0.0)</f>
        <v>0</v>
      </c>
      <c r="D229" s="2">
        <f>IFERROR(__xludf.DUMMYFUNCTION("""COMPUTED_VALUE"""),0.0)</f>
        <v>0</v>
      </c>
      <c r="E229" s="2">
        <f>IFERROR(__xludf.DUMMYFUNCTION("""COMPUTED_VALUE"""),0.0)</f>
        <v>0</v>
      </c>
      <c r="F229" s="2">
        <f>IFERROR(__xludf.DUMMYFUNCTION("""COMPUTED_VALUE"""),0.0)</f>
        <v>0</v>
      </c>
      <c r="G229" s="2">
        <f>IFERROR(__xludf.DUMMYFUNCTION("""COMPUTED_VALUE"""),0.0)</f>
        <v>0</v>
      </c>
      <c r="H229" s="2">
        <f>IFERROR(__xludf.DUMMYFUNCTION("""COMPUTED_VALUE"""),0.0)</f>
        <v>0</v>
      </c>
    </row>
    <row r="230" ht="22.5" customHeight="1">
      <c r="A230" s="2" t="str">
        <f>IFERROR(__xludf.DUMMYFUNCTION("""COMPUTED_VALUE"""),"2026-01")</f>
        <v>2026-01</v>
      </c>
      <c r="B230" s="2" t="str">
        <f>IFERROR(__xludf.DUMMYFUNCTION("""COMPUTED_VALUE"""),"GEAR-SUV - LX")</f>
        <v>GEAR-SUV - LX</v>
      </c>
      <c r="C230" s="2">
        <f>IFERROR(__xludf.DUMMYFUNCTION("""COMPUTED_VALUE"""),355.0)</f>
        <v>355</v>
      </c>
      <c r="D230" s="2">
        <f>IFERROR(__xludf.DUMMYFUNCTION("""COMPUTED_VALUE"""),0.0)</f>
        <v>0</v>
      </c>
      <c r="E230" s="2">
        <f>IFERROR(__xludf.DUMMYFUNCTION("""COMPUTED_VALUE"""),0.0)</f>
        <v>0</v>
      </c>
      <c r="F230" s="2">
        <f>IFERROR(__xludf.DUMMYFUNCTION("""COMPUTED_VALUE"""),0.0)</f>
        <v>0</v>
      </c>
      <c r="G230" s="2">
        <f>IFERROR(__xludf.DUMMYFUNCTION("""COMPUTED_VALUE"""),355.0)</f>
        <v>355</v>
      </c>
      <c r="H230" s="2">
        <f>IFERROR(__xludf.DUMMYFUNCTION("""COMPUTED_VALUE"""),0.0)</f>
        <v>0</v>
      </c>
    </row>
    <row r="231" ht="22.5" customHeight="1">
      <c r="A231" s="2" t="str">
        <f>IFERROR(__xludf.DUMMYFUNCTION("""COMPUTED_VALUE"""),"2026-02")</f>
        <v>2026-02</v>
      </c>
      <c r="B231" s="2" t="str">
        <f>IFERROR(__xludf.DUMMYFUNCTION("""COMPUTED_VALUE"""),"GEAR-SUV - LX")</f>
        <v>GEAR-SUV - LX</v>
      </c>
      <c r="C231" s="2">
        <f>IFERROR(__xludf.DUMMYFUNCTION("""COMPUTED_VALUE"""),0.0)</f>
        <v>0</v>
      </c>
      <c r="D231" s="2">
        <f>IFERROR(__xludf.DUMMYFUNCTION("""COMPUTED_VALUE"""),492.0)</f>
        <v>492</v>
      </c>
      <c r="E231" s="2">
        <f>IFERROR(__xludf.DUMMYFUNCTION("""COMPUTED_VALUE"""),15.0)</f>
        <v>15</v>
      </c>
      <c r="F231" s="2">
        <f>IFERROR(__xludf.DUMMYFUNCTION("""COMPUTED_VALUE"""),33.0)</f>
        <v>33</v>
      </c>
      <c r="G231" s="2">
        <f>IFERROR(__xludf.DUMMYFUNCTION("""COMPUTED_VALUE"""),492.0)</f>
        <v>492</v>
      </c>
      <c r="H231" s="2">
        <f>IFERROR(__xludf.DUMMYFUNCTION("""COMPUTED_VALUE"""),0.0)</f>
        <v>0</v>
      </c>
    </row>
    <row r="232" ht="22.5" customHeight="1">
      <c r="A232" s="2" t="str">
        <f>IFERROR(__xludf.DUMMYFUNCTION("""COMPUTED_VALUE"""),"2026-03")</f>
        <v>2026-03</v>
      </c>
      <c r="B232" s="2" t="str">
        <f>IFERROR(__xludf.DUMMYFUNCTION("""COMPUTED_VALUE"""),"GEAR-SUV - LX")</f>
        <v>GEAR-SUV - LX</v>
      </c>
      <c r="C232" s="2">
        <f>IFERROR(__xludf.DUMMYFUNCTION("""COMPUTED_VALUE"""),0.0)</f>
        <v>0</v>
      </c>
      <c r="D232" s="2">
        <f>IFERROR(__xludf.DUMMYFUNCTION("""COMPUTED_VALUE"""),89.0)</f>
        <v>89</v>
      </c>
      <c r="E232" s="2">
        <f>IFERROR(__xludf.DUMMYFUNCTION("""COMPUTED_VALUE"""),3.0)</f>
        <v>3</v>
      </c>
      <c r="F232" s="2">
        <f>IFERROR(__xludf.DUMMYFUNCTION("""COMPUTED_VALUE"""),16.0)</f>
        <v>16</v>
      </c>
      <c r="G232" s="2">
        <f>IFERROR(__xludf.DUMMYFUNCTION("""COMPUTED_VALUE"""),89.0)</f>
        <v>89</v>
      </c>
      <c r="H232" s="2">
        <f>IFERROR(__xludf.DUMMYFUNCTION("""COMPUTED_VALUE"""),0.0)</f>
        <v>0</v>
      </c>
    </row>
    <row r="233" ht="22.5" customHeight="1">
      <c r="A233" s="2" t="str">
        <f>IFERROR(__xludf.DUMMYFUNCTION("""COMPUTED_VALUE"""),"2026-04")</f>
        <v>2026-04</v>
      </c>
      <c r="B233" s="2" t="str">
        <f>IFERROR(__xludf.DUMMYFUNCTION("""COMPUTED_VALUE"""),"GEAR-SUV - LX")</f>
        <v>GEAR-SUV - LX</v>
      </c>
      <c r="C233" s="2">
        <f>IFERROR(__xludf.DUMMYFUNCTION("""COMPUTED_VALUE"""),0.0)</f>
        <v>0</v>
      </c>
      <c r="D233" s="2">
        <f>IFERROR(__xludf.DUMMYFUNCTION("""COMPUTED_VALUE"""),0.0)</f>
        <v>0</v>
      </c>
      <c r="E233" s="2">
        <f>IFERROR(__xludf.DUMMYFUNCTION("""COMPUTED_VALUE"""),0.0)</f>
        <v>0</v>
      </c>
      <c r="F233" s="2">
        <f>IFERROR(__xludf.DUMMYFUNCTION("""COMPUTED_VALUE"""),0.0)</f>
        <v>0</v>
      </c>
      <c r="G233" s="2">
        <f>IFERROR(__xludf.DUMMYFUNCTION("""COMPUTED_VALUE"""),0.0)</f>
        <v>0</v>
      </c>
      <c r="H233" s="2">
        <f>IFERROR(__xludf.DUMMYFUNCTION("""COMPUTED_VALUE"""),0.0)</f>
        <v>0</v>
      </c>
    </row>
    <row r="234" ht="22.5" customHeight="1">
      <c r="A234" s="2" t="str">
        <f>IFERROR(__xludf.DUMMYFUNCTION("""COMPUTED_VALUE"""),"2026-05")</f>
        <v>2026-05</v>
      </c>
      <c r="B234" s="2" t="str">
        <f>IFERROR(__xludf.DUMMYFUNCTION("""COMPUTED_VALUE"""),"GEAR-SUV - LX")</f>
        <v>GEAR-SUV - LX</v>
      </c>
      <c r="C234" s="2">
        <f>IFERROR(__xludf.DUMMYFUNCTION("""COMPUTED_VALUE"""),0.0)</f>
        <v>0</v>
      </c>
      <c r="D234" s="2">
        <f>IFERROR(__xludf.DUMMYFUNCTION("""COMPUTED_VALUE"""),0.0)</f>
        <v>0</v>
      </c>
      <c r="E234" s="2">
        <f>IFERROR(__xludf.DUMMYFUNCTION("""COMPUTED_VALUE"""),0.0)</f>
        <v>0</v>
      </c>
      <c r="F234" s="2">
        <f>IFERROR(__xludf.DUMMYFUNCTION("""COMPUTED_VALUE"""),0.0)</f>
        <v>0</v>
      </c>
      <c r="G234" s="2">
        <f>IFERROR(__xludf.DUMMYFUNCTION("""COMPUTED_VALUE"""),0.0)</f>
        <v>0</v>
      </c>
      <c r="H234" s="2">
        <f>IFERROR(__xludf.DUMMYFUNCTION("""COMPUTED_VALUE"""),0.0)</f>
        <v>0</v>
      </c>
    </row>
    <row r="235" ht="22.5" customHeight="1">
      <c r="A235" s="2" t="str">
        <f>IFERROR(__xludf.DUMMYFUNCTION("""COMPUTED_VALUE"""),"2026-06")</f>
        <v>2026-06</v>
      </c>
      <c r="B235" s="2" t="str">
        <f>IFERROR(__xludf.DUMMYFUNCTION("""COMPUTED_VALUE"""),"GEAR-SUV - LX")</f>
        <v>GEAR-SUV - LX</v>
      </c>
      <c r="C235" s="2">
        <f>IFERROR(__xludf.DUMMYFUNCTION("""COMPUTED_VALUE"""),0.0)</f>
        <v>0</v>
      </c>
      <c r="D235" s="2">
        <f>IFERROR(__xludf.DUMMYFUNCTION("""COMPUTED_VALUE"""),0.0)</f>
        <v>0</v>
      </c>
      <c r="E235" s="2">
        <f>IFERROR(__xludf.DUMMYFUNCTION("""COMPUTED_VALUE"""),0.0)</f>
        <v>0</v>
      </c>
      <c r="F235" s="2">
        <f>IFERROR(__xludf.DUMMYFUNCTION("""COMPUTED_VALUE"""),0.0)</f>
        <v>0</v>
      </c>
      <c r="G235" s="2">
        <f>IFERROR(__xludf.DUMMYFUNCTION("""COMPUTED_VALUE"""),0.0)</f>
        <v>0</v>
      </c>
      <c r="H235" s="2">
        <f>IFERROR(__xludf.DUMMYFUNCTION("""COMPUTED_VALUE"""),0.0)</f>
        <v>0</v>
      </c>
    </row>
    <row r="236" ht="22.5" customHeight="1">
      <c r="A236" s="2" t="str">
        <f>IFERROR(__xludf.DUMMYFUNCTION("""COMPUTED_VALUE"""),"2026-07")</f>
        <v>2026-07</v>
      </c>
      <c r="B236" s="2" t="str">
        <f>IFERROR(__xludf.DUMMYFUNCTION("""COMPUTED_VALUE"""),"GEAR-SUV - LX")</f>
        <v>GEAR-SUV - LX</v>
      </c>
      <c r="C236" s="2">
        <f>IFERROR(__xludf.DUMMYFUNCTION("""COMPUTED_VALUE"""),0.0)</f>
        <v>0</v>
      </c>
      <c r="D236" s="2">
        <f>IFERROR(__xludf.DUMMYFUNCTION("""COMPUTED_VALUE"""),0.0)</f>
        <v>0</v>
      </c>
      <c r="E236" s="2">
        <f>IFERROR(__xludf.DUMMYFUNCTION("""COMPUTED_VALUE"""),0.0)</f>
        <v>0</v>
      </c>
      <c r="F236" s="2">
        <f>IFERROR(__xludf.DUMMYFUNCTION("""COMPUTED_VALUE"""),0.0)</f>
        <v>0</v>
      </c>
      <c r="G236" s="2">
        <f>IFERROR(__xludf.DUMMYFUNCTION("""COMPUTED_VALUE"""),0.0)</f>
        <v>0</v>
      </c>
      <c r="H236" s="2">
        <f>IFERROR(__xludf.DUMMYFUNCTION("""COMPUTED_VALUE"""),0.0)</f>
        <v>0</v>
      </c>
    </row>
    <row r="237" ht="22.5" customHeight="1">
      <c r="A237" s="2" t="str">
        <f>IFERROR(__xludf.DUMMYFUNCTION("""COMPUTED_VALUE"""),"2026-08")</f>
        <v>2026-08</v>
      </c>
      <c r="B237" s="2" t="str">
        <f>IFERROR(__xludf.DUMMYFUNCTION("""COMPUTED_VALUE"""),"GEAR-SUV - LX")</f>
        <v>GEAR-SUV - LX</v>
      </c>
      <c r="C237" s="2">
        <f>IFERROR(__xludf.DUMMYFUNCTION("""COMPUTED_VALUE"""),0.0)</f>
        <v>0</v>
      </c>
      <c r="D237" s="2">
        <f>IFERROR(__xludf.DUMMYFUNCTION("""COMPUTED_VALUE"""),0.0)</f>
        <v>0</v>
      </c>
      <c r="E237" s="2">
        <f>IFERROR(__xludf.DUMMYFUNCTION("""COMPUTED_VALUE"""),0.0)</f>
        <v>0</v>
      </c>
      <c r="F237" s="2">
        <f>IFERROR(__xludf.DUMMYFUNCTION("""COMPUTED_VALUE"""),0.0)</f>
        <v>0</v>
      </c>
      <c r="G237" s="2">
        <f>IFERROR(__xludf.DUMMYFUNCTION("""COMPUTED_VALUE"""),0.0)</f>
        <v>0</v>
      </c>
      <c r="H237" s="2">
        <f>IFERROR(__xludf.DUMMYFUNCTION("""COMPUTED_VALUE"""),0.0)</f>
        <v>0</v>
      </c>
    </row>
    <row r="238" ht="22.5" customHeight="1">
      <c r="A238" s="2" t="str">
        <f>IFERROR(__xludf.DUMMYFUNCTION("""COMPUTED_VALUE"""),"2026-09")</f>
        <v>2026-09</v>
      </c>
      <c r="B238" s="2" t="str">
        <f>IFERROR(__xludf.DUMMYFUNCTION("""COMPUTED_VALUE"""),"GEAR-SUV - LX")</f>
        <v>GEAR-SUV - LX</v>
      </c>
      <c r="C238" s="2">
        <f>IFERROR(__xludf.DUMMYFUNCTION("""COMPUTED_VALUE"""),0.0)</f>
        <v>0</v>
      </c>
      <c r="D238" s="2">
        <f>IFERROR(__xludf.DUMMYFUNCTION("""COMPUTED_VALUE"""),0.0)</f>
        <v>0</v>
      </c>
      <c r="E238" s="2">
        <f>IFERROR(__xludf.DUMMYFUNCTION("""COMPUTED_VALUE"""),0.0)</f>
        <v>0</v>
      </c>
      <c r="F238" s="2">
        <f>IFERROR(__xludf.DUMMYFUNCTION("""COMPUTED_VALUE"""),0.0)</f>
        <v>0</v>
      </c>
      <c r="G238" s="2">
        <f>IFERROR(__xludf.DUMMYFUNCTION("""COMPUTED_VALUE"""),0.0)</f>
        <v>0</v>
      </c>
      <c r="H238" s="2">
        <f>IFERROR(__xludf.DUMMYFUNCTION("""COMPUTED_VALUE"""),0.0)</f>
        <v>0</v>
      </c>
    </row>
    <row r="239" ht="22.5" customHeight="1">
      <c r="A239" s="2" t="str">
        <f>IFERROR(__xludf.DUMMYFUNCTION("""COMPUTED_VALUE"""),"2026-10")</f>
        <v>2026-10</v>
      </c>
      <c r="B239" s="2" t="str">
        <f>IFERROR(__xludf.DUMMYFUNCTION("""COMPUTED_VALUE"""),"GEAR-SUV - LX")</f>
        <v>GEAR-SUV - LX</v>
      </c>
      <c r="C239" s="2">
        <f>IFERROR(__xludf.DUMMYFUNCTION("""COMPUTED_VALUE"""),0.0)</f>
        <v>0</v>
      </c>
      <c r="D239" s="2">
        <f>IFERROR(__xludf.DUMMYFUNCTION("""COMPUTED_VALUE"""),0.0)</f>
        <v>0</v>
      </c>
      <c r="E239" s="2">
        <f>IFERROR(__xludf.DUMMYFUNCTION("""COMPUTED_VALUE"""),0.0)</f>
        <v>0</v>
      </c>
      <c r="F239" s="2">
        <f>IFERROR(__xludf.DUMMYFUNCTION("""COMPUTED_VALUE"""),0.0)</f>
        <v>0</v>
      </c>
      <c r="G239" s="2">
        <f>IFERROR(__xludf.DUMMYFUNCTION("""COMPUTED_VALUE"""),0.0)</f>
        <v>0</v>
      </c>
      <c r="H239" s="2">
        <f>IFERROR(__xludf.DUMMYFUNCTION("""COMPUTED_VALUE"""),0.0)</f>
        <v>0</v>
      </c>
    </row>
    <row r="240" ht="22.5" customHeight="1">
      <c r="A240" s="2" t="str">
        <f>IFERROR(__xludf.DUMMYFUNCTION("""COMPUTED_VALUE"""),"2026-11")</f>
        <v>2026-11</v>
      </c>
      <c r="B240" s="2" t="str">
        <f>IFERROR(__xludf.DUMMYFUNCTION("""COMPUTED_VALUE"""),"GEAR-SUV - LX")</f>
        <v>GEAR-SUV - LX</v>
      </c>
      <c r="C240" s="2">
        <f>IFERROR(__xludf.DUMMYFUNCTION("""COMPUTED_VALUE"""),0.0)</f>
        <v>0</v>
      </c>
      <c r="D240" s="2">
        <f>IFERROR(__xludf.DUMMYFUNCTION("""COMPUTED_VALUE"""),0.0)</f>
        <v>0</v>
      </c>
      <c r="E240" s="2">
        <f>IFERROR(__xludf.DUMMYFUNCTION("""COMPUTED_VALUE"""),0.0)</f>
        <v>0</v>
      </c>
      <c r="F240" s="2">
        <f>IFERROR(__xludf.DUMMYFUNCTION("""COMPUTED_VALUE"""),0.0)</f>
        <v>0</v>
      </c>
      <c r="G240" s="2">
        <f>IFERROR(__xludf.DUMMYFUNCTION("""COMPUTED_VALUE"""),0.0)</f>
        <v>0</v>
      </c>
      <c r="H240" s="2">
        <f>IFERROR(__xludf.DUMMYFUNCTION("""COMPUTED_VALUE"""),0.0)</f>
        <v>0</v>
      </c>
    </row>
    <row r="241" ht="22.5" customHeight="1">
      <c r="A241" s="2" t="str">
        <f>IFERROR(__xludf.DUMMYFUNCTION("""COMPUTED_VALUE"""),"2026-12")</f>
        <v>2026-12</v>
      </c>
      <c r="B241" s="2" t="str">
        <f>IFERROR(__xludf.DUMMYFUNCTION("""COMPUTED_VALUE"""),"GEAR-SUV - LX")</f>
        <v>GEAR-SUV - LX</v>
      </c>
      <c r="C241" s="2">
        <f>IFERROR(__xludf.DUMMYFUNCTION("""COMPUTED_VALUE"""),0.0)</f>
        <v>0</v>
      </c>
      <c r="D241" s="2">
        <f>IFERROR(__xludf.DUMMYFUNCTION("""COMPUTED_VALUE"""),0.0)</f>
        <v>0</v>
      </c>
      <c r="E241" s="2">
        <f>IFERROR(__xludf.DUMMYFUNCTION("""COMPUTED_VALUE"""),0.0)</f>
        <v>0</v>
      </c>
      <c r="F241" s="2">
        <f>IFERROR(__xludf.DUMMYFUNCTION("""COMPUTED_VALUE"""),0.0)</f>
        <v>0</v>
      </c>
      <c r="G241" s="2">
        <f>IFERROR(__xludf.DUMMYFUNCTION("""COMPUTED_VALUE"""),0.0)</f>
        <v>0</v>
      </c>
      <c r="H241" s="2">
        <f>IFERROR(__xludf.DUMMYFUNCTION("""COMPUTED_VALUE"""),0.0)</f>
        <v>0</v>
      </c>
    </row>
    <row r="242" ht="22.5" customHeight="1">
      <c r="A242" s="2" t="str">
        <f>IFERROR(__xludf.DUMMYFUNCTION("""COMPUTED_VALUE"""),"2026-01")</f>
        <v>2026-01</v>
      </c>
      <c r="B242" s="2" t="str">
        <f>IFERROR(__xludf.DUMMYFUNCTION("""COMPUTED_VALUE"""),"MEMBER-SD")</f>
        <v>MEMBER-SD</v>
      </c>
      <c r="C242" s="2">
        <f>IFERROR(__xludf.DUMMYFUNCTION("""COMPUTED_VALUE"""),750.0)</f>
        <v>750</v>
      </c>
      <c r="D242" s="2">
        <f>IFERROR(__xludf.DUMMYFUNCTION("""COMPUTED_VALUE"""),0.0)</f>
        <v>0</v>
      </c>
      <c r="E242" s="2">
        <f>IFERROR(__xludf.DUMMYFUNCTION("""COMPUTED_VALUE"""),0.0)</f>
        <v>0</v>
      </c>
      <c r="F242" s="2">
        <f>IFERROR(__xludf.DUMMYFUNCTION("""COMPUTED_VALUE"""),0.0)</f>
        <v>0</v>
      </c>
      <c r="G242" s="2">
        <f>IFERROR(__xludf.DUMMYFUNCTION("""COMPUTED_VALUE"""),591.0)</f>
        <v>591</v>
      </c>
      <c r="H242" s="2">
        <f>IFERROR(__xludf.DUMMYFUNCTION("""COMPUTED_VALUE"""),159.0)</f>
        <v>159</v>
      </c>
    </row>
    <row r="243" ht="22.5" customHeight="1">
      <c r="A243" s="2" t="str">
        <f>IFERROR(__xludf.DUMMYFUNCTION("""COMPUTED_VALUE"""),"2026-02")</f>
        <v>2026-02</v>
      </c>
      <c r="B243" s="2" t="str">
        <f>IFERROR(__xludf.DUMMYFUNCTION("""COMPUTED_VALUE"""),"MEMBER-SD")</f>
        <v>MEMBER-SD</v>
      </c>
      <c r="C243" s="2">
        <f>IFERROR(__xludf.DUMMYFUNCTION("""COMPUTED_VALUE"""),159.0)</f>
        <v>159</v>
      </c>
      <c r="D243" s="2">
        <f>IFERROR(__xludf.DUMMYFUNCTION("""COMPUTED_VALUE"""),150.0)</f>
        <v>150</v>
      </c>
      <c r="E243" s="2">
        <f>IFERROR(__xludf.DUMMYFUNCTION("""COMPUTED_VALUE"""),3.0)</f>
        <v>3</v>
      </c>
      <c r="F243" s="2">
        <f>IFERROR(__xludf.DUMMYFUNCTION("""COMPUTED_VALUE"""),0.0)</f>
        <v>0</v>
      </c>
      <c r="G243" s="2">
        <f>IFERROR(__xludf.DUMMYFUNCTION("""COMPUTED_VALUE"""),309.0)</f>
        <v>309</v>
      </c>
      <c r="H243" s="2">
        <f>IFERROR(__xludf.DUMMYFUNCTION("""COMPUTED_VALUE"""),0.0)</f>
        <v>0</v>
      </c>
    </row>
    <row r="244" ht="22.5" customHeight="1">
      <c r="A244" s="2" t="str">
        <f>IFERROR(__xludf.DUMMYFUNCTION("""COMPUTED_VALUE"""),"2026-03")</f>
        <v>2026-03</v>
      </c>
      <c r="B244" s="2" t="str">
        <f>IFERROR(__xludf.DUMMYFUNCTION("""COMPUTED_VALUE"""),"MEMBER-SD")</f>
        <v>MEMBER-SD</v>
      </c>
      <c r="C244" s="2">
        <f>IFERROR(__xludf.DUMMYFUNCTION("""COMPUTED_VALUE"""),0.0)</f>
        <v>0</v>
      </c>
      <c r="D244" s="2">
        <f>IFERROR(__xludf.DUMMYFUNCTION("""COMPUTED_VALUE"""),0.0)</f>
        <v>0</v>
      </c>
      <c r="E244" s="2">
        <f>IFERROR(__xludf.DUMMYFUNCTION("""COMPUTED_VALUE"""),0.0)</f>
        <v>0</v>
      </c>
      <c r="F244" s="2">
        <f>IFERROR(__xludf.DUMMYFUNCTION("""COMPUTED_VALUE"""),0.0)</f>
        <v>0</v>
      </c>
      <c r="G244" s="2">
        <f>IFERROR(__xludf.DUMMYFUNCTION("""COMPUTED_VALUE"""),0.0)</f>
        <v>0</v>
      </c>
      <c r="H244" s="2">
        <f>IFERROR(__xludf.DUMMYFUNCTION("""COMPUTED_VALUE"""),0.0)</f>
        <v>0</v>
      </c>
    </row>
    <row r="245" ht="22.5" customHeight="1">
      <c r="A245" s="2" t="str">
        <f>IFERROR(__xludf.DUMMYFUNCTION("""COMPUTED_VALUE"""),"2026-04")</f>
        <v>2026-04</v>
      </c>
      <c r="B245" s="2" t="str">
        <f>IFERROR(__xludf.DUMMYFUNCTION("""COMPUTED_VALUE"""),"MEMBER-SD")</f>
        <v>MEMBER-SD</v>
      </c>
      <c r="C245" s="2">
        <f>IFERROR(__xludf.DUMMYFUNCTION("""COMPUTED_VALUE"""),0.0)</f>
        <v>0</v>
      </c>
      <c r="D245" s="2">
        <f>IFERROR(__xludf.DUMMYFUNCTION("""COMPUTED_VALUE"""),0.0)</f>
        <v>0</v>
      </c>
      <c r="E245" s="2">
        <f>IFERROR(__xludf.DUMMYFUNCTION("""COMPUTED_VALUE"""),0.0)</f>
        <v>0</v>
      </c>
      <c r="F245" s="2">
        <f>IFERROR(__xludf.DUMMYFUNCTION("""COMPUTED_VALUE"""),0.0)</f>
        <v>0</v>
      </c>
      <c r="G245" s="2">
        <f>IFERROR(__xludf.DUMMYFUNCTION("""COMPUTED_VALUE"""),0.0)</f>
        <v>0</v>
      </c>
      <c r="H245" s="2">
        <f>IFERROR(__xludf.DUMMYFUNCTION("""COMPUTED_VALUE"""),0.0)</f>
        <v>0</v>
      </c>
    </row>
    <row r="246" ht="22.5" customHeight="1">
      <c r="A246" s="2" t="str">
        <f>IFERROR(__xludf.DUMMYFUNCTION("""COMPUTED_VALUE"""),"2026-05")</f>
        <v>2026-05</v>
      </c>
      <c r="B246" s="2" t="str">
        <f>IFERROR(__xludf.DUMMYFUNCTION("""COMPUTED_VALUE"""),"MEMBER-SD")</f>
        <v>MEMBER-SD</v>
      </c>
      <c r="C246" s="2">
        <f>IFERROR(__xludf.DUMMYFUNCTION("""COMPUTED_VALUE"""),0.0)</f>
        <v>0</v>
      </c>
      <c r="D246" s="2">
        <f>IFERROR(__xludf.DUMMYFUNCTION("""COMPUTED_VALUE"""),0.0)</f>
        <v>0</v>
      </c>
      <c r="E246" s="2">
        <f>IFERROR(__xludf.DUMMYFUNCTION("""COMPUTED_VALUE"""),0.0)</f>
        <v>0</v>
      </c>
      <c r="F246" s="2">
        <f>IFERROR(__xludf.DUMMYFUNCTION("""COMPUTED_VALUE"""),0.0)</f>
        <v>0</v>
      </c>
      <c r="G246" s="2">
        <f>IFERROR(__xludf.DUMMYFUNCTION("""COMPUTED_VALUE"""),0.0)</f>
        <v>0</v>
      </c>
      <c r="H246" s="2">
        <f>IFERROR(__xludf.DUMMYFUNCTION("""COMPUTED_VALUE"""),0.0)</f>
        <v>0</v>
      </c>
    </row>
    <row r="247" ht="22.5" customHeight="1">
      <c r="A247" s="2" t="str">
        <f>IFERROR(__xludf.DUMMYFUNCTION("""COMPUTED_VALUE"""),"2026-06")</f>
        <v>2026-06</v>
      </c>
      <c r="B247" s="2" t="str">
        <f>IFERROR(__xludf.DUMMYFUNCTION("""COMPUTED_VALUE"""),"MEMBER-SD")</f>
        <v>MEMBER-SD</v>
      </c>
      <c r="C247" s="2">
        <f>IFERROR(__xludf.DUMMYFUNCTION("""COMPUTED_VALUE"""),0.0)</f>
        <v>0</v>
      </c>
      <c r="D247" s="2">
        <f>IFERROR(__xludf.DUMMYFUNCTION("""COMPUTED_VALUE"""),0.0)</f>
        <v>0</v>
      </c>
      <c r="E247" s="2">
        <f>IFERROR(__xludf.DUMMYFUNCTION("""COMPUTED_VALUE"""),0.0)</f>
        <v>0</v>
      </c>
      <c r="F247" s="2">
        <f>IFERROR(__xludf.DUMMYFUNCTION("""COMPUTED_VALUE"""),0.0)</f>
        <v>0</v>
      </c>
      <c r="G247" s="2">
        <f>IFERROR(__xludf.DUMMYFUNCTION("""COMPUTED_VALUE"""),0.0)</f>
        <v>0</v>
      </c>
      <c r="H247" s="2">
        <f>IFERROR(__xludf.DUMMYFUNCTION("""COMPUTED_VALUE"""),0.0)</f>
        <v>0</v>
      </c>
    </row>
    <row r="248" ht="22.5" customHeight="1">
      <c r="A248" s="2" t="str">
        <f>IFERROR(__xludf.DUMMYFUNCTION("""COMPUTED_VALUE"""),"2026-07")</f>
        <v>2026-07</v>
      </c>
      <c r="B248" s="2" t="str">
        <f>IFERROR(__xludf.DUMMYFUNCTION("""COMPUTED_VALUE"""),"MEMBER-SD")</f>
        <v>MEMBER-SD</v>
      </c>
      <c r="C248" s="2">
        <f>IFERROR(__xludf.DUMMYFUNCTION("""COMPUTED_VALUE"""),0.0)</f>
        <v>0</v>
      </c>
      <c r="D248" s="2">
        <f>IFERROR(__xludf.DUMMYFUNCTION("""COMPUTED_VALUE"""),0.0)</f>
        <v>0</v>
      </c>
      <c r="E248" s="2">
        <f>IFERROR(__xludf.DUMMYFUNCTION("""COMPUTED_VALUE"""),0.0)</f>
        <v>0</v>
      </c>
      <c r="F248" s="2">
        <f>IFERROR(__xludf.DUMMYFUNCTION("""COMPUTED_VALUE"""),0.0)</f>
        <v>0</v>
      </c>
      <c r="G248" s="2">
        <f>IFERROR(__xludf.DUMMYFUNCTION("""COMPUTED_VALUE"""),0.0)</f>
        <v>0</v>
      </c>
      <c r="H248" s="2">
        <f>IFERROR(__xludf.DUMMYFUNCTION("""COMPUTED_VALUE"""),0.0)</f>
        <v>0</v>
      </c>
    </row>
    <row r="249" ht="22.5" customHeight="1">
      <c r="A249" s="2" t="str">
        <f>IFERROR(__xludf.DUMMYFUNCTION("""COMPUTED_VALUE"""),"2026-08")</f>
        <v>2026-08</v>
      </c>
      <c r="B249" s="2" t="str">
        <f>IFERROR(__xludf.DUMMYFUNCTION("""COMPUTED_VALUE"""),"MEMBER-SD")</f>
        <v>MEMBER-SD</v>
      </c>
      <c r="C249" s="2">
        <f>IFERROR(__xludf.DUMMYFUNCTION("""COMPUTED_VALUE"""),0.0)</f>
        <v>0</v>
      </c>
      <c r="D249" s="2">
        <f>IFERROR(__xludf.DUMMYFUNCTION("""COMPUTED_VALUE"""),0.0)</f>
        <v>0</v>
      </c>
      <c r="E249" s="2">
        <f>IFERROR(__xludf.DUMMYFUNCTION("""COMPUTED_VALUE"""),0.0)</f>
        <v>0</v>
      </c>
      <c r="F249" s="2">
        <f>IFERROR(__xludf.DUMMYFUNCTION("""COMPUTED_VALUE"""),0.0)</f>
        <v>0</v>
      </c>
      <c r="G249" s="2">
        <f>IFERROR(__xludf.DUMMYFUNCTION("""COMPUTED_VALUE"""),0.0)</f>
        <v>0</v>
      </c>
      <c r="H249" s="2">
        <f>IFERROR(__xludf.DUMMYFUNCTION("""COMPUTED_VALUE"""),0.0)</f>
        <v>0</v>
      </c>
    </row>
    <row r="250" ht="22.5" customHeight="1">
      <c r="A250" s="2" t="str">
        <f>IFERROR(__xludf.DUMMYFUNCTION("""COMPUTED_VALUE"""),"2026-09")</f>
        <v>2026-09</v>
      </c>
      <c r="B250" s="2" t="str">
        <f>IFERROR(__xludf.DUMMYFUNCTION("""COMPUTED_VALUE"""),"MEMBER-SD")</f>
        <v>MEMBER-SD</v>
      </c>
      <c r="C250" s="2">
        <f>IFERROR(__xludf.DUMMYFUNCTION("""COMPUTED_VALUE"""),0.0)</f>
        <v>0</v>
      </c>
      <c r="D250" s="2">
        <f>IFERROR(__xludf.DUMMYFUNCTION("""COMPUTED_VALUE"""),0.0)</f>
        <v>0</v>
      </c>
      <c r="E250" s="2">
        <f>IFERROR(__xludf.DUMMYFUNCTION("""COMPUTED_VALUE"""),0.0)</f>
        <v>0</v>
      </c>
      <c r="F250" s="2">
        <f>IFERROR(__xludf.DUMMYFUNCTION("""COMPUTED_VALUE"""),0.0)</f>
        <v>0</v>
      </c>
      <c r="G250" s="2">
        <f>IFERROR(__xludf.DUMMYFUNCTION("""COMPUTED_VALUE"""),0.0)</f>
        <v>0</v>
      </c>
      <c r="H250" s="2">
        <f>IFERROR(__xludf.DUMMYFUNCTION("""COMPUTED_VALUE"""),0.0)</f>
        <v>0</v>
      </c>
    </row>
    <row r="251" ht="22.5" customHeight="1">
      <c r="A251" s="2" t="str">
        <f>IFERROR(__xludf.DUMMYFUNCTION("""COMPUTED_VALUE"""),"2026-10")</f>
        <v>2026-10</v>
      </c>
      <c r="B251" s="2" t="str">
        <f>IFERROR(__xludf.DUMMYFUNCTION("""COMPUTED_VALUE"""),"MEMBER-SD")</f>
        <v>MEMBER-SD</v>
      </c>
      <c r="C251" s="2">
        <f>IFERROR(__xludf.DUMMYFUNCTION("""COMPUTED_VALUE"""),0.0)</f>
        <v>0</v>
      </c>
      <c r="D251" s="2">
        <f>IFERROR(__xludf.DUMMYFUNCTION("""COMPUTED_VALUE"""),0.0)</f>
        <v>0</v>
      </c>
      <c r="E251" s="2">
        <f>IFERROR(__xludf.DUMMYFUNCTION("""COMPUTED_VALUE"""),0.0)</f>
        <v>0</v>
      </c>
      <c r="F251" s="2">
        <f>IFERROR(__xludf.DUMMYFUNCTION("""COMPUTED_VALUE"""),0.0)</f>
        <v>0</v>
      </c>
      <c r="G251" s="2">
        <f>IFERROR(__xludf.DUMMYFUNCTION("""COMPUTED_VALUE"""),0.0)</f>
        <v>0</v>
      </c>
      <c r="H251" s="2">
        <f>IFERROR(__xludf.DUMMYFUNCTION("""COMPUTED_VALUE"""),0.0)</f>
        <v>0</v>
      </c>
    </row>
    <row r="252" ht="22.5" customHeight="1">
      <c r="A252" s="2" t="str">
        <f>IFERROR(__xludf.DUMMYFUNCTION("""COMPUTED_VALUE"""),"2026-11")</f>
        <v>2026-11</v>
      </c>
      <c r="B252" s="2" t="str">
        <f>IFERROR(__xludf.DUMMYFUNCTION("""COMPUTED_VALUE"""),"MEMBER-SD")</f>
        <v>MEMBER-SD</v>
      </c>
      <c r="C252" s="2">
        <f>IFERROR(__xludf.DUMMYFUNCTION("""COMPUTED_VALUE"""),0.0)</f>
        <v>0</v>
      </c>
      <c r="D252" s="2">
        <f>IFERROR(__xludf.DUMMYFUNCTION("""COMPUTED_VALUE"""),0.0)</f>
        <v>0</v>
      </c>
      <c r="E252" s="2">
        <f>IFERROR(__xludf.DUMMYFUNCTION("""COMPUTED_VALUE"""),0.0)</f>
        <v>0</v>
      </c>
      <c r="F252" s="2">
        <f>IFERROR(__xludf.DUMMYFUNCTION("""COMPUTED_VALUE"""),0.0)</f>
        <v>0</v>
      </c>
      <c r="G252" s="2">
        <f>IFERROR(__xludf.DUMMYFUNCTION("""COMPUTED_VALUE"""),0.0)</f>
        <v>0</v>
      </c>
      <c r="H252" s="2">
        <f>IFERROR(__xludf.DUMMYFUNCTION("""COMPUTED_VALUE"""),0.0)</f>
        <v>0</v>
      </c>
    </row>
    <row r="253" ht="22.5" customHeight="1">
      <c r="A253" s="2" t="str">
        <f>IFERROR(__xludf.DUMMYFUNCTION("""COMPUTED_VALUE"""),"2026-12")</f>
        <v>2026-12</v>
      </c>
      <c r="B253" s="2" t="str">
        <f>IFERROR(__xludf.DUMMYFUNCTION("""COMPUTED_VALUE"""),"MEMBER-SD")</f>
        <v>MEMBER-SD</v>
      </c>
      <c r="C253" s="2">
        <f>IFERROR(__xludf.DUMMYFUNCTION("""COMPUTED_VALUE"""),0.0)</f>
        <v>0</v>
      </c>
      <c r="D253" s="2">
        <f>IFERROR(__xludf.DUMMYFUNCTION("""COMPUTED_VALUE"""),0.0)</f>
        <v>0</v>
      </c>
      <c r="E253" s="2">
        <f>IFERROR(__xludf.DUMMYFUNCTION("""COMPUTED_VALUE"""),0.0)</f>
        <v>0</v>
      </c>
      <c r="F253" s="2">
        <f>IFERROR(__xludf.DUMMYFUNCTION("""COMPUTED_VALUE"""),0.0)</f>
        <v>0</v>
      </c>
      <c r="G253" s="2">
        <f>IFERROR(__xludf.DUMMYFUNCTION("""COMPUTED_VALUE"""),0.0)</f>
        <v>0</v>
      </c>
      <c r="H253" s="2">
        <f>IFERROR(__xludf.DUMMYFUNCTION("""COMPUTED_VALUE"""),0.0)</f>
        <v>0</v>
      </c>
    </row>
    <row r="254" ht="22.5" customHeight="1">
      <c r="A254" s="2" t="str">
        <f>IFERROR(__xludf.DUMMYFUNCTION("""COMPUTED_VALUE"""),"2026-01")</f>
        <v>2026-01</v>
      </c>
      <c r="B254" s="2" t="str">
        <f>IFERROR(__xludf.DUMMYFUNCTION("""COMPUTED_VALUE"""),"MEMBER-SD - LX")</f>
        <v>MEMBER-SD - LX</v>
      </c>
      <c r="C254" s="2">
        <f>IFERROR(__xludf.DUMMYFUNCTION("""COMPUTED_VALUE"""),788.0)</f>
        <v>788</v>
      </c>
      <c r="D254" s="2">
        <f>IFERROR(__xludf.DUMMYFUNCTION("""COMPUTED_VALUE"""),0.0)</f>
        <v>0</v>
      </c>
      <c r="E254" s="2">
        <f>IFERROR(__xludf.DUMMYFUNCTION("""COMPUTED_VALUE"""),0.0)</f>
        <v>0</v>
      </c>
      <c r="F254" s="2">
        <f>IFERROR(__xludf.DUMMYFUNCTION("""COMPUTED_VALUE"""),0.0)</f>
        <v>0</v>
      </c>
      <c r="G254" s="2">
        <f>IFERROR(__xludf.DUMMYFUNCTION("""COMPUTED_VALUE"""),401.0)</f>
        <v>401</v>
      </c>
      <c r="H254" s="2">
        <f>IFERROR(__xludf.DUMMYFUNCTION("""COMPUTED_VALUE"""),387.0)</f>
        <v>387</v>
      </c>
    </row>
    <row r="255" ht="22.5" customHeight="1">
      <c r="A255" s="2" t="str">
        <f>IFERROR(__xludf.DUMMYFUNCTION("""COMPUTED_VALUE"""),"2026-02")</f>
        <v>2026-02</v>
      </c>
      <c r="B255" s="2" t="str">
        <f>IFERROR(__xludf.DUMMYFUNCTION("""COMPUTED_VALUE"""),"MEMBER-SD - LX")</f>
        <v>MEMBER-SD - LX</v>
      </c>
      <c r="C255" s="2">
        <f>IFERROR(__xludf.DUMMYFUNCTION("""COMPUTED_VALUE"""),387.0)</f>
        <v>387</v>
      </c>
      <c r="D255" s="2">
        <f>IFERROR(__xludf.DUMMYFUNCTION("""COMPUTED_VALUE"""),0.0)</f>
        <v>0</v>
      </c>
      <c r="E255" s="2">
        <f>IFERROR(__xludf.DUMMYFUNCTION("""COMPUTED_VALUE"""),2.0)</f>
        <v>2</v>
      </c>
      <c r="F255" s="2">
        <f>IFERROR(__xludf.DUMMYFUNCTION("""COMPUTED_VALUE"""),70.0)</f>
        <v>70</v>
      </c>
      <c r="G255" s="2">
        <f>IFERROR(__xludf.DUMMYFUNCTION("""COMPUTED_VALUE"""),387.0)</f>
        <v>387</v>
      </c>
      <c r="H255" s="2">
        <f>IFERROR(__xludf.DUMMYFUNCTION("""COMPUTED_VALUE"""),0.0)</f>
        <v>0</v>
      </c>
    </row>
    <row r="256" ht="22.5" customHeight="1">
      <c r="A256" s="2" t="str">
        <f>IFERROR(__xludf.DUMMYFUNCTION("""COMPUTED_VALUE"""),"2026-03")</f>
        <v>2026-03</v>
      </c>
      <c r="B256" s="2" t="str">
        <f>IFERROR(__xludf.DUMMYFUNCTION("""COMPUTED_VALUE"""),"MEMBER-SD - LX")</f>
        <v>MEMBER-SD - LX</v>
      </c>
      <c r="C256" s="2">
        <f>IFERROR(__xludf.DUMMYFUNCTION("""COMPUTED_VALUE"""),0.0)</f>
        <v>0</v>
      </c>
      <c r="D256" s="2">
        <f>IFERROR(__xludf.DUMMYFUNCTION("""COMPUTED_VALUE"""),0.0)</f>
        <v>0</v>
      </c>
      <c r="E256" s="2">
        <f>IFERROR(__xludf.DUMMYFUNCTION("""COMPUTED_VALUE"""),0.0)</f>
        <v>0</v>
      </c>
      <c r="F256" s="2">
        <f>IFERROR(__xludf.DUMMYFUNCTION("""COMPUTED_VALUE"""),0.0)</f>
        <v>0</v>
      </c>
      <c r="G256" s="2">
        <f>IFERROR(__xludf.DUMMYFUNCTION("""COMPUTED_VALUE"""),0.0)</f>
        <v>0</v>
      </c>
      <c r="H256" s="2">
        <f>IFERROR(__xludf.DUMMYFUNCTION("""COMPUTED_VALUE"""),0.0)</f>
        <v>0</v>
      </c>
    </row>
    <row r="257" ht="22.5" customHeight="1">
      <c r="A257" s="2" t="str">
        <f>IFERROR(__xludf.DUMMYFUNCTION("""COMPUTED_VALUE"""),"2026-04")</f>
        <v>2026-04</v>
      </c>
      <c r="B257" s="2" t="str">
        <f>IFERROR(__xludf.DUMMYFUNCTION("""COMPUTED_VALUE"""),"MEMBER-SD - LX")</f>
        <v>MEMBER-SD - LX</v>
      </c>
      <c r="C257" s="2">
        <f>IFERROR(__xludf.DUMMYFUNCTION("""COMPUTED_VALUE"""),0.0)</f>
        <v>0</v>
      </c>
      <c r="D257" s="2">
        <f>IFERROR(__xludf.DUMMYFUNCTION("""COMPUTED_VALUE"""),0.0)</f>
        <v>0</v>
      </c>
      <c r="E257" s="2">
        <f>IFERROR(__xludf.DUMMYFUNCTION("""COMPUTED_VALUE"""),0.0)</f>
        <v>0</v>
      </c>
      <c r="F257" s="2">
        <f>IFERROR(__xludf.DUMMYFUNCTION("""COMPUTED_VALUE"""),0.0)</f>
        <v>0</v>
      </c>
      <c r="G257" s="2">
        <f>IFERROR(__xludf.DUMMYFUNCTION("""COMPUTED_VALUE"""),0.0)</f>
        <v>0</v>
      </c>
      <c r="H257" s="2">
        <f>IFERROR(__xludf.DUMMYFUNCTION("""COMPUTED_VALUE"""),0.0)</f>
        <v>0</v>
      </c>
    </row>
    <row r="258" ht="22.5" customHeight="1">
      <c r="A258" s="2" t="str">
        <f>IFERROR(__xludf.DUMMYFUNCTION("""COMPUTED_VALUE"""),"2026-05")</f>
        <v>2026-05</v>
      </c>
      <c r="B258" s="2" t="str">
        <f>IFERROR(__xludf.DUMMYFUNCTION("""COMPUTED_VALUE"""),"MEMBER-SD - LX")</f>
        <v>MEMBER-SD - LX</v>
      </c>
      <c r="C258" s="2">
        <f>IFERROR(__xludf.DUMMYFUNCTION("""COMPUTED_VALUE"""),0.0)</f>
        <v>0</v>
      </c>
      <c r="D258" s="2">
        <f>IFERROR(__xludf.DUMMYFUNCTION("""COMPUTED_VALUE"""),0.0)</f>
        <v>0</v>
      </c>
      <c r="E258" s="2">
        <f>IFERROR(__xludf.DUMMYFUNCTION("""COMPUTED_VALUE"""),0.0)</f>
        <v>0</v>
      </c>
      <c r="F258" s="2">
        <f>IFERROR(__xludf.DUMMYFUNCTION("""COMPUTED_VALUE"""),0.0)</f>
        <v>0</v>
      </c>
      <c r="G258" s="2">
        <f>IFERROR(__xludf.DUMMYFUNCTION("""COMPUTED_VALUE"""),0.0)</f>
        <v>0</v>
      </c>
      <c r="H258" s="2">
        <f>IFERROR(__xludf.DUMMYFUNCTION("""COMPUTED_VALUE"""),0.0)</f>
        <v>0</v>
      </c>
    </row>
    <row r="259" ht="22.5" customHeight="1">
      <c r="A259" s="2" t="str">
        <f>IFERROR(__xludf.DUMMYFUNCTION("""COMPUTED_VALUE"""),"2026-06")</f>
        <v>2026-06</v>
      </c>
      <c r="B259" s="2" t="str">
        <f>IFERROR(__xludf.DUMMYFUNCTION("""COMPUTED_VALUE"""),"MEMBER-SD - LX")</f>
        <v>MEMBER-SD - LX</v>
      </c>
      <c r="C259" s="2">
        <f>IFERROR(__xludf.DUMMYFUNCTION("""COMPUTED_VALUE"""),0.0)</f>
        <v>0</v>
      </c>
      <c r="D259" s="2">
        <f>IFERROR(__xludf.DUMMYFUNCTION("""COMPUTED_VALUE"""),0.0)</f>
        <v>0</v>
      </c>
      <c r="E259" s="2">
        <f>IFERROR(__xludf.DUMMYFUNCTION("""COMPUTED_VALUE"""),0.0)</f>
        <v>0</v>
      </c>
      <c r="F259" s="2">
        <f>IFERROR(__xludf.DUMMYFUNCTION("""COMPUTED_VALUE"""),0.0)</f>
        <v>0</v>
      </c>
      <c r="G259" s="2">
        <f>IFERROR(__xludf.DUMMYFUNCTION("""COMPUTED_VALUE"""),0.0)</f>
        <v>0</v>
      </c>
      <c r="H259" s="2">
        <f>IFERROR(__xludf.DUMMYFUNCTION("""COMPUTED_VALUE"""),0.0)</f>
        <v>0</v>
      </c>
    </row>
    <row r="260" ht="22.5" customHeight="1">
      <c r="A260" s="2" t="str">
        <f>IFERROR(__xludf.DUMMYFUNCTION("""COMPUTED_VALUE"""),"2026-07")</f>
        <v>2026-07</v>
      </c>
      <c r="B260" s="2" t="str">
        <f>IFERROR(__xludf.DUMMYFUNCTION("""COMPUTED_VALUE"""),"MEMBER-SD - LX")</f>
        <v>MEMBER-SD - LX</v>
      </c>
      <c r="C260" s="2">
        <f>IFERROR(__xludf.DUMMYFUNCTION("""COMPUTED_VALUE"""),0.0)</f>
        <v>0</v>
      </c>
      <c r="D260" s="2">
        <f>IFERROR(__xludf.DUMMYFUNCTION("""COMPUTED_VALUE"""),0.0)</f>
        <v>0</v>
      </c>
      <c r="E260" s="2">
        <f>IFERROR(__xludf.DUMMYFUNCTION("""COMPUTED_VALUE"""),5.0)</f>
        <v>5</v>
      </c>
      <c r="F260" s="2">
        <f>IFERROR(__xludf.DUMMYFUNCTION("""COMPUTED_VALUE"""),175.0)</f>
        <v>175</v>
      </c>
      <c r="G260" s="2">
        <f>IFERROR(__xludf.DUMMYFUNCTION("""COMPUTED_VALUE"""),0.0)</f>
        <v>0</v>
      </c>
      <c r="H260" s="2">
        <f>IFERROR(__xludf.DUMMYFUNCTION("""COMPUTED_VALUE"""),0.0)</f>
        <v>0</v>
      </c>
    </row>
    <row r="261" ht="22.5" customHeight="1">
      <c r="A261" s="2" t="str">
        <f>IFERROR(__xludf.DUMMYFUNCTION("""COMPUTED_VALUE"""),"2026-08")</f>
        <v>2026-08</v>
      </c>
      <c r="B261" s="2" t="str">
        <f>IFERROR(__xludf.DUMMYFUNCTION("""COMPUTED_VALUE"""),"MEMBER-SD - LX")</f>
        <v>MEMBER-SD - LX</v>
      </c>
      <c r="C261" s="2">
        <f>IFERROR(__xludf.DUMMYFUNCTION("""COMPUTED_VALUE"""),0.0)</f>
        <v>0</v>
      </c>
      <c r="D261" s="2">
        <f>IFERROR(__xludf.DUMMYFUNCTION("""COMPUTED_VALUE"""),174.0)</f>
        <v>174</v>
      </c>
      <c r="E261" s="2">
        <f>IFERROR(__xludf.DUMMYFUNCTION("""COMPUTED_VALUE"""),5.0)</f>
        <v>5</v>
      </c>
      <c r="F261" s="2">
        <f>IFERROR(__xludf.DUMMYFUNCTION("""COMPUTED_VALUE"""),1.0)</f>
        <v>1</v>
      </c>
      <c r="G261" s="2">
        <f>IFERROR(__xludf.DUMMYFUNCTION("""COMPUTED_VALUE"""),174.0)</f>
        <v>174</v>
      </c>
      <c r="H261" s="2">
        <f>IFERROR(__xludf.DUMMYFUNCTION("""COMPUTED_VALUE"""),0.0)</f>
        <v>0</v>
      </c>
    </row>
    <row r="262" ht="22.5" customHeight="1">
      <c r="A262" s="2" t="str">
        <f>IFERROR(__xludf.DUMMYFUNCTION("""COMPUTED_VALUE"""),"2026-09")</f>
        <v>2026-09</v>
      </c>
      <c r="B262" s="2" t="str">
        <f>IFERROR(__xludf.DUMMYFUNCTION("""COMPUTED_VALUE"""),"MEMBER-SD - LX")</f>
        <v>MEMBER-SD - LX</v>
      </c>
      <c r="C262" s="2">
        <f>IFERROR(__xludf.DUMMYFUNCTION("""COMPUTED_VALUE"""),0.0)</f>
        <v>0</v>
      </c>
      <c r="D262" s="2">
        <f>IFERROR(__xludf.DUMMYFUNCTION("""COMPUTED_VALUE"""),0.0)</f>
        <v>0</v>
      </c>
      <c r="E262" s="2">
        <f>IFERROR(__xludf.DUMMYFUNCTION("""COMPUTED_VALUE"""),0.0)</f>
        <v>0</v>
      </c>
      <c r="F262" s="2">
        <f>IFERROR(__xludf.DUMMYFUNCTION("""COMPUTED_VALUE"""),0.0)</f>
        <v>0</v>
      </c>
      <c r="G262" s="2">
        <f>IFERROR(__xludf.DUMMYFUNCTION("""COMPUTED_VALUE"""),0.0)</f>
        <v>0</v>
      </c>
      <c r="H262" s="2">
        <f>IFERROR(__xludf.DUMMYFUNCTION("""COMPUTED_VALUE"""),0.0)</f>
        <v>0</v>
      </c>
    </row>
    <row r="263" ht="22.5" customHeight="1">
      <c r="A263" s="2" t="str">
        <f>IFERROR(__xludf.DUMMYFUNCTION("""COMPUTED_VALUE"""),"2026-10")</f>
        <v>2026-10</v>
      </c>
      <c r="B263" s="2" t="str">
        <f>IFERROR(__xludf.DUMMYFUNCTION("""COMPUTED_VALUE"""),"MEMBER-SD - LX")</f>
        <v>MEMBER-SD - LX</v>
      </c>
      <c r="C263" s="2">
        <f>IFERROR(__xludf.DUMMYFUNCTION("""COMPUTED_VALUE"""),0.0)</f>
        <v>0</v>
      </c>
      <c r="D263" s="2">
        <f>IFERROR(__xludf.DUMMYFUNCTION("""COMPUTED_VALUE"""),0.0)</f>
        <v>0</v>
      </c>
      <c r="E263" s="2">
        <f>IFERROR(__xludf.DUMMYFUNCTION("""COMPUTED_VALUE"""),0.0)</f>
        <v>0</v>
      </c>
      <c r="F263" s="2">
        <f>IFERROR(__xludf.DUMMYFUNCTION("""COMPUTED_VALUE"""),0.0)</f>
        <v>0</v>
      </c>
      <c r="G263" s="2">
        <f>IFERROR(__xludf.DUMMYFUNCTION("""COMPUTED_VALUE"""),0.0)</f>
        <v>0</v>
      </c>
      <c r="H263" s="2">
        <f>IFERROR(__xludf.DUMMYFUNCTION("""COMPUTED_VALUE"""),0.0)</f>
        <v>0</v>
      </c>
    </row>
    <row r="264" ht="22.5" customHeight="1">
      <c r="A264" s="2" t="str">
        <f>IFERROR(__xludf.DUMMYFUNCTION("""COMPUTED_VALUE"""),"2026-11")</f>
        <v>2026-11</v>
      </c>
      <c r="B264" s="2" t="str">
        <f>IFERROR(__xludf.DUMMYFUNCTION("""COMPUTED_VALUE"""),"MEMBER-SD - LX")</f>
        <v>MEMBER-SD - LX</v>
      </c>
      <c r="C264" s="2">
        <f>IFERROR(__xludf.DUMMYFUNCTION("""COMPUTED_VALUE"""),0.0)</f>
        <v>0</v>
      </c>
      <c r="D264" s="2">
        <f>IFERROR(__xludf.DUMMYFUNCTION("""COMPUTED_VALUE"""),141.0)</f>
        <v>141</v>
      </c>
      <c r="E264" s="2">
        <f>IFERROR(__xludf.DUMMYFUNCTION("""COMPUTED_VALUE"""),5.0)</f>
        <v>5</v>
      </c>
      <c r="F264" s="2">
        <f>IFERROR(__xludf.DUMMYFUNCTION("""COMPUTED_VALUE"""),34.0)</f>
        <v>34</v>
      </c>
      <c r="G264" s="2">
        <f>IFERROR(__xludf.DUMMYFUNCTION("""COMPUTED_VALUE"""),141.0)</f>
        <v>141</v>
      </c>
      <c r="H264" s="2">
        <f>IFERROR(__xludf.DUMMYFUNCTION("""COMPUTED_VALUE"""),0.0)</f>
        <v>0</v>
      </c>
    </row>
    <row r="265" ht="22.5" customHeight="1">
      <c r="A265" s="2" t="str">
        <f>IFERROR(__xludf.DUMMYFUNCTION("""COMPUTED_VALUE"""),"2026-12")</f>
        <v>2026-12</v>
      </c>
      <c r="B265" s="2" t="str">
        <f>IFERROR(__xludf.DUMMYFUNCTION("""COMPUTED_VALUE"""),"MEMBER-SD - LX")</f>
        <v>MEMBER-SD - LX</v>
      </c>
      <c r="C265" s="2">
        <f>IFERROR(__xludf.DUMMYFUNCTION("""COMPUTED_VALUE"""),0.0)</f>
        <v>0</v>
      </c>
      <c r="D265" s="2">
        <f>IFERROR(__xludf.DUMMYFUNCTION("""COMPUTED_VALUE"""),0.0)</f>
        <v>0</v>
      </c>
      <c r="E265" s="2">
        <f>IFERROR(__xludf.DUMMYFUNCTION("""COMPUTED_VALUE"""),0.0)</f>
        <v>0</v>
      </c>
      <c r="F265" s="2">
        <f>IFERROR(__xludf.DUMMYFUNCTION("""COMPUTED_VALUE"""),0.0)</f>
        <v>0</v>
      </c>
      <c r="G265" s="2">
        <f>IFERROR(__xludf.DUMMYFUNCTION("""COMPUTED_VALUE"""),0.0)</f>
        <v>0</v>
      </c>
      <c r="H265" s="2">
        <f>IFERROR(__xludf.DUMMYFUNCTION("""COMPUTED_VALUE"""),0.0)</f>
        <v>0</v>
      </c>
    </row>
    <row r="266" ht="22.5" customHeight="1">
      <c r="A266" s="2" t="str">
        <f>IFERROR(__xludf.DUMMYFUNCTION("""COMPUTED_VALUE"""),"2026-01")</f>
        <v>2026-01</v>
      </c>
      <c r="B266" s="2" t="str">
        <f>IFERROR(__xludf.DUMMYFUNCTION("""COMPUTED_VALUE"""),"MEMBER-SUV")</f>
        <v>MEMBER-SUV</v>
      </c>
      <c r="C266" s="2">
        <f>IFERROR(__xludf.DUMMYFUNCTION("""COMPUTED_VALUE"""),979.0)</f>
        <v>979</v>
      </c>
      <c r="D266" s="2">
        <f>IFERROR(__xludf.DUMMYFUNCTION("""COMPUTED_VALUE"""),0.0)</f>
        <v>0</v>
      </c>
      <c r="E266" s="2">
        <f>IFERROR(__xludf.DUMMYFUNCTION("""COMPUTED_VALUE"""),0.0)</f>
        <v>0</v>
      </c>
      <c r="F266" s="2">
        <f>IFERROR(__xludf.DUMMYFUNCTION("""COMPUTED_VALUE"""),0.0)</f>
        <v>0</v>
      </c>
      <c r="G266" s="2">
        <f>IFERROR(__xludf.DUMMYFUNCTION("""COMPUTED_VALUE"""),629.0)</f>
        <v>629</v>
      </c>
      <c r="H266" s="2">
        <f>IFERROR(__xludf.DUMMYFUNCTION("""COMPUTED_VALUE"""),350.0)</f>
        <v>350</v>
      </c>
    </row>
    <row r="267" ht="22.5" customHeight="1">
      <c r="A267" s="2" t="str">
        <f>IFERROR(__xludf.DUMMYFUNCTION("""COMPUTED_VALUE"""),"2026-02")</f>
        <v>2026-02</v>
      </c>
      <c r="B267" s="2" t="str">
        <f>IFERROR(__xludf.DUMMYFUNCTION("""COMPUTED_VALUE"""),"MEMBER-SUV")</f>
        <v>MEMBER-SUV</v>
      </c>
      <c r="C267" s="2">
        <f>IFERROR(__xludf.DUMMYFUNCTION("""COMPUTED_VALUE"""),350.0)</f>
        <v>350</v>
      </c>
      <c r="D267" s="2">
        <f>IFERROR(__xludf.DUMMYFUNCTION("""COMPUTED_VALUE"""),0.0)</f>
        <v>0</v>
      </c>
      <c r="E267" s="2">
        <f>IFERROR(__xludf.DUMMYFUNCTION("""COMPUTED_VALUE"""),0.0)</f>
        <v>0</v>
      </c>
      <c r="F267" s="2">
        <f>IFERROR(__xludf.DUMMYFUNCTION("""COMPUTED_VALUE"""),0.0)</f>
        <v>0</v>
      </c>
      <c r="G267" s="2">
        <f>IFERROR(__xludf.DUMMYFUNCTION("""COMPUTED_VALUE"""),312.0)</f>
        <v>312</v>
      </c>
      <c r="H267" s="2">
        <f>IFERROR(__xludf.DUMMYFUNCTION("""COMPUTED_VALUE"""),38.0)</f>
        <v>38</v>
      </c>
    </row>
    <row r="268" ht="22.5" customHeight="1">
      <c r="A268" s="2" t="str">
        <f>IFERROR(__xludf.DUMMYFUNCTION("""COMPUTED_VALUE"""),"2026-03")</f>
        <v>2026-03</v>
      </c>
      <c r="B268" s="2" t="str">
        <f>IFERROR(__xludf.DUMMYFUNCTION("""COMPUTED_VALUE"""),"MEMBER-SUV")</f>
        <v>MEMBER-SUV</v>
      </c>
      <c r="C268" s="2">
        <f>IFERROR(__xludf.DUMMYFUNCTION("""COMPUTED_VALUE"""),38.0)</f>
        <v>38</v>
      </c>
      <c r="D268" s="2">
        <f>IFERROR(__xludf.DUMMYFUNCTION("""COMPUTED_VALUE"""),0.0)</f>
        <v>0</v>
      </c>
      <c r="E268" s="2">
        <f>IFERROR(__xludf.DUMMYFUNCTION("""COMPUTED_VALUE"""),0.0)</f>
        <v>0</v>
      </c>
      <c r="F268" s="2">
        <f>IFERROR(__xludf.DUMMYFUNCTION("""COMPUTED_VALUE"""),0.0)</f>
        <v>0</v>
      </c>
      <c r="G268" s="2">
        <f>IFERROR(__xludf.DUMMYFUNCTION("""COMPUTED_VALUE"""),0.0)</f>
        <v>0</v>
      </c>
      <c r="H268" s="2">
        <f>IFERROR(__xludf.DUMMYFUNCTION("""COMPUTED_VALUE"""),38.0)</f>
        <v>38</v>
      </c>
    </row>
    <row r="269" ht="22.5" customHeight="1">
      <c r="A269" s="2" t="str">
        <f>IFERROR(__xludf.DUMMYFUNCTION("""COMPUTED_VALUE"""),"2026-04")</f>
        <v>2026-04</v>
      </c>
      <c r="B269" s="2" t="str">
        <f>IFERROR(__xludf.DUMMYFUNCTION("""COMPUTED_VALUE"""),"MEMBER-SUV")</f>
        <v>MEMBER-SUV</v>
      </c>
      <c r="C269" s="2">
        <f>IFERROR(__xludf.DUMMYFUNCTION("""COMPUTED_VALUE"""),38.0)</f>
        <v>38</v>
      </c>
      <c r="D269" s="2">
        <f>IFERROR(__xludf.DUMMYFUNCTION("""COMPUTED_VALUE"""),0.0)</f>
        <v>0</v>
      </c>
      <c r="E269" s="2">
        <f>IFERROR(__xludf.DUMMYFUNCTION("""COMPUTED_VALUE"""),0.0)</f>
        <v>0</v>
      </c>
      <c r="F269" s="2">
        <f>IFERROR(__xludf.DUMMYFUNCTION("""COMPUTED_VALUE"""),0.0)</f>
        <v>0</v>
      </c>
      <c r="G269" s="2">
        <f>IFERROR(__xludf.DUMMYFUNCTION("""COMPUTED_VALUE"""),0.0)</f>
        <v>0</v>
      </c>
      <c r="H269" s="2">
        <f>IFERROR(__xludf.DUMMYFUNCTION("""COMPUTED_VALUE"""),38.0)</f>
        <v>38</v>
      </c>
    </row>
    <row r="270" ht="22.5" customHeight="1">
      <c r="A270" s="2" t="str">
        <f>IFERROR(__xludf.DUMMYFUNCTION("""COMPUTED_VALUE"""),"2026-05")</f>
        <v>2026-05</v>
      </c>
      <c r="B270" s="2" t="str">
        <f>IFERROR(__xludf.DUMMYFUNCTION("""COMPUTED_VALUE"""),"MEMBER-SUV")</f>
        <v>MEMBER-SUV</v>
      </c>
      <c r="C270" s="2">
        <f>IFERROR(__xludf.DUMMYFUNCTION("""COMPUTED_VALUE"""),38.0)</f>
        <v>38</v>
      </c>
      <c r="D270" s="2">
        <f>IFERROR(__xludf.DUMMYFUNCTION("""COMPUTED_VALUE"""),0.0)</f>
        <v>0</v>
      </c>
      <c r="E270" s="2">
        <f>IFERROR(__xludf.DUMMYFUNCTION("""COMPUTED_VALUE"""),0.0)</f>
        <v>0</v>
      </c>
      <c r="F270" s="2">
        <f>IFERROR(__xludf.DUMMYFUNCTION("""COMPUTED_VALUE"""),0.0)</f>
        <v>0</v>
      </c>
      <c r="G270" s="2">
        <f>IFERROR(__xludf.DUMMYFUNCTION("""COMPUTED_VALUE"""),0.0)</f>
        <v>0</v>
      </c>
      <c r="H270" s="2">
        <f>IFERROR(__xludf.DUMMYFUNCTION("""COMPUTED_VALUE"""),38.0)</f>
        <v>38</v>
      </c>
    </row>
    <row r="271" ht="22.5" customHeight="1">
      <c r="A271" s="2" t="str">
        <f>IFERROR(__xludf.DUMMYFUNCTION("""COMPUTED_VALUE"""),"2026-06")</f>
        <v>2026-06</v>
      </c>
      <c r="B271" s="2" t="str">
        <f>IFERROR(__xludf.DUMMYFUNCTION("""COMPUTED_VALUE"""),"MEMBER-SUV")</f>
        <v>MEMBER-SUV</v>
      </c>
      <c r="C271" s="2">
        <f>IFERROR(__xludf.DUMMYFUNCTION("""COMPUTED_VALUE"""),38.0)</f>
        <v>38</v>
      </c>
      <c r="D271" s="2">
        <f>IFERROR(__xludf.DUMMYFUNCTION("""COMPUTED_VALUE"""),0.0)</f>
        <v>0</v>
      </c>
      <c r="E271" s="2">
        <f>IFERROR(__xludf.DUMMYFUNCTION("""COMPUTED_VALUE"""),0.0)</f>
        <v>0</v>
      </c>
      <c r="F271" s="2">
        <f>IFERROR(__xludf.DUMMYFUNCTION("""COMPUTED_VALUE"""),0.0)</f>
        <v>0</v>
      </c>
      <c r="G271" s="2">
        <f>IFERROR(__xludf.DUMMYFUNCTION("""COMPUTED_VALUE"""),0.0)</f>
        <v>0</v>
      </c>
      <c r="H271" s="2">
        <f>IFERROR(__xludf.DUMMYFUNCTION("""COMPUTED_VALUE"""),38.0)</f>
        <v>38</v>
      </c>
    </row>
    <row r="272" ht="22.5" customHeight="1">
      <c r="A272" s="2" t="str">
        <f>IFERROR(__xludf.DUMMYFUNCTION("""COMPUTED_VALUE"""),"2026-07")</f>
        <v>2026-07</v>
      </c>
      <c r="B272" s="2" t="str">
        <f>IFERROR(__xludf.DUMMYFUNCTION("""COMPUTED_VALUE"""),"MEMBER-SUV")</f>
        <v>MEMBER-SUV</v>
      </c>
      <c r="C272" s="2">
        <f>IFERROR(__xludf.DUMMYFUNCTION("""COMPUTED_VALUE"""),38.0)</f>
        <v>38</v>
      </c>
      <c r="D272" s="2">
        <f>IFERROR(__xludf.DUMMYFUNCTION("""COMPUTED_VALUE"""),0.0)</f>
        <v>0</v>
      </c>
      <c r="E272" s="2">
        <f>IFERROR(__xludf.DUMMYFUNCTION("""COMPUTED_VALUE"""),0.0)</f>
        <v>0</v>
      </c>
      <c r="F272" s="2">
        <f>IFERROR(__xludf.DUMMYFUNCTION("""COMPUTED_VALUE"""),0.0)</f>
        <v>0</v>
      </c>
      <c r="G272" s="2">
        <f>IFERROR(__xludf.DUMMYFUNCTION("""COMPUTED_VALUE"""),0.0)</f>
        <v>0</v>
      </c>
      <c r="H272" s="2">
        <f>IFERROR(__xludf.DUMMYFUNCTION("""COMPUTED_VALUE"""),38.0)</f>
        <v>38</v>
      </c>
    </row>
    <row r="273" ht="22.5" customHeight="1">
      <c r="A273" s="2" t="str">
        <f>IFERROR(__xludf.DUMMYFUNCTION("""COMPUTED_VALUE"""),"2026-08")</f>
        <v>2026-08</v>
      </c>
      <c r="B273" s="2" t="str">
        <f>IFERROR(__xludf.DUMMYFUNCTION("""COMPUTED_VALUE"""),"MEMBER-SUV")</f>
        <v>MEMBER-SUV</v>
      </c>
      <c r="C273" s="2">
        <f>IFERROR(__xludf.DUMMYFUNCTION("""COMPUTED_VALUE"""),38.0)</f>
        <v>38</v>
      </c>
      <c r="D273" s="2">
        <f>IFERROR(__xludf.DUMMYFUNCTION("""COMPUTED_VALUE"""),0.0)</f>
        <v>0</v>
      </c>
      <c r="E273" s="2">
        <f>IFERROR(__xludf.DUMMYFUNCTION("""COMPUTED_VALUE"""),0.0)</f>
        <v>0</v>
      </c>
      <c r="F273" s="2">
        <f>IFERROR(__xludf.DUMMYFUNCTION("""COMPUTED_VALUE"""),0.0)</f>
        <v>0</v>
      </c>
      <c r="G273" s="2">
        <f>IFERROR(__xludf.DUMMYFUNCTION("""COMPUTED_VALUE"""),0.0)</f>
        <v>0</v>
      </c>
      <c r="H273" s="2">
        <f>IFERROR(__xludf.DUMMYFUNCTION("""COMPUTED_VALUE"""),38.0)</f>
        <v>38</v>
      </c>
    </row>
    <row r="274" ht="22.5" customHeight="1">
      <c r="A274" s="2" t="str">
        <f>IFERROR(__xludf.DUMMYFUNCTION("""COMPUTED_VALUE"""),"2026-09")</f>
        <v>2026-09</v>
      </c>
      <c r="B274" s="2" t="str">
        <f>IFERROR(__xludf.DUMMYFUNCTION("""COMPUTED_VALUE"""),"MEMBER-SUV")</f>
        <v>MEMBER-SUV</v>
      </c>
      <c r="C274" s="2">
        <f>IFERROR(__xludf.DUMMYFUNCTION("""COMPUTED_VALUE"""),38.0)</f>
        <v>38</v>
      </c>
      <c r="D274" s="2">
        <f>IFERROR(__xludf.DUMMYFUNCTION("""COMPUTED_VALUE"""),0.0)</f>
        <v>0</v>
      </c>
      <c r="E274" s="2">
        <f>IFERROR(__xludf.DUMMYFUNCTION("""COMPUTED_VALUE"""),0.0)</f>
        <v>0</v>
      </c>
      <c r="F274" s="2">
        <f>IFERROR(__xludf.DUMMYFUNCTION("""COMPUTED_VALUE"""),0.0)</f>
        <v>0</v>
      </c>
      <c r="G274" s="2">
        <f>IFERROR(__xludf.DUMMYFUNCTION("""COMPUTED_VALUE"""),0.0)</f>
        <v>0</v>
      </c>
      <c r="H274" s="2">
        <f>IFERROR(__xludf.DUMMYFUNCTION("""COMPUTED_VALUE"""),38.0)</f>
        <v>38</v>
      </c>
    </row>
    <row r="275" ht="22.5" customHeight="1">
      <c r="A275" s="2" t="str">
        <f>IFERROR(__xludf.DUMMYFUNCTION("""COMPUTED_VALUE"""),"2026-10")</f>
        <v>2026-10</v>
      </c>
      <c r="B275" s="2" t="str">
        <f>IFERROR(__xludf.DUMMYFUNCTION("""COMPUTED_VALUE"""),"MEMBER-SUV")</f>
        <v>MEMBER-SUV</v>
      </c>
      <c r="C275" s="2">
        <f>IFERROR(__xludf.DUMMYFUNCTION("""COMPUTED_VALUE"""),38.0)</f>
        <v>38</v>
      </c>
      <c r="D275" s="2">
        <f>IFERROR(__xludf.DUMMYFUNCTION("""COMPUTED_VALUE"""),0.0)</f>
        <v>0</v>
      </c>
      <c r="E275" s="2">
        <f>IFERROR(__xludf.DUMMYFUNCTION("""COMPUTED_VALUE"""),0.0)</f>
        <v>0</v>
      </c>
      <c r="F275" s="2">
        <f>IFERROR(__xludf.DUMMYFUNCTION("""COMPUTED_VALUE"""),0.0)</f>
        <v>0</v>
      </c>
      <c r="G275" s="2">
        <f>IFERROR(__xludf.DUMMYFUNCTION("""COMPUTED_VALUE"""),8.0)</f>
        <v>8</v>
      </c>
      <c r="H275" s="2">
        <f>IFERROR(__xludf.DUMMYFUNCTION("""COMPUTED_VALUE"""),30.0)</f>
        <v>30</v>
      </c>
    </row>
    <row r="276" ht="22.5" customHeight="1">
      <c r="A276" s="2" t="str">
        <f>IFERROR(__xludf.DUMMYFUNCTION("""COMPUTED_VALUE"""),"2026-11")</f>
        <v>2026-11</v>
      </c>
      <c r="B276" s="2" t="str">
        <f>IFERROR(__xludf.DUMMYFUNCTION("""COMPUTED_VALUE"""),"MEMBER-SUV")</f>
        <v>MEMBER-SUV</v>
      </c>
      <c r="C276" s="2">
        <f>IFERROR(__xludf.DUMMYFUNCTION("""COMPUTED_VALUE"""),30.0)</f>
        <v>30</v>
      </c>
      <c r="D276" s="2">
        <f>IFERROR(__xludf.DUMMYFUNCTION("""COMPUTED_VALUE"""),0.0)</f>
        <v>0</v>
      </c>
      <c r="E276" s="2">
        <f>IFERROR(__xludf.DUMMYFUNCTION("""COMPUTED_VALUE"""),0.0)</f>
        <v>0</v>
      </c>
      <c r="F276" s="2">
        <f>IFERROR(__xludf.DUMMYFUNCTION("""COMPUTED_VALUE"""),0.0)</f>
        <v>0</v>
      </c>
      <c r="G276" s="2">
        <f>IFERROR(__xludf.DUMMYFUNCTION("""COMPUTED_VALUE"""),0.0)</f>
        <v>0</v>
      </c>
      <c r="H276" s="2">
        <f>IFERROR(__xludf.DUMMYFUNCTION("""COMPUTED_VALUE"""),30.0)</f>
        <v>30</v>
      </c>
    </row>
    <row r="277" ht="22.5" customHeight="1">
      <c r="A277" s="2" t="str">
        <f>IFERROR(__xludf.DUMMYFUNCTION("""COMPUTED_VALUE"""),"2026-12")</f>
        <v>2026-12</v>
      </c>
      <c r="B277" s="2" t="str">
        <f>IFERROR(__xludf.DUMMYFUNCTION("""COMPUTED_VALUE"""),"MEMBER-SUV")</f>
        <v>MEMBER-SUV</v>
      </c>
      <c r="C277" s="2">
        <f>IFERROR(__xludf.DUMMYFUNCTION("""COMPUTED_VALUE"""),30.0)</f>
        <v>30</v>
      </c>
      <c r="D277" s="2">
        <f>IFERROR(__xludf.DUMMYFUNCTION("""COMPUTED_VALUE"""),0.0)</f>
        <v>0</v>
      </c>
      <c r="E277" s="2">
        <f>IFERROR(__xludf.DUMMYFUNCTION("""COMPUTED_VALUE"""),0.0)</f>
        <v>0</v>
      </c>
      <c r="F277" s="2">
        <f>IFERROR(__xludf.DUMMYFUNCTION("""COMPUTED_VALUE"""),0.0)</f>
        <v>0</v>
      </c>
      <c r="G277" s="2">
        <f>IFERROR(__xludf.DUMMYFUNCTION("""COMPUTED_VALUE"""),0.0)</f>
        <v>0</v>
      </c>
      <c r="H277" s="2">
        <f>IFERROR(__xludf.DUMMYFUNCTION("""COMPUTED_VALUE"""),30.0)</f>
        <v>30</v>
      </c>
    </row>
    <row r="278" ht="22.5" customHeight="1">
      <c r="A278" s="2" t="str">
        <f>IFERROR(__xludf.DUMMYFUNCTION("""COMPUTED_VALUE"""),"2026-01")</f>
        <v>2026-01</v>
      </c>
      <c r="B278" s="2" t="str">
        <f>IFERROR(__xludf.DUMMYFUNCTION("""COMPUTED_VALUE"""),"MEMBER-SUV - LX")</f>
        <v>MEMBER-SUV - LX</v>
      </c>
      <c r="C278" s="2">
        <f>IFERROR(__xludf.DUMMYFUNCTION("""COMPUTED_VALUE"""),707.0)</f>
        <v>707</v>
      </c>
      <c r="D278" s="2">
        <f>IFERROR(__xludf.DUMMYFUNCTION("""COMPUTED_VALUE"""),0.0)</f>
        <v>0</v>
      </c>
      <c r="E278" s="2">
        <f>IFERROR(__xludf.DUMMYFUNCTION("""COMPUTED_VALUE"""),0.0)</f>
        <v>0</v>
      </c>
      <c r="F278" s="2">
        <f>IFERROR(__xludf.DUMMYFUNCTION("""COMPUTED_VALUE"""),0.0)</f>
        <v>0</v>
      </c>
      <c r="G278" s="2">
        <f>IFERROR(__xludf.DUMMYFUNCTION("""COMPUTED_VALUE"""),380.0)</f>
        <v>380</v>
      </c>
      <c r="H278" s="2">
        <f>IFERROR(__xludf.DUMMYFUNCTION("""COMPUTED_VALUE"""),327.0)</f>
        <v>327</v>
      </c>
    </row>
    <row r="279" ht="22.5" customHeight="1">
      <c r="A279" s="2" t="str">
        <f>IFERROR(__xludf.DUMMYFUNCTION("""COMPUTED_VALUE"""),"2026-02")</f>
        <v>2026-02</v>
      </c>
      <c r="B279" s="2" t="str">
        <f>IFERROR(__xludf.DUMMYFUNCTION("""COMPUTED_VALUE"""),"MEMBER-SUV - LX")</f>
        <v>MEMBER-SUV - LX</v>
      </c>
      <c r="C279" s="2">
        <f>IFERROR(__xludf.DUMMYFUNCTION("""COMPUTED_VALUE"""),327.0)</f>
        <v>327</v>
      </c>
      <c r="D279" s="2">
        <f>IFERROR(__xludf.DUMMYFUNCTION("""COMPUTED_VALUE"""),194.0)</f>
        <v>194</v>
      </c>
      <c r="E279" s="2">
        <f>IFERROR(__xludf.DUMMYFUNCTION("""COMPUTED_VALUE"""),6.0)</f>
        <v>6</v>
      </c>
      <c r="F279" s="2">
        <f>IFERROR(__xludf.DUMMYFUNCTION("""COMPUTED_VALUE"""),16.0)</f>
        <v>16</v>
      </c>
      <c r="G279" s="2">
        <f>IFERROR(__xludf.DUMMYFUNCTION("""COMPUTED_VALUE"""),521.0)</f>
        <v>521</v>
      </c>
      <c r="H279" s="2">
        <f>IFERROR(__xludf.DUMMYFUNCTION("""COMPUTED_VALUE"""),0.0)</f>
        <v>0</v>
      </c>
    </row>
    <row r="280" ht="22.5" customHeight="1">
      <c r="A280" s="2" t="str">
        <f>IFERROR(__xludf.DUMMYFUNCTION("""COMPUTED_VALUE"""),"2026-03")</f>
        <v>2026-03</v>
      </c>
      <c r="B280" s="2" t="str">
        <f>IFERROR(__xludf.DUMMYFUNCTION("""COMPUTED_VALUE"""),"MEMBER-SUV - LX")</f>
        <v>MEMBER-SUV - LX</v>
      </c>
      <c r="C280" s="2">
        <f>IFERROR(__xludf.DUMMYFUNCTION("""COMPUTED_VALUE"""),0.0)</f>
        <v>0</v>
      </c>
      <c r="D280" s="2">
        <f>IFERROR(__xludf.DUMMYFUNCTION("""COMPUTED_VALUE"""),280.0)</f>
        <v>280</v>
      </c>
      <c r="E280" s="2">
        <f>IFERROR(__xludf.DUMMYFUNCTION("""COMPUTED_VALUE"""),8.0)</f>
        <v>8</v>
      </c>
      <c r="F280" s="2">
        <f>IFERROR(__xludf.DUMMYFUNCTION("""COMPUTED_VALUE"""),0.0)</f>
        <v>0</v>
      </c>
      <c r="G280" s="2">
        <f>IFERROR(__xludf.DUMMYFUNCTION("""COMPUTED_VALUE"""),280.0)</f>
        <v>280</v>
      </c>
      <c r="H280" s="2">
        <f>IFERROR(__xludf.DUMMYFUNCTION("""COMPUTED_VALUE"""),0.0)</f>
        <v>0</v>
      </c>
    </row>
    <row r="281" ht="22.5" customHeight="1">
      <c r="A281" s="2" t="str">
        <f>IFERROR(__xludf.DUMMYFUNCTION("""COMPUTED_VALUE"""),"2026-04")</f>
        <v>2026-04</v>
      </c>
      <c r="B281" s="2" t="str">
        <f>IFERROR(__xludf.DUMMYFUNCTION("""COMPUTED_VALUE"""),"MEMBER-SUV - LX")</f>
        <v>MEMBER-SUV - LX</v>
      </c>
      <c r="C281" s="2">
        <f>IFERROR(__xludf.DUMMYFUNCTION("""COMPUTED_VALUE"""),0.0)</f>
        <v>0</v>
      </c>
      <c r="D281" s="2">
        <f>IFERROR(__xludf.DUMMYFUNCTION("""COMPUTED_VALUE"""),0.0)</f>
        <v>0</v>
      </c>
      <c r="E281" s="2">
        <f>IFERROR(__xludf.DUMMYFUNCTION("""COMPUTED_VALUE"""),0.0)</f>
        <v>0</v>
      </c>
      <c r="F281" s="2">
        <f>IFERROR(__xludf.DUMMYFUNCTION("""COMPUTED_VALUE"""),0.0)</f>
        <v>0</v>
      </c>
      <c r="G281" s="2">
        <f>IFERROR(__xludf.DUMMYFUNCTION("""COMPUTED_VALUE"""),0.0)</f>
        <v>0</v>
      </c>
      <c r="H281" s="2">
        <f>IFERROR(__xludf.DUMMYFUNCTION("""COMPUTED_VALUE"""),0.0)</f>
        <v>0</v>
      </c>
    </row>
    <row r="282" ht="22.5" customHeight="1">
      <c r="A282" s="2" t="str">
        <f>IFERROR(__xludf.DUMMYFUNCTION("""COMPUTED_VALUE"""),"2026-05")</f>
        <v>2026-05</v>
      </c>
      <c r="B282" s="2" t="str">
        <f>IFERROR(__xludf.DUMMYFUNCTION("""COMPUTED_VALUE"""),"MEMBER-SUV - LX")</f>
        <v>MEMBER-SUV - LX</v>
      </c>
      <c r="C282" s="2">
        <f>IFERROR(__xludf.DUMMYFUNCTION("""COMPUTED_VALUE"""),0.0)</f>
        <v>0</v>
      </c>
      <c r="D282" s="2">
        <f>IFERROR(__xludf.DUMMYFUNCTION("""COMPUTED_VALUE"""),0.0)</f>
        <v>0</v>
      </c>
      <c r="E282" s="2">
        <f>IFERROR(__xludf.DUMMYFUNCTION("""COMPUTED_VALUE"""),0.0)</f>
        <v>0</v>
      </c>
      <c r="F282" s="2">
        <f>IFERROR(__xludf.DUMMYFUNCTION("""COMPUTED_VALUE"""),0.0)</f>
        <v>0</v>
      </c>
      <c r="G282" s="2">
        <f>IFERROR(__xludf.DUMMYFUNCTION("""COMPUTED_VALUE"""),0.0)</f>
        <v>0</v>
      </c>
      <c r="H282" s="2">
        <f>IFERROR(__xludf.DUMMYFUNCTION("""COMPUTED_VALUE"""),0.0)</f>
        <v>0</v>
      </c>
    </row>
    <row r="283" ht="22.5" customHeight="1">
      <c r="A283" s="2" t="str">
        <f>IFERROR(__xludf.DUMMYFUNCTION("""COMPUTED_VALUE"""),"2026-06")</f>
        <v>2026-06</v>
      </c>
      <c r="B283" s="2" t="str">
        <f>IFERROR(__xludf.DUMMYFUNCTION("""COMPUTED_VALUE"""),"MEMBER-SUV - LX")</f>
        <v>MEMBER-SUV - LX</v>
      </c>
      <c r="C283" s="2">
        <f>IFERROR(__xludf.DUMMYFUNCTION("""COMPUTED_VALUE"""),0.0)</f>
        <v>0</v>
      </c>
      <c r="D283" s="2">
        <f>IFERROR(__xludf.DUMMYFUNCTION("""COMPUTED_VALUE"""),0.0)</f>
        <v>0</v>
      </c>
      <c r="E283" s="2">
        <f>IFERROR(__xludf.DUMMYFUNCTION("""COMPUTED_VALUE"""),0.0)</f>
        <v>0</v>
      </c>
      <c r="F283" s="2">
        <f>IFERROR(__xludf.DUMMYFUNCTION("""COMPUTED_VALUE"""),0.0)</f>
        <v>0</v>
      </c>
      <c r="G283" s="2">
        <f>IFERROR(__xludf.DUMMYFUNCTION("""COMPUTED_VALUE"""),0.0)</f>
        <v>0</v>
      </c>
      <c r="H283" s="2">
        <f>IFERROR(__xludf.DUMMYFUNCTION("""COMPUTED_VALUE"""),0.0)</f>
        <v>0</v>
      </c>
    </row>
    <row r="284" ht="22.5" customHeight="1">
      <c r="A284" s="2" t="str">
        <f>IFERROR(__xludf.DUMMYFUNCTION("""COMPUTED_VALUE"""),"2026-07")</f>
        <v>2026-07</v>
      </c>
      <c r="B284" s="2" t="str">
        <f>IFERROR(__xludf.DUMMYFUNCTION("""COMPUTED_VALUE"""),"MEMBER-SUV - LX")</f>
        <v>MEMBER-SUV - LX</v>
      </c>
      <c r="C284" s="2">
        <f>IFERROR(__xludf.DUMMYFUNCTION("""COMPUTED_VALUE"""),0.0)</f>
        <v>0</v>
      </c>
      <c r="D284" s="2">
        <f>IFERROR(__xludf.DUMMYFUNCTION("""COMPUTED_VALUE"""),0.0)</f>
        <v>0</v>
      </c>
      <c r="E284" s="2">
        <f>IFERROR(__xludf.DUMMYFUNCTION("""COMPUTED_VALUE"""),0.0)</f>
        <v>0</v>
      </c>
      <c r="F284" s="2">
        <f>IFERROR(__xludf.DUMMYFUNCTION("""COMPUTED_VALUE"""),0.0)</f>
        <v>0</v>
      </c>
      <c r="G284" s="2">
        <f>IFERROR(__xludf.DUMMYFUNCTION("""COMPUTED_VALUE"""),0.0)</f>
        <v>0</v>
      </c>
      <c r="H284" s="2">
        <f>IFERROR(__xludf.DUMMYFUNCTION("""COMPUTED_VALUE"""),0.0)</f>
        <v>0</v>
      </c>
    </row>
    <row r="285" ht="22.5" customHeight="1">
      <c r="A285" s="2" t="str">
        <f>IFERROR(__xludf.DUMMYFUNCTION("""COMPUTED_VALUE"""),"2026-08")</f>
        <v>2026-08</v>
      </c>
      <c r="B285" s="2" t="str">
        <f>IFERROR(__xludf.DUMMYFUNCTION("""COMPUTED_VALUE"""),"MEMBER-SUV - LX")</f>
        <v>MEMBER-SUV - LX</v>
      </c>
      <c r="C285" s="2">
        <f>IFERROR(__xludf.DUMMYFUNCTION("""COMPUTED_VALUE"""),0.0)</f>
        <v>0</v>
      </c>
      <c r="D285" s="2">
        <f>IFERROR(__xludf.DUMMYFUNCTION("""COMPUTED_VALUE"""),0.0)</f>
        <v>0</v>
      </c>
      <c r="E285" s="2">
        <f>IFERROR(__xludf.DUMMYFUNCTION("""COMPUTED_VALUE"""),0.0)</f>
        <v>0</v>
      </c>
      <c r="F285" s="2">
        <f>IFERROR(__xludf.DUMMYFUNCTION("""COMPUTED_VALUE"""),0.0)</f>
        <v>0</v>
      </c>
      <c r="G285" s="2">
        <f>IFERROR(__xludf.DUMMYFUNCTION("""COMPUTED_VALUE"""),0.0)</f>
        <v>0</v>
      </c>
      <c r="H285" s="2">
        <f>IFERROR(__xludf.DUMMYFUNCTION("""COMPUTED_VALUE"""),0.0)</f>
        <v>0</v>
      </c>
    </row>
    <row r="286" ht="22.5" customHeight="1">
      <c r="A286" s="2" t="str">
        <f>IFERROR(__xludf.DUMMYFUNCTION("""COMPUTED_VALUE"""),"2026-09")</f>
        <v>2026-09</v>
      </c>
      <c r="B286" s="2" t="str">
        <f>IFERROR(__xludf.DUMMYFUNCTION("""COMPUTED_VALUE"""),"MEMBER-SUV - LX")</f>
        <v>MEMBER-SUV - LX</v>
      </c>
      <c r="C286" s="2">
        <f>IFERROR(__xludf.DUMMYFUNCTION("""COMPUTED_VALUE"""),0.0)</f>
        <v>0</v>
      </c>
      <c r="D286" s="2">
        <f>IFERROR(__xludf.DUMMYFUNCTION("""COMPUTED_VALUE"""),0.0)</f>
        <v>0</v>
      </c>
      <c r="E286" s="2">
        <f>IFERROR(__xludf.DUMMYFUNCTION("""COMPUTED_VALUE"""),0.0)</f>
        <v>0</v>
      </c>
      <c r="F286" s="2">
        <f>IFERROR(__xludf.DUMMYFUNCTION("""COMPUTED_VALUE"""),0.0)</f>
        <v>0</v>
      </c>
      <c r="G286" s="2">
        <f>IFERROR(__xludf.DUMMYFUNCTION("""COMPUTED_VALUE"""),0.0)</f>
        <v>0</v>
      </c>
      <c r="H286" s="2">
        <f>IFERROR(__xludf.DUMMYFUNCTION("""COMPUTED_VALUE"""),0.0)</f>
        <v>0</v>
      </c>
    </row>
    <row r="287" ht="22.5" customHeight="1">
      <c r="A287" s="2" t="str">
        <f>IFERROR(__xludf.DUMMYFUNCTION("""COMPUTED_VALUE"""),"2026-10")</f>
        <v>2026-10</v>
      </c>
      <c r="B287" s="2" t="str">
        <f>IFERROR(__xludf.DUMMYFUNCTION("""COMPUTED_VALUE"""),"MEMBER-SUV - LX")</f>
        <v>MEMBER-SUV - LX</v>
      </c>
      <c r="C287" s="2">
        <f>IFERROR(__xludf.DUMMYFUNCTION("""COMPUTED_VALUE"""),0.0)</f>
        <v>0</v>
      </c>
      <c r="D287" s="2">
        <f>IFERROR(__xludf.DUMMYFUNCTION("""COMPUTED_VALUE"""),0.0)</f>
        <v>0</v>
      </c>
      <c r="E287" s="2">
        <f>IFERROR(__xludf.DUMMYFUNCTION("""COMPUTED_VALUE"""),0.0)</f>
        <v>0</v>
      </c>
      <c r="F287" s="2">
        <f>IFERROR(__xludf.DUMMYFUNCTION("""COMPUTED_VALUE"""),0.0)</f>
        <v>0</v>
      </c>
      <c r="G287" s="2">
        <f>IFERROR(__xludf.DUMMYFUNCTION("""COMPUTED_VALUE"""),0.0)</f>
        <v>0</v>
      </c>
      <c r="H287" s="2">
        <f>IFERROR(__xludf.DUMMYFUNCTION("""COMPUTED_VALUE"""),0.0)</f>
        <v>0</v>
      </c>
    </row>
    <row r="288" ht="22.5" customHeight="1">
      <c r="A288" s="2" t="str">
        <f>IFERROR(__xludf.DUMMYFUNCTION("""COMPUTED_VALUE"""),"2026-11")</f>
        <v>2026-11</v>
      </c>
      <c r="B288" s="2" t="str">
        <f>IFERROR(__xludf.DUMMYFUNCTION("""COMPUTED_VALUE"""),"MEMBER-SUV - LX")</f>
        <v>MEMBER-SUV - LX</v>
      </c>
      <c r="C288" s="2">
        <f>IFERROR(__xludf.DUMMYFUNCTION("""COMPUTED_VALUE"""),0.0)</f>
        <v>0</v>
      </c>
      <c r="D288" s="2">
        <f>IFERROR(__xludf.DUMMYFUNCTION("""COMPUTED_VALUE"""),0.0)</f>
        <v>0</v>
      </c>
      <c r="E288" s="2">
        <f>IFERROR(__xludf.DUMMYFUNCTION("""COMPUTED_VALUE"""),0.0)</f>
        <v>0</v>
      </c>
      <c r="F288" s="2">
        <f>IFERROR(__xludf.DUMMYFUNCTION("""COMPUTED_VALUE"""),0.0)</f>
        <v>0</v>
      </c>
      <c r="G288" s="2">
        <f>IFERROR(__xludf.DUMMYFUNCTION("""COMPUTED_VALUE"""),0.0)</f>
        <v>0</v>
      </c>
      <c r="H288" s="2">
        <f>IFERROR(__xludf.DUMMYFUNCTION("""COMPUTED_VALUE"""),0.0)</f>
        <v>0</v>
      </c>
    </row>
    <row r="289" ht="22.5" customHeight="1">
      <c r="A289" s="2" t="str">
        <f>IFERROR(__xludf.DUMMYFUNCTION("""COMPUTED_VALUE"""),"2026-12")</f>
        <v>2026-12</v>
      </c>
      <c r="B289" s="2" t="str">
        <f>IFERROR(__xludf.DUMMYFUNCTION("""COMPUTED_VALUE"""),"MEMBER-SUV - LX")</f>
        <v>MEMBER-SUV - LX</v>
      </c>
      <c r="C289" s="2">
        <f>IFERROR(__xludf.DUMMYFUNCTION("""COMPUTED_VALUE"""),0.0)</f>
        <v>0</v>
      </c>
      <c r="D289" s="2">
        <f>IFERROR(__xludf.DUMMYFUNCTION("""COMPUTED_VALUE"""),0.0)</f>
        <v>0</v>
      </c>
      <c r="E289" s="2">
        <f>IFERROR(__xludf.DUMMYFUNCTION("""COMPUTED_VALUE"""),0.0)</f>
        <v>0</v>
      </c>
      <c r="F289" s="2">
        <f>IFERROR(__xludf.DUMMYFUNCTION("""COMPUTED_VALUE"""),0.0)</f>
        <v>0</v>
      </c>
      <c r="G289" s="2">
        <f>IFERROR(__xludf.DUMMYFUNCTION("""COMPUTED_VALUE"""),0.0)</f>
        <v>0</v>
      </c>
      <c r="H289" s="2">
        <f>IFERROR(__xludf.DUMMYFUNCTION("""COMPUTED_VALUE"""),0.0)</f>
        <v>0</v>
      </c>
    </row>
    <row r="290" ht="22.5" customHeight="1">
      <c r="A290" s="2" t="str">
        <f>IFERROR(__xludf.DUMMYFUNCTION("""COMPUTED_VALUE"""),"2026-01")</f>
        <v>2026-01</v>
      </c>
      <c r="B290" s="2" t="str">
        <f>IFERROR(__xludf.DUMMYFUNCTION("""COMPUTED_VALUE"""),"PIST-SD")</f>
        <v>PIST-SD</v>
      </c>
      <c r="C290" s="2">
        <f>IFERROR(__xludf.DUMMYFUNCTION("""COMPUTED_VALUE"""),846.0)</f>
        <v>846</v>
      </c>
      <c r="D290" s="2">
        <f>IFERROR(__xludf.DUMMYFUNCTION("""COMPUTED_VALUE"""),0.0)</f>
        <v>0</v>
      </c>
      <c r="E290" s="2">
        <f>IFERROR(__xludf.DUMMYFUNCTION("""COMPUTED_VALUE"""),0.0)</f>
        <v>0</v>
      </c>
      <c r="F290" s="2">
        <f>IFERROR(__xludf.DUMMYFUNCTION("""COMPUTED_VALUE"""),0.0)</f>
        <v>0</v>
      </c>
      <c r="G290" s="2">
        <f>IFERROR(__xludf.DUMMYFUNCTION("""COMPUTED_VALUE"""),844.0)</f>
        <v>844</v>
      </c>
      <c r="H290" s="2">
        <f>IFERROR(__xludf.DUMMYFUNCTION("""COMPUTED_VALUE"""),2.0)</f>
        <v>2</v>
      </c>
    </row>
    <row r="291" ht="22.5" customHeight="1">
      <c r="A291" s="2" t="str">
        <f>IFERROR(__xludf.DUMMYFUNCTION("""COMPUTED_VALUE"""),"2026-02")</f>
        <v>2026-02</v>
      </c>
      <c r="B291" s="2" t="str">
        <f>IFERROR(__xludf.DUMMYFUNCTION("""COMPUTED_VALUE"""),"PIST-SD")</f>
        <v>PIST-SD</v>
      </c>
      <c r="C291" s="2">
        <f>IFERROR(__xludf.DUMMYFUNCTION("""COMPUTED_VALUE"""),2.0)</f>
        <v>2</v>
      </c>
      <c r="D291" s="2">
        <f>IFERROR(__xludf.DUMMYFUNCTION("""COMPUTED_VALUE"""),0.0)</f>
        <v>0</v>
      </c>
      <c r="E291" s="2">
        <f>IFERROR(__xludf.DUMMYFUNCTION("""COMPUTED_VALUE"""),0.0)</f>
        <v>0</v>
      </c>
      <c r="F291" s="2">
        <f>IFERROR(__xludf.DUMMYFUNCTION("""COMPUTED_VALUE"""),0.0)</f>
        <v>0</v>
      </c>
      <c r="G291" s="2">
        <f>IFERROR(__xludf.DUMMYFUNCTION("""COMPUTED_VALUE"""),0.0)</f>
        <v>0</v>
      </c>
      <c r="H291" s="2">
        <f>IFERROR(__xludf.DUMMYFUNCTION("""COMPUTED_VALUE"""),2.0)</f>
        <v>2</v>
      </c>
    </row>
    <row r="292" ht="22.5" customHeight="1">
      <c r="A292" s="2" t="str">
        <f>IFERROR(__xludf.DUMMYFUNCTION("""COMPUTED_VALUE"""),"2026-03")</f>
        <v>2026-03</v>
      </c>
      <c r="B292" s="2" t="str">
        <f>IFERROR(__xludf.DUMMYFUNCTION("""COMPUTED_VALUE"""),"PIST-SD")</f>
        <v>PIST-SD</v>
      </c>
      <c r="C292" s="2">
        <f>IFERROR(__xludf.DUMMYFUNCTION("""COMPUTED_VALUE"""),2.0)</f>
        <v>2</v>
      </c>
      <c r="D292" s="2">
        <f>IFERROR(__xludf.DUMMYFUNCTION("""COMPUTED_VALUE"""),0.0)</f>
        <v>0</v>
      </c>
      <c r="E292" s="2">
        <f>IFERROR(__xludf.DUMMYFUNCTION("""COMPUTED_VALUE"""),0.0)</f>
        <v>0</v>
      </c>
      <c r="F292" s="2">
        <f>IFERROR(__xludf.DUMMYFUNCTION("""COMPUTED_VALUE"""),0.0)</f>
        <v>0</v>
      </c>
      <c r="G292" s="2">
        <f>IFERROR(__xludf.DUMMYFUNCTION("""COMPUTED_VALUE"""),0.0)</f>
        <v>0</v>
      </c>
      <c r="H292" s="2">
        <f>IFERROR(__xludf.DUMMYFUNCTION("""COMPUTED_VALUE"""),2.0)</f>
        <v>2</v>
      </c>
    </row>
    <row r="293" ht="22.5" customHeight="1">
      <c r="A293" s="2" t="str">
        <f>IFERROR(__xludf.DUMMYFUNCTION("""COMPUTED_VALUE"""),"2026-04")</f>
        <v>2026-04</v>
      </c>
      <c r="B293" s="2" t="str">
        <f>IFERROR(__xludf.DUMMYFUNCTION("""COMPUTED_VALUE"""),"PIST-SD")</f>
        <v>PIST-SD</v>
      </c>
      <c r="C293" s="2">
        <f>IFERROR(__xludf.DUMMYFUNCTION("""COMPUTED_VALUE"""),2.0)</f>
        <v>2</v>
      </c>
      <c r="D293" s="2">
        <f>IFERROR(__xludf.DUMMYFUNCTION("""COMPUTED_VALUE"""),0.0)</f>
        <v>0</v>
      </c>
      <c r="E293" s="2">
        <f>IFERROR(__xludf.DUMMYFUNCTION("""COMPUTED_VALUE"""),0.0)</f>
        <v>0</v>
      </c>
      <c r="F293" s="2">
        <f>IFERROR(__xludf.DUMMYFUNCTION("""COMPUTED_VALUE"""),0.0)</f>
        <v>0</v>
      </c>
      <c r="G293" s="2">
        <f>IFERROR(__xludf.DUMMYFUNCTION("""COMPUTED_VALUE"""),0.0)</f>
        <v>0</v>
      </c>
      <c r="H293" s="2">
        <f>IFERROR(__xludf.DUMMYFUNCTION("""COMPUTED_VALUE"""),2.0)</f>
        <v>2</v>
      </c>
    </row>
    <row r="294" ht="22.5" customHeight="1">
      <c r="A294" s="2" t="str">
        <f>IFERROR(__xludf.DUMMYFUNCTION("""COMPUTED_VALUE"""),"2026-05")</f>
        <v>2026-05</v>
      </c>
      <c r="B294" s="2" t="str">
        <f>IFERROR(__xludf.DUMMYFUNCTION("""COMPUTED_VALUE"""),"PIST-SD")</f>
        <v>PIST-SD</v>
      </c>
      <c r="C294" s="2">
        <f>IFERROR(__xludf.DUMMYFUNCTION("""COMPUTED_VALUE"""),2.0)</f>
        <v>2</v>
      </c>
      <c r="D294" s="2">
        <f>IFERROR(__xludf.DUMMYFUNCTION("""COMPUTED_VALUE"""),0.0)</f>
        <v>0</v>
      </c>
      <c r="E294" s="2">
        <f>IFERROR(__xludf.DUMMYFUNCTION("""COMPUTED_VALUE"""),0.0)</f>
        <v>0</v>
      </c>
      <c r="F294" s="2">
        <f>IFERROR(__xludf.DUMMYFUNCTION("""COMPUTED_VALUE"""),0.0)</f>
        <v>0</v>
      </c>
      <c r="G294" s="2">
        <f>IFERROR(__xludf.DUMMYFUNCTION("""COMPUTED_VALUE"""),0.0)</f>
        <v>0</v>
      </c>
      <c r="H294" s="2">
        <f>IFERROR(__xludf.DUMMYFUNCTION("""COMPUTED_VALUE"""),2.0)</f>
        <v>2</v>
      </c>
    </row>
    <row r="295" ht="22.5" customHeight="1">
      <c r="A295" s="2" t="str">
        <f>IFERROR(__xludf.DUMMYFUNCTION("""COMPUTED_VALUE"""),"2026-06")</f>
        <v>2026-06</v>
      </c>
      <c r="B295" s="2" t="str">
        <f>IFERROR(__xludf.DUMMYFUNCTION("""COMPUTED_VALUE"""),"PIST-SD")</f>
        <v>PIST-SD</v>
      </c>
      <c r="C295" s="2">
        <f>IFERROR(__xludf.DUMMYFUNCTION("""COMPUTED_VALUE"""),2.0)</f>
        <v>2</v>
      </c>
      <c r="D295" s="2">
        <f>IFERROR(__xludf.DUMMYFUNCTION("""COMPUTED_VALUE"""),0.0)</f>
        <v>0</v>
      </c>
      <c r="E295" s="2">
        <f>IFERROR(__xludf.DUMMYFUNCTION("""COMPUTED_VALUE"""),0.0)</f>
        <v>0</v>
      </c>
      <c r="F295" s="2">
        <f>IFERROR(__xludf.DUMMYFUNCTION("""COMPUTED_VALUE"""),0.0)</f>
        <v>0</v>
      </c>
      <c r="G295" s="2">
        <f>IFERROR(__xludf.DUMMYFUNCTION("""COMPUTED_VALUE"""),0.0)</f>
        <v>0</v>
      </c>
      <c r="H295" s="2">
        <f>IFERROR(__xludf.DUMMYFUNCTION("""COMPUTED_VALUE"""),2.0)</f>
        <v>2</v>
      </c>
    </row>
    <row r="296" ht="22.5" customHeight="1">
      <c r="A296" s="2" t="str">
        <f>IFERROR(__xludf.DUMMYFUNCTION("""COMPUTED_VALUE"""),"2026-07")</f>
        <v>2026-07</v>
      </c>
      <c r="B296" s="2" t="str">
        <f>IFERROR(__xludf.DUMMYFUNCTION("""COMPUTED_VALUE"""),"PIST-SD")</f>
        <v>PIST-SD</v>
      </c>
      <c r="C296" s="2">
        <f>IFERROR(__xludf.DUMMYFUNCTION("""COMPUTED_VALUE"""),2.0)</f>
        <v>2</v>
      </c>
      <c r="D296" s="2">
        <f>IFERROR(__xludf.DUMMYFUNCTION("""COMPUTED_VALUE"""),0.0)</f>
        <v>0</v>
      </c>
      <c r="E296" s="2">
        <f>IFERROR(__xludf.DUMMYFUNCTION("""COMPUTED_VALUE"""),0.0)</f>
        <v>0</v>
      </c>
      <c r="F296" s="2">
        <f>IFERROR(__xludf.DUMMYFUNCTION("""COMPUTED_VALUE"""),0.0)</f>
        <v>0</v>
      </c>
      <c r="G296" s="2">
        <f>IFERROR(__xludf.DUMMYFUNCTION("""COMPUTED_VALUE"""),0.0)</f>
        <v>0</v>
      </c>
      <c r="H296" s="2">
        <f>IFERROR(__xludf.DUMMYFUNCTION("""COMPUTED_VALUE"""),2.0)</f>
        <v>2</v>
      </c>
    </row>
    <row r="297" ht="22.5" customHeight="1">
      <c r="A297" s="2" t="str">
        <f>IFERROR(__xludf.DUMMYFUNCTION("""COMPUTED_VALUE"""),"2026-08")</f>
        <v>2026-08</v>
      </c>
      <c r="B297" s="2" t="str">
        <f>IFERROR(__xludf.DUMMYFUNCTION("""COMPUTED_VALUE"""),"PIST-SD")</f>
        <v>PIST-SD</v>
      </c>
      <c r="C297" s="2">
        <f>IFERROR(__xludf.DUMMYFUNCTION("""COMPUTED_VALUE"""),2.0)</f>
        <v>2</v>
      </c>
      <c r="D297" s="2">
        <f>IFERROR(__xludf.DUMMYFUNCTION("""COMPUTED_VALUE"""),0.0)</f>
        <v>0</v>
      </c>
      <c r="E297" s="2">
        <f>IFERROR(__xludf.DUMMYFUNCTION("""COMPUTED_VALUE"""),0.0)</f>
        <v>0</v>
      </c>
      <c r="F297" s="2">
        <f>IFERROR(__xludf.DUMMYFUNCTION("""COMPUTED_VALUE"""),0.0)</f>
        <v>0</v>
      </c>
      <c r="G297" s="2">
        <f>IFERROR(__xludf.DUMMYFUNCTION("""COMPUTED_VALUE"""),0.0)</f>
        <v>0</v>
      </c>
      <c r="H297" s="2">
        <f>IFERROR(__xludf.DUMMYFUNCTION("""COMPUTED_VALUE"""),2.0)</f>
        <v>2</v>
      </c>
    </row>
    <row r="298" ht="22.5" customHeight="1">
      <c r="A298" s="2" t="str">
        <f>IFERROR(__xludf.DUMMYFUNCTION("""COMPUTED_VALUE"""),"2026-09")</f>
        <v>2026-09</v>
      </c>
      <c r="B298" s="2" t="str">
        <f>IFERROR(__xludf.DUMMYFUNCTION("""COMPUTED_VALUE"""),"PIST-SD")</f>
        <v>PIST-SD</v>
      </c>
      <c r="C298" s="2">
        <f>IFERROR(__xludf.DUMMYFUNCTION("""COMPUTED_VALUE"""),2.0)</f>
        <v>2</v>
      </c>
      <c r="D298" s="2">
        <f>IFERROR(__xludf.DUMMYFUNCTION("""COMPUTED_VALUE"""),0.0)</f>
        <v>0</v>
      </c>
      <c r="E298" s="2">
        <f>IFERROR(__xludf.DUMMYFUNCTION("""COMPUTED_VALUE"""),0.0)</f>
        <v>0</v>
      </c>
      <c r="F298" s="2">
        <f>IFERROR(__xludf.DUMMYFUNCTION("""COMPUTED_VALUE"""),0.0)</f>
        <v>0</v>
      </c>
      <c r="G298" s="2">
        <f>IFERROR(__xludf.DUMMYFUNCTION("""COMPUTED_VALUE"""),0.0)</f>
        <v>0</v>
      </c>
      <c r="H298" s="2">
        <f>IFERROR(__xludf.DUMMYFUNCTION("""COMPUTED_VALUE"""),2.0)</f>
        <v>2</v>
      </c>
    </row>
    <row r="299" ht="22.5" customHeight="1">
      <c r="A299" s="2" t="str">
        <f>IFERROR(__xludf.DUMMYFUNCTION("""COMPUTED_VALUE"""),"2026-10")</f>
        <v>2026-10</v>
      </c>
      <c r="B299" s="2" t="str">
        <f>IFERROR(__xludf.DUMMYFUNCTION("""COMPUTED_VALUE"""),"PIST-SD")</f>
        <v>PIST-SD</v>
      </c>
      <c r="C299" s="2">
        <f>IFERROR(__xludf.DUMMYFUNCTION("""COMPUTED_VALUE"""),2.0)</f>
        <v>2</v>
      </c>
      <c r="D299" s="2">
        <f>IFERROR(__xludf.DUMMYFUNCTION("""COMPUTED_VALUE"""),0.0)</f>
        <v>0</v>
      </c>
      <c r="E299" s="2">
        <f>IFERROR(__xludf.DUMMYFUNCTION("""COMPUTED_VALUE"""),0.0)</f>
        <v>0</v>
      </c>
      <c r="F299" s="2">
        <f>IFERROR(__xludf.DUMMYFUNCTION("""COMPUTED_VALUE"""),0.0)</f>
        <v>0</v>
      </c>
      <c r="G299" s="2">
        <f>IFERROR(__xludf.DUMMYFUNCTION("""COMPUTED_VALUE"""),0.0)</f>
        <v>0</v>
      </c>
      <c r="H299" s="2">
        <f>IFERROR(__xludf.DUMMYFUNCTION("""COMPUTED_VALUE"""),2.0)</f>
        <v>2</v>
      </c>
    </row>
    <row r="300" ht="22.5" customHeight="1">
      <c r="A300" s="2" t="str">
        <f>IFERROR(__xludf.DUMMYFUNCTION("""COMPUTED_VALUE"""),"2026-11")</f>
        <v>2026-11</v>
      </c>
      <c r="B300" s="2" t="str">
        <f>IFERROR(__xludf.DUMMYFUNCTION("""COMPUTED_VALUE"""),"PIST-SD")</f>
        <v>PIST-SD</v>
      </c>
      <c r="C300" s="2">
        <f>IFERROR(__xludf.DUMMYFUNCTION("""COMPUTED_VALUE"""),2.0)</f>
        <v>2</v>
      </c>
      <c r="D300" s="2">
        <f>IFERROR(__xludf.DUMMYFUNCTION("""COMPUTED_VALUE"""),0.0)</f>
        <v>0</v>
      </c>
      <c r="E300" s="2">
        <f>IFERROR(__xludf.DUMMYFUNCTION("""COMPUTED_VALUE"""),0.0)</f>
        <v>0</v>
      </c>
      <c r="F300" s="2">
        <f>IFERROR(__xludf.DUMMYFUNCTION("""COMPUTED_VALUE"""),0.0)</f>
        <v>0</v>
      </c>
      <c r="G300" s="2">
        <f>IFERROR(__xludf.DUMMYFUNCTION("""COMPUTED_VALUE"""),0.0)</f>
        <v>0</v>
      </c>
      <c r="H300" s="2">
        <f>IFERROR(__xludf.DUMMYFUNCTION("""COMPUTED_VALUE"""),2.0)</f>
        <v>2</v>
      </c>
    </row>
    <row r="301" ht="22.5" customHeight="1">
      <c r="A301" s="2" t="str">
        <f>IFERROR(__xludf.DUMMYFUNCTION("""COMPUTED_VALUE"""),"2026-12")</f>
        <v>2026-12</v>
      </c>
      <c r="B301" s="2" t="str">
        <f>IFERROR(__xludf.DUMMYFUNCTION("""COMPUTED_VALUE"""),"PIST-SD")</f>
        <v>PIST-SD</v>
      </c>
      <c r="C301" s="2">
        <f>IFERROR(__xludf.DUMMYFUNCTION("""COMPUTED_VALUE"""),2.0)</f>
        <v>2</v>
      </c>
      <c r="D301" s="2">
        <f>IFERROR(__xludf.DUMMYFUNCTION("""COMPUTED_VALUE"""),0.0)</f>
        <v>0</v>
      </c>
      <c r="E301" s="2">
        <f>IFERROR(__xludf.DUMMYFUNCTION("""COMPUTED_VALUE"""),0.0)</f>
        <v>0</v>
      </c>
      <c r="F301" s="2">
        <f>IFERROR(__xludf.DUMMYFUNCTION("""COMPUTED_VALUE"""),0.0)</f>
        <v>0</v>
      </c>
      <c r="G301" s="2">
        <f>IFERROR(__xludf.DUMMYFUNCTION("""COMPUTED_VALUE"""),0.0)</f>
        <v>0</v>
      </c>
      <c r="H301" s="2">
        <f>IFERROR(__xludf.DUMMYFUNCTION("""COMPUTED_VALUE"""),2.0)</f>
        <v>2</v>
      </c>
    </row>
    <row r="302" ht="22.5" customHeight="1">
      <c r="A302" s="2" t="str">
        <f>IFERROR(__xludf.DUMMYFUNCTION("""COMPUTED_VALUE"""),"2026-01")</f>
        <v>2026-01</v>
      </c>
      <c r="B302" s="2" t="str">
        <f>IFERROR(__xludf.DUMMYFUNCTION("""COMPUTED_VALUE"""),"PIST-SD - LX")</f>
        <v>PIST-SD - LX</v>
      </c>
      <c r="C302" s="2">
        <f>IFERROR(__xludf.DUMMYFUNCTION("""COMPUTED_VALUE"""),749.0)</f>
        <v>749</v>
      </c>
      <c r="D302" s="2">
        <f>IFERROR(__xludf.DUMMYFUNCTION("""COMPUTED_VALUE"""),0.0)</f>
        <v>0</v>
      </c>
      <c r="E302" s="2">
        <f>IFERROR(__xludf.DUMMYFUNCTION("""COMPUTED_VALUE"""),0.0)</f>
        <v>0</v>
      </c>
      <c r="F302" s="2">
        <f>IFERROR(__xludf.DUMMYFUNCTION("""COMPUTED_VALUE"""),0.0)</f>
        <v>0</v>
      </c>
      <c r="G302" s="2">
        <f>IFERROR(__xludf.DUMMYFUNCTION("""COMPUTED_VALUE"""),740.0)</f>
        <v>740</v>
      </c>
      <c r="H302" s="2">
        <f>IFERROR(__xludf.DUMMYFUNCTION("""COMPUTED_VALUE"""),9.0)</f>
        <v>9</v>
      </c>
    </row>
    <row r="303" ht="22.5" customHeight="1">
      <c r="A303" s="2" t="str">
        <f>IFERROR(__xludf.DUMMYFUNCTION("""COMPUTED_VALUE"""),"2026-02")</f>
        <v>2026-02</v>
      </c>
      <c r="B303" s="2" t="str">
        <f>IFERROR(__xludf.DUMMYFUNCTION("""COMPUTED_VALUE"""),"PIST-SD - LX")</f>
        <v>PIST-SD - LX</v>
      </c>
      <c r="C303" s="2">
        <f>IFERROR(__xludf.DUMMYFUNCTION("""COMPUTED_VALUE"""),9.0)</f>
        <v>9</v>
      </c>
      <c r="D303" s="2">
        <f>IFERROR(__xludf.DUMMYFUNCTION("""COMPUTED_VALUE"""),0.0)</f>
        <v>0</v>
      </c>
      <c r="E303" s="2">
        <f>IFERROR(__xludf.DUMMYFUNCTION("""COMPUTED_VALUE"""),0.0)</f>
        <v>0</v>
      </c>
      <c r="F303" s="2">
        <f>IFERROR(__xludf.DUMMYFUNCTION("""COMPUTED_VALUE"""),0.0)</f>
        <v>0</v>
      </c>
      <c r="G303" s="2">
        <f>IFERROR(__xludf.DUMMYFUNCTION("""COMPUTED_VALUE"""),4.0)</f>
        <v>4</v>
      </c>
      <c r="H303" s="2">
        <f>IFERROR(__xludf.DUMMYFUNCTION("""COMPUTED_VALUE"""),5.0)</f>
        <v>5</v>
      </c>
    </row>
    <row r="304" ht="22.5" customHeight="1">
      <c r="A304" s="2" t="str">
        <f>IFERROR(__xludf.DUMMYFUNCTION("""COMPUTED_VALUE"""),"2026-03")</f>
        <v>2026-03</v>
      </c>
      <c r="B304" s="2" t="str">
        <f>IFERROR(__xludf.DUMMYFUNCTION("""COMPUTED_VALUE"""),"PIST-SD - LX")</f>
        <v>PIST-SD - LX</v>
      </c>
      <c r="C304" s="2">
        <f>IFERROR(__xludf.DUMMYFUNCTION("""COMPUTED_VALUE"""),5.0)</f>
        <v>5</v>
      </c>
      <c r="D304" s="2">
        <f>IFERROR(__xludf.DUMMYFUNCTION("""COMPUTED_VALUE"""),0.0)</f>
        <v>0</v>
      </c>
      <c r="E304" s="2">
        <f>IFERROR(__xludf.DUMMYFUNCTION("""COMPUTED_VALUE"""),0.0)</f>
        <v>0</v>
      </c>
      <c r="F304" s="2">
        <f>IFERROR(__xludf.DUMMYFUNCTION("""COMPUTED_VALUE"""),0.0)</f>
        <v>0</v>
      </c>
      <c r="G304" s="2">
        <f>IFERROR(__xludf.DUMMYFUNCTION("""COMPUTED_VALUE"""),4.0)</f>
        <v>4</v>
      </c>
      <c r="H304" s="2">
        <f>IFERROR(__xludf.DUMMYFUNCTION("""COMPUTED_VALUE"""),1.0)</f>
        <v>1</v>
      </c>
    </row>
    <row r="305" ht="22.5" customHeight="1">
      <c r="A305" s="2" t="str">
        <f>IFERROR(__xludf.DUMMYFUNCTION("""COMPUTED_VALUE"""),"2026-04")</f>
        <v>2026-04</v>
      </c>
      <c r="B305" s="2" t="str">
        <f>IFERROR(__xludf.DUMMYFUNCTION("""COMPUTED_VALUE"""),"PIST-SD - LX")</f>
        <v>PIST-SD - LX</v>
      </c>
      <c r="C305" s="2">
        <f>IFERROR(__xludf.DUMMYFUNCTION("""COMPUTED_VALUE"""),1.0)</f>
        <v>1</v>
      </c>
      <c r="D305" s="2">
        <f>IFERROR(__xludf.DUMMYFUNCTION("""COMPUTED_VALUE"""),0.0)</f>
        <v>0</v>
      </c>
      <c r="E305" s="2">
        <f>IFERROR(__xludf.DUMMYFUNCTION("""COMPUTED_VALUE"""),0.0)</f>
        <v>0</v>
      </c>
      <c r="F305" s="2">
        <f>IFERROR(__xludf.DUMMYFUNCTION("""COMPUTED_VALUE"""),0.0)</f>
        <v>0</v>
      </c>
      <c r="G305" s="2">
        <f>IFERROR(__xludf.DUMMYFUNCTION("""COMPUTED_VALUE"""),0.0)</f>
        <v>0</v>
      </c>
      <c r="H305" s="2">
        <f>IFERROR(__xludf.DUMMYFUNCTION("""COMPUTED_VALUE"""),1.0)</f>
        <v>1</v>
      </c>
    </row>
    <row r="306" ht="22.5" customHeight="1">
      <c r="A306" s="2" t="str">
        <f>IFERROR(__xludf.DUMMYFUNCTION("""COMPUTED_VALUE"""),"2026-05")</f>
        <v>2026-05</v>
      </c>
      <c r="B306" s="2" t="str">
        <f>IFERROR(__xludf.DUMMYFUNCTION("""COMPUTED_VALUE"""),"PIST-SD - LX")</f>
        <v>PIST-SD - LX</v>
      </c>
      <c r="C306" s="2">
        <f>IFERROR(__xludf.DUMMYFUNCTION("""COMPUTED_VALUE"""),1.0)</f>
        <v>1</v>
      </c>
      <c r="D306" s="2">
        <f>IFERROR(__xludf.DUMMYFUNCTION("""COMPUTED_VALUE"""),0.0)</f>
        <v>0</v>
      </c>
      <c r="E306" s="2">
        <f>IFERROR(__xludf.DUMMYFUNCTION("""COMPUTED_VALUE"""),0.0)</f>
        <v>0</v>
      </c>
      <c r="F306" s="2">
        <f>IFERROR(__xludf.DUMMYFUNCTION("""COMPUTED_VALUE"""),0.0)</f>
        <v>0</v>
      </c>
      <c r="G306" s="2">
        <f>IFERROR(__xludf.DUMMYFUNCTION("""COMPUTED_VALUE"""),0.0)</f>
        <v>0</v>
      </c>
      <c r="H306" s="2">
        <f>IFERROR(__xludf.DUMMYFUNCTION("""COMPUTED_VALUE"""),1.0)</f>
        <v>1</v>
      </c>
    </row>
    <row r="307" ht="22.5" customHeight="1">
      <c r="A307" s="2" t="str">
        <f>IFERROR(__xludf.DUMMYFUNCTION("""COMPUTED_VALUE"""),"2026-06")</f>
        <v>2026-06</v>
      </c>
      <c r="B307" s="2" t="str">
        <f>IFERROR(__xludf.DUMMYFUNCTION("""COMPUTED_VALUE"""),"PIST-SD - LX")</f>
        <v>PIST-SD - LX</v>
      </c>
      <c r="C307" s="2">
        <f>IFERROR(__xludf.DUMMYFUNCTION("""COMPUTED_VALUE"""),1.0)</f>
        <v>1</v>
      </c>
      <c r="D307" s="2">
        <f>IFERROR(__xludf.DUMMYFUNCTION("""COMPUTED_VALUE"""),0.0)</f>
        <v>0</v>
      </c>
      <c r="E307" s="2">
        <f>IFERROR(__xludf.DUMMYFUNCTION("""COMPUTED_VALUE"""),0.0)</f>
        <v>0</v>
      </c>
      <c r="F307" s="2">
        <f>IFERROR(__xludf.DUMMYFUNCTION("""COMPUTED_VALUE"""),0.0)</f>
        <v>0</v>
      </c>
      <c r="G307" s="2">
        <f>IFERROR(__xludf.DUMMYFUNCTION("""COMPUTED_VALUE"""),0.0)</f>
        <v>0</v>
      </c>
      <c r="H307" s="2">
        <f>IFERROR(__xludf.DUMMYFUNCTION("""COMPUTED_VALUE"""),1.0)</f>
        <v>1</v>
      </c>
    </row>
    <row r="308" ht="22.5" customHeight="1">
      <c r="A308" s="2" t="str">
        <f>IFERROR(__xludf.DUMMYFUNCTION("""COMPUTED_VALUE"""),"2026-07")</f>
        <v>2026-07</v>
      </c>
      <c r="B308" s="2" t="str">
        <f>IFERROR(__xludf.DUMMYFUNCTION("""COMPUTED_VALUE"""),"PIST-SD - LX")</f>
        <v>PIST-SD - LX</v>
      </c>
      <c r="C308" s="2">
        <f>IFERROR(__xludf.DUMMYFUNCTION("""COMPUTED_VALUE"""),1.0)</f>
        <v>1</v>
      </c>
      <c r="D308" s="2">
        <f>IFERROR(__xludf.DUMMYFUNCTION("""COMPUTED_VALUE"""),0.0)</f>
        <v>0</v>
      </c>
      <c r="E308" s="2">
        <f>IFERROR(__xludf.DUMMYFUNCTION("""COMPUTED_VALUE"""),0.0)</f>
        <v>0</v>
      </c>
      <c r="F308" s="2">
        <f>IFERROR(__xludf.DUMMYFUNCTION("""COMPUTED_VALUE"""),0.0)</f>
        <v>0</v>
      </c>
      <c r="G308" s="2">
        <f>IFERROR(__xludf.DUMMYFUNCTION("""COMPUTED_VALUE"""),0.0)</f>
        <v>0</v>
      </c>
      <c r="H308" s="2">
        <f>IFERROR(__xludf.DUMMYFUNCTION("""COMPUTED_VALUE"""),1.0)</f>
        <v>1</v>
      </c>
    </row>
    <row r="309" ht="22.5" customHeight="1">
      <c r="A309" s="2" t="str">
        <f>IFERROR(__xludf.DUMMYFUNCTION("""COMPUTED_VALUE"""),"2026-08")</f>
        <v>2026-08</v>
      </c>
      <c r="B309" s="2" t="str">
        <f>IFERROR(__xludf.DUMMYFUNCTION("""COMPUTED_VALUE"""),"PIST-SD - LX")</f>
        <v>PIST-SD - LX</v>
      </c>
      <c r="C309" s="2">
        <f>IFERROR(__xludf.DUMMYFUNCTION("""COMPUTED_VALUE"""),1.0)</f>
        <v>1</v>
      </c>
      <c r="D309" s="2">
        <f>IFERROR(__xludf.DUMMYFUNCTION("""COMPUTED_VALUE"""),0.0)</f>
        <v>0</v>
      </c>
      <c r="E309" s="2">
        <f>IFERROR(__xludf.DUMMYFUNCTION("""COMPUTED_VALUE"""),0.0)</f>
        <v>0</v>
      </c>
      <c r="F309" s="2">
        <f>IFERROR(__xludf.DUMMYFUNCTION("""COMPUTED_VALUE"""),0.0)</f>
        <v>0</v>
      </c>
      <c r="G309" s="2">
        <f>IFERROR(__xludf.DUMMYFUNCTION("""COMPUTED_VALUE"""),0.0)</f>
        <v>0</v>
      </c>
      <c r="H309" s="2">
        <f>IFERROR(__xludf.DUMMYFUNCTION("""COMPUTED_VALUE"""),1.0)</f>
        <v>1</v>
      </c>
    </row>
    <row r="310" ht="22.5" customHeight="1">
      <c r="A310" s="2" t="str">
        <f>IFERROR(__xludf.DUMMYFUNCTION("""COMPUTED_VALUE"""),"2026-09")</f>
        <v>2026-09</v>
      </c>
      <c r="B310" s="2" t="str">
        <f>IFERROR(__xludf.DUMMYFUNCTION("""COMPUTED_VALUE"""),"PIST-SD - LX")</f>
        <v>PIST-SD - LX</v>
      </c>
      <c r="C310" s="2">
        <f>IFERROR(__xludf.DUMMYFUNCTION("""COMPUTED_VALUE"""),1.0)</f>
        <v>1</v>
      </c>
      <c r="D310" s="2">
        <f>IFERROR(__xludf.DUMMYFUNCTION("""COMPUTED_VALUE"""),0.0)</f>
        <v>0</v>
      </c>
      <c r="E310" s="2">
        <f>IFERROR(__xludf.DUMMYFUNCTION("""COMPUTED_VALUE"""),0.0)</f>
        <v>0</v>
      </c>
      <c r="F310" s="2">
        <f>IFERROR(__xludf.DUMMYFUNCTION("""COMPUTED_VALUE"""),0.0)</f>
        <v>0</v>
      </c>
      <c r="G310" s="2">
        <f>IFERROR(__xludf.DUMMYFUNCTION("""COMPUTED_VALUE"""),0.0)</f>
        <v>0</v>
      </c>
      <c r="H310" s="2">
        <f>IFERROR(__xludf.DUMMYFUNCTION("""COMPUTED_VALUE"""),1.0)</f>
        <v>1</v>
      </c>
    </row>
    <row r="311" ht="22.5" customHeight="1">
      <c r="A311" s="2" t="str">
        <f>IFERROR(__xludf.DUMMYFUNCTION("""COMPUTED_VALUE"""),"2026-10")</f>
        <v>2026-10</v>
      </c>
      <c r="B311" s="2" t="str">
        <f>IFERROR(__xludf.DUMMYFUNCTION("""COMPUTED_VALUE"""),"PIST-SD - LX")</f>
        <v>PIST-SD - LX</v>
      </c>
      <c r="C311" s="2">
        <f>IFERROR(__xludf.DUMMYFUNCTION("""COMPUTED_VALUE"""),1.0)</f>
        <v>1</v>
      </c>
      <c r="D311" s="2">
        <f>IFERROR(__xludf.DUMMYFUNCTION("""COMPUTED_VALUE"""),0.0)</f>
        <v>0</v>
      </c>
      <c r="E311" s="2">
        <f>IFERROR(__xludf.DUMMYFUNCTION("""COMPUTED_VALUE"""),0.0)</f>
        <v>0</v>
      </c>
      <c r="F311" s="2">
        <f>IFERROR(__xludf.DUMMYFUNCTION("""COMPUTED_VALUE"""),0.0)</f>
        <v>0</v>
      </c>
      <c r="G311" s="2">
        <f>IFERROR(__xludf.DUMMYFUNCTION("""COMPUTED_VALUE"""),0.0)</f>
        <v>0</v>
      </c>
      <c r="H311" s="2">
        <f>IFERROR(__xludf.DUMMYFUNCTION("""COMPUTED_VALUE"""),1.0)</f>
        <v>1</v>
      </c>
    </row>
    <row r="312" ht="22.5" customHeight="1">
      <c r="A312" s="2" t="str">
        <f>IFERROR(__xludf.DUMMYFUNCTION("""COMPUTED_VALUE"""),"2026-11")</f>
        <v>2026-11</v>
      </c>
      <c r="B312" s="2" t="str">
        <f>IFERROR(__xludf.DUMMYFUNCTION("""COMPUTED_VALUE"""),"PIST-SD - LX")</f>
        <v>PIST-SD - LX</v>
      </c>
      <c r="C312" s="2">
        <f>IFERROR(__xludf.DUMMYFUNCTION("""COMPUTED_VALUE"""),1.0)</f>
        <v>1</v>
      </c>
      <c r="D312" s="2">
        <f>IFERROR(__xludf.DUMMYFUNCTION("""COMPUTED_VALUE"""),0.0)</f>
        <v>0</v>
      </c>
      <c r="E312" s="2">
        <f>IFERROR(__xludf.DUMMYFUNCTION("""COMPUTED_VALUE"""),0.0)</f>
        <v>0</v>
      </c>
      <c r="F312" s="2">
        <f>IFERROR(__xludf.DUMMYFUNCTION("""COMPUTED_VALUE"""),0.0)</f>
        <v>0</v>
      </c>
      <c r="G312" s="2">
        <f>IFERROR(__xludf.DUMMYFUNCTION("""COMPUTED_VALUE"""),0.0)</f>
        <v>0</v>
      </c>
      <c r="H312" s="2">
        <f>IFERROR(__xludf.DUMMYFUNCTION("""COMPUTED_VALUE"""),1.0)</f>
        <v>1</v>
      </c>
    </row>
    <row r="313" ht="22.5" customHeight="1">
      <c r="A313" s="2" t="str">
        <f>IFERROR(__xludf.DUMMYFUNCTION("""COMPUTED_VALUE"""),"2026-12")</f>
        <v>2026-12</v>
      </c>
      <c r="B313" s="2" t="str">
        <f>IFERROR(__xludf.DUMMYFUNCTION("""COMPUTED_VALUE"""),"PIST-SD - LX")</f>
        <v>PIST-SD - LX</v>
      </c>
      <c r="C313" s="2">
        <f>IFERROR(__xludf.DUMMYFUNCTION("""COMPUTED_VALUE"""),1.0)</f>
        <v>1</v>
      </c>
      <c r="D313" s="2">
        <f>IFERROR(__xludf.DUMMYFUNCTION("""COMPUTED_VALUE"""),0.0)</f>
        <v>0</v>
      </c>
      <c r="E313" s="2">
        <f>IFERROR(__xludf.DUMMYFUNCTION("""COMPUTED_VALUE"""),0.0)</f>
        <v>0</v>
      </c>
      <c r="F313" s="2">
        <f>IFERROR(__xludf.DUMMYFUNCTION("""COMPUTED_VALUE"""),0.0)</f>
        <v>0</v>
      </c>
      <c r="G313" s="2">
        <f>IFERROR(__xludf.DUMMYFUNCTION("""COMPUTED_VALUE"""),0.0)</f>
        <v>0</v>
      </c>
      <c r="H313" s="2">
        <f>IFERROR(__xludf.DUMMYFUNCTION("""COMPUTED_VALUE"""),1.0)</f>
        <v>1</v>
      </c>
    </row>
    <row r="314" ht="22.5" customHeight="1">
      <c r="A314" s="2" t="str">
        <f>IFERROR(__xludf.DUMMYFUNCTION("""COMPUTED_VALUE"""),"2026-01")</f>
        <v>2026-01</v>
      </c>
      <c r="B314" s="2" t="str">
        <f>IFERROR(__xludf.DUMMYFUNCTION("""COMPUTED_VALUE"""),"PIST-SUV")</f>
        <v>PIST-SUV</v>
      </c>
      <c r="C314" s="2">
        <f>IFERROR(__xludf.DUMMYFUNCTION("""COMPUTED_VALUE"""),662.0)</f>
        <v>662</v>
      </c>
      <c r="D314" s="2">
        <f>IFERROR(__xludf.DUMMYFUNCTION("""COMPUTED_VALUE"""),0.0)</f>
        <v>0</v>
      </c>
      <c r="E314" s="2">
        <f>IFERROR(__xludf.DUMMYFUNCTION("""COMPUTED_VALUE"""),0.0)</f>
        <v>0</v>
      </c>
      <c r="F314" s="2">
        <f>IFERROR(__xludf.DUMMYFUNCTION("""COMPUTED_VALUE"""),0.0)</f>
        <v>0</v>
      </c>
      <c r="G314" s="2">
        <f>IFERROR(__xludf.DUMMYFUNCTION("""COMPUTED_VALUE"""),654.0)</f>
        <v>654</v>
      </c>
      <c r="H314" s="2">
        <f>IFERROR(__xludf.DUMMYFUNCTION("""COMPUTED_VALUE"""),8.0)</f>
        <v>8</v>
      </c>
    </row>
    <row r="315" ht="22.5" customHeight="1">
      <c r="A315" s="2" t="str">
        <f>IFERROR(__xludf.DUMMYFUNCTION("""COMPUTED_VALUE"""),"2026-02")</f>
        <v>2026-02</v>
      </c>
      <c r="B315" s="2" t="str">
        <f>IFERROR(__xludf.DUMMYFUNCTION("""COMPUTED_VALUE"""),"PIST-SUV")</f>
        <v>PIST-SUV</v>
      </c>
      <c r="C315" s="2">
        <f>IFERROR(__xludf.DUMMYFUNCTION("""COMPUTED_VALUE"""),8.0)</f>
        <v>8</v>
      </c>
      <c r="D315" s="2">
        <f>IFERROR(__xludf.DUMMYFUNCTION("""COMPUTED_VALUE"""),0.0)</f>
        <v>0</v>
      </c>
      <c r="E315" s="2">
        <f>IFERROR(__xludf.DUMMYFUNCTION("""COMPUTED_VALUE"""),0.0)</f>
        <v>0</v>
      </c>
      <c r="F315" s="2">
        <f>IFERROR(__xludf.DUMMYFUNCTION("""COMPUTED_VALUE"""),0.0)</f>
        <v>0</v>
      </c>
      <c r="G315" s="2">
        <f>IFERROR(__xludf.DUMMYFUNCTION("""COMPUTED_VALUE"""),6.0)</f>
        <v>6</v>
      </c>
      <c r="H315" s="2">
        <f>IFERROR(__xludf.DUMMYFUNCTION("""COMPUTED_VALUE"""),2.0)</f>
        <v>2</v>
      </c>
    </row>
    <row r="316" ht="22.5" customHeight="1">
      <c r="A316" s="2" t="str">
        <f>IFERROR(__xludf.DUMMYFUNCTION("""COMPUTED_VALUE"""),"2026-03")</f>
        <v>2026-03</v>
      </c>
      <c r="B316" s="2" t="str">
        <f>IFERROR(__xludf.DUMMYFUNCTION("""COMPUTED_VALUE"""),"PIST-SUV")</f>
        <v>PIST-SUV</v>
      </c>
      <c r="C316" s="2">
        <f>IFERROR(__xludf.DUMMYFUNCTION("""COMPUTED_VALUE"""),2.0)</f>
        <v>2</v>
      </c>
      <c r="D316" s="2">
        <f>IFERROR(__xludf.DUMMYFUNCTION("""COMPUTED_VALUE"""),0.0)</f>
        <v>0</v>
      </c>
      <c r="E316" s="2">
        <f>IFERROR(__xludf.DUMMYFUNCTION("""COMPUTED_VALUE"""),0.0)</f>
        <v>0</v>
      </c>
      <c r="F316" s="2">
        <f>IFERROR(__xludf.DUMMYFUNCTION("""COMPUTED_VALUE"""),0.0)</f>
        <v>0</v>
      </c>
      <c r="G316" s="2">
        <f>IFERROR(__xludf.DUMMYFUNCTION("""COMPUTED_VALUE"""),0.0)</f>
        <v>0</v>
      </c>
      <c r="H316" s="2">
        <f>IFERROR(__xludf.DUMMYFUNCTION("""COMPUTED_VALUE"""),2.0)</f>
        <v>2</v>
      </c>
    </row>
    <row r="317" ht="22.5" customHeight="1">
      <c r="A317" s="2" t="str">
        <f>IFERROR(__xludf.DUMMYFUNCTION("""COMPUTED_VALUE"""),"2026-04")</f>
        <v>2026-04</v>
      </c>
      <c r="B317" s="2" t="str">
        <f>IFERROR(__xludf.DUMMYFUNCTION("""COMPUTED_VALUE"""),"PIST-SUV")</f>
        <v>PIST-SUV</v>
      </c>
      <c r="C317" s="2">
        <f>IFERROR(__xludf.DUMMYFUNCTION("""COMPUTED_VALUE"""),2.0)</f>
        <v>2</v>
      </c>
      <c r="D317" s="2">
        <f>IFERROR(__xludf.DUMMYFUNCTION("""COMPUTED_VALUE"""),0.0)</f>
        <v>0</v>
      </c>
      <c r="E317" s="2">
        <f>IFERROR(__xludf.DUMMYFUNCTION("""COMPUTED_VALUE"""),0.0)</f>
        <v>0</v>
      </c>
      <c r="F317" s="2">
        <f>IFERROR(__xludf.DUMMYFUNCTION("""COMPUTED_VALUE"""),0.0)</f>
        <v>0</v>
      </c>
      <c r="G317" s="2">
        <f>IFERROR(__xludf.DUMMYFUNCTION("""COMPUTED_VALUE"""),0.0)</f>
        <v>0</v>
      </c>
      <c r="H317" s="2">
        <f>IFERROR(__xludf.DUMMYFUNCTION("""COMPUTED_VALUE"""),2.0)</f>
        <v>2</v>
      </c>
    </row>
    <row r="318" ht="22.5" customHeight="1">
      <c r="A318" s="2" t="str">
        <f>IFERROR(__xludf.DUMMYFUNCTION("""COMPUTED_VALUE"""),"2026-05")</f>
        <v>2026-05</v>
      </c>
      <c r="B318" s="2" t="str">
        <f>IFERROR(__xludf.DUMMYFUNCTION("""COMPUTED_VALUE"""),"PIST-SUV")</f>
        <v>PIST-SUV</v>
      </c>
      <c r="C318" s="2">
        <f>IFERROR(__xludf.DUMMYFUNCTION("""COMPUTED_VALUE"""),2.0)</f>
        <v>2</v>
      </c>
      <c r="D318" s="2">
        <f>IFERROR(__xludf.DUMMYFUNCTION("""COMPUTED_VALUE"""),0.0)</f>
        <v>0</v>
      </c>
      <c r="E318" s="2">
        <f>IFERROR(__xludf.DUMMYFUNCTION("""COMPUTED_VALUE"""),0.0)</f>
        <v>0</v>
      </c>
      <c r="F318" s="2">
        <f>IFERROR(__xludf.DUMMYFUNCTION("""COMPUTED_VALUE"""),0.0)</f>
        <v>0</v>
      </c>
      <c r="G318" s="2">
        <f>IFERROR(__xludf.DUMMYFUNCTION("""COMPUTED_VALUE"""),0.0)</f>
        <v>0</v>
      </c>
      <c r="H318" s="2">
        <f>IFERROR(__xludf.DUMMYFUNCTION("""COMPUTED_VALUE"""),2.0)</f>
        <v>2</v>
      </c>
    </row>
    <row r="319" ht="22.5" customHeight="1">
      <c r="A319" s="2" t="str">
        <f>IFERROR(__xludf.DUMMYFUNCTION("""COMPUTED_VALUE"""),"2026-06")</f>
        <v>2026-06</v>
      </c>
      <c r="B319" s="2" t="str">
        <f>IFERROR(__xludf.DUMMYFUNCTION("""COMPUTED_VALUE"""),"PIST-SUV")</f>
        <v>PIST-SUV</v>
      </c>
      <c r="C319" s="2">
        <f>IFERROR(__xludf.DUMMYFUNCTION("""COMPUTED_VALUE"""),2.0)</f>
        <v>2</v>
      </c>
      <c r="D319" s="2">
        <f>IFERROR(__xludf.DUMMYFUNCTION("""COMPUTED_VALUE"""),0.0)</f>
        <v>0</v>
      </c>
      <c r="E319" s="2">
        <f>IFERROR(__xludf.DUMMYFUNCTION("""COMPUTED_VALUE"""),0.0)</f>
        <v>0</v>
      </c>
      <c r="F319" s="2">
        <f>IFERROR(__xludf.DUMMYFUNCTION("""COMPUTED_VALUE"""),0.0)</f>
        <v>0</v>
      </c>
      <c r="G319" s="2">
        <f>IFERROR(__xludf.DUMMYFUNCTION("""COMPUTED_VALUE"""),0.0)</f>
        <v>0</v>
      </c>
      <c r="H319" s="2">
        <f>IFERROR(__xludf.DUMMYFUNCTION("""COMPUTED_VALUE"""),2.0)</f>
        <v>2</v>
      </c>
    </row>
    <row r="320" ht="22.5" customHeight="1">
      <c r="A320" s="2" t="str">
        <f>IFERROR(__xludf.DUMMYFUNCTION("""COMPUTED_VALUE"""),"2026-07")</f>
        <v>2026-07</v>
      </c>
      <c r="B320" s="2" t="str">
        <f>IFERROR(__xludf.DUMMYFUNCTION("""COMPUTED_VALUE"""),"PIST-SUV")</f>
        <v>PIST-SUV</v>
      </c>
      <c r="C320" s="2">
        <f>IFERROR(__xludf.DUMMYFUNCTION("""COMPUTED_VALUE"""),2.0)</f>
        <v>2</v>
      </c>
      <c r="D320" s="2">
        <f>IFERROR(__xludf.DUMMYFUNCTION("""COMPUTED_VALUE"""),0.0)</f>
        <v>0</v>
      </c>
      <c r="E320" s="2">
        <f>IFERROR(__xludf.DUMMYFUNCTION("""COMPUTED_VALUE"""),0.0)</f>
        <v>0</v>
      </c>
      <c r="F320" s="2">
        <f>IFERROR(__xludf.DUMMYFUNCTION("""COMPUTED_VALUE"""),0.0)</f>
        <v>0</v>
      </c>
      <c r="G320" s="2">
        <f>IFERROR(__xludf.DUMMYFUNCTION("""COMPUTED_VALUE"""),0.0)</f>
        <v>0</v>
      </c>
      <c r="H320" s="2">
        <f>IFERROR(__xludf.DUMMYFUNCTION("""COMPUTED_VALUE"""),2.0)</f>
        <v>2</v>
      </c>
    </row>
    <row r="321" ht="22.5" customHeight="1">
      <c r="A321" s="2" t="str">
        <f>IFERROR(__xludf.DUMMYFUNCTION("""COMPUTED_VALUE"""),"2026-08")</f>
        <v>2026-08</v>
      </c>
      <c r="B321" s="2" t="str">
        <f>IFERROR(__xludf.DUMMYFUNCTION("""COMPUTED_VALUE"""),"PIST-SUV")</f>
        <v>PIST-SUV</v>
      </c>
      <c r="C321" s="2">
        <f>IFERROR(__xludf.DUMMYFUNCTION("""COMPUTED_VALUE"""),2.0)</f>
        <v>2</v>
      </c>
      <c r="D321" s="2">
        <f>IFERROR(__xludf.DUMMYFUNCTION("""COMPUTED_VALUE"""),0.0)</f>
        <v>0</v>
      </c>
      <c r="E321" s="2">
        <f>IFERROR(__xludf.DUMMYFUNCTION("""COMPUTED_VALUE"""),0.0)</f>
        <v>0</v>
      </c>
      <c r="F321" s="2">
        <f>IFERROR(__xludf.DUMMYFUNCTION("""COMPUTED_VALUE"""),0.0)</f>
        <v>0</v>
      </c>
      <c r="G321" s="2">
        <f>IFERROR(__xludf.DUMMYFUNCTION("""COMPUTED_VALUE"""),0.0)</f>
        <v>0</v>
      </c>
      <c r="H321" s="2">
        <f>IFERROR(__xludf.DUMMYFUNCTION("""COMPUTED_VALUE"""),2.0)</f>
        <v>2</v>
      </c>
    </row>
    <row r="322" ht="22.5" customHeight="1">
      <c r="A322" s="2" t="str">
        <f>IFERROR(__xludf.DUMMYFUNCTION("""COMPUTED_VALUE"""),"2026-09")</f>
        <v>2026-09</v>
      </c>
      <c r="B322" s="2" t="str">
        <f>IFERROR(__xludf.DUMMYFUNCTION("""COMPUTED_VALUE"""),"PIST-SUV")</f>
        <v>PIST-SUV</v>
      </c>
      <c r="C322" s="2">
        <f>IFERROR(__xludf.DUMMYFUNCTION("""COMPUTED_VALUE"""),2.0)</f>
        <v>2</v>
      </c>
      <c r="D322" s="2">
        <f>IFERROR(__xludf.DUMMYFUNCTION("""COMPUTED_VALUE"""),0.0)</f>
        <v>0</v>
      </c>
      <c r="E322" s="2">
        <f>IFERROR(__xludf.DUMMYFUNCTION("""COMPUTED_VALUE"""),0.0)</f>
        <v>0</v>
      </c>
      <c r="F322" s="2">
        <f>IFERROR(__xludf.DUMMYFUNCTION("""COMPUTED_VALUE"""),0.0)</f>
        <v>0</v>
      </c>
      <c r="G322" s="2">
        <f>IFERROR(__xludf.DUMMYFUNCTION("""COMPUTED_VALUE"""),0.0)</f>
        <v>0</v>
      </c>
      <c r="H322" s="2">
        <f>IFERROR(__xludf.DUMMYFUNCTION("""COMPUTED_VALUE"""),2.0)</f>
        <v>2</v>
      </c>
    </row>
    <row r="323" ht="22.5" customHeight="1">
      <c r="A323" s="2" t="str">
        <f>IFERROR(__xludf.DUMMYFUNCTION("""COMPUTED_VALUE"""),"2026-10")</f>
        <v>2026-10</v>
      </c>
      <c r="B323" s="2" t="str">
        <f>IFERROR(__xludf.DUMMYFUNCTION("""COMPUTED_VALUE"""),"PIST-SUV")</f>
        <v>PIST-SUV</v>
      </c>
      <c r="C323" s="2">
        <f>IFERROR(__xludf.DUMMYFUNCTION("""COMPUTED_VALUE"""),2.0)</f>
        <v>2</v>
      </c>
      <c r="D323" s="2">
        <f>IFERROR(__xludf.DUMMYFUNCTION("""COMPUTED_VALUE"""),0.0)</f>
        <v>0</v>
      </c>
      <c r="E323" s="2">
        <f>IFERROR(__xludf.DUMMYFUNCTION("""COMPUTED_VALUE"""),0.0)</f>
        <v>0</v>
      </c>
      <c r="F323" s="2">
        <f>IFERROR(__xludf.DUMMYFUNCTION("""COMPUTED_VALUE"""),0.0)</f>
        <v>0</v>
      </c>
      <c r="G323" s="2">
        <f>IFERROR(__xludf.DUMMYFUNCTION("""COMPUTED_VALUE"""),0.0)</f>
        <v>0</v>
      </c>
      <c r="H323" s="2">
        <f>IFERROR(__xludf.DUMMYFUNCTION("""COMPUTED_VALUE"""),2.0)</f>
        <v>2</v>
      </c>
    </row>
    <row r="324" ht="22.5" customHeight="1">
      <c r="A324" s="2" t="str">
        <f>IFERROR(__xludf.DUMMYFUNCTION("""COMPUTED_VALUE"""),"2026-11")</f>
        <v>2026-11</v>
      </c>
      <c r="B324" s="2" t="str">
        <f>IFERROR(__xludf.DUMMYFUNCTION("""COMPUTED_VALUE"""),"PIST-SUV")</f>
        <v>PIST-SUV</v>
      </c>
      <c r="C324" s="2">
        <f>IFERROR(__xludf.DUMMYFUNCTION("""COMPUTED_VALUE"""),2.0)</f>
        <v>2</v>
      </c>
      <c r="D324" s="2">
        <f>IFERROR(__xludf.DUMMYFUNCTION("""COMPUTED_VALUE"""),0.0)</f>
        <v>0</v>
      </c>
      <c r="E324" s="2">
        <f>IFERROR(__xludf.DUMMYFUNCTION("""COMPUTED_VALUE"""),0.0)</f>
        <v>0</v>
      </c>
      <c r="F324" s="2">
        <f>IFERROR(__xludf.DUMMYFUNCTION("""COMPUTED_VALUE"""),0.0)</f>
        <v>0</v>
      </c>
      <c r="G324" s="2">
        <f>IFERROR(__xludf.DUMMYFUNCTION("""COMPUTED_VALUE"""),0.0)</f>
        <v>0</v>
      </c>
      <c r="H324" s="2">
        <f>IFERROR(__xludf.DUMMYFUNCTION("""COMPUTED_VALUE"""),2.0)</f>
        <v>2</v>
      </c>
    </row>
    <row r="325" ht="22.5" customHeight="1">
      <c r="A325" s="2" t="str">
        <f>IFERROR(__xludf.DUMMYFUNCTION("""COMPUTED_VALUE"""),"2026-12")</f>
        <v>2026-12</v>
      </c>
      <c r="B325" s="2" t="str">
        <f>IFERROR(__xludf.DUMMYFUNCTION("""COMPUTED_VALUE"""),"PIST-SUV")</f>
        <v>PIST-SUV</v>
      </c>
      <c r="C325" s="2">
        <f>IFERROR(__xludf.DUMMYFUNCTION("""COMPUTED_VALUE"""),2.0)</f>
        <v>2</v>
      </c>
      <c r="D325" s="2">
        <f>IFERROR(__xludf.DUMMYFUNCTION("""COMPUTED_VALUE"""),0.0)</f>
        <v>0</v>
      </c>
      <c r="E325" s="2">
        <f>IFERROR(__xludf.DUMMYFUNCTION("""COMPUTED_VALUE"""),0.0)</f>
        <v>0</v>
      </c>
      <c r="F325" s="2">
        <f>IFERROR(__xludf.DUMMYFUNCTION("""COMPUTED_VALUE"""),0.0)</f>
        <v>0</v>
      </c>
      <c r="G325" s="2">
        <f>IFERROR(__xludf.DUMMYFUNCTION("""COMPUTED_VALUE"""),0.0)</f>
        <v>0</v>
      </c>
      <c r="H325" s="2">
        <f>IFERROR(__xludf.DUMMYFUNCTION("""COMPUTED_VALUE"""),2.0)</f>
        <v>2</v>
      </c>
    </row>
    <row r="326" ht="22.5" customHeight="1">
      <c r="A326" s="2" t="str">
        <f>IFERROR(__xludf.DUMMYFUNCTION("""COMPUTED_VALUE"""),"2026-01")</f>
        <v>2026-01</v>
      </c>
      <c r="B326" s="2" t="str">
        <f>IFERROR(__xludf.DUMMYFUNCTION("""COMPUTED_VALUE"""),"PIST-SUV - LX")</f>
        <v>PIST-SUV - LX</v>
      </c>
      <c r="C326" s="2">
        <f>IFERROR(__xludf.DUMMYFUNCTION("""COMPUTED_VALUE"""),130.0)</f>
        <v>130</v>
      </c>
      <c r="D326" s="2">
        <f>IFERROR(__xludf.DUMMYFUNCTION("""COMPUTED_VALUE"""),0.0)</f>
        <v>0</v>
      </c>
      <c r="E326" s="2">
        <f>IFERROR(__xludf.DUMMYFUNCTION("""COMPUTED_VALUE"""),0.0)</f>
        <v>0</v>
      </c>
      <c r="F326" s="2">
        <f>IFERROR(__xludf.DUMMYFUNCTION("""COMPUTED_VALUE"""),0.0)</f>
        <v>0</v>
      </c>
      <c r="G326" s="2">
        <f>IFERROR(__xludf.DUMMYFUNCTION("""COMPUTED_VALUE"""),114.0)</f>
        <v>114</v>
      </c>
      <c r="H326" s="2">
        <f>IFERROR(__xludf.DUMMYFUNCTION("""COMPUTED_VALUE"""),16.0)</f>
        <v>16</v>
      </c>
    </row>
    <row r="327" ht="22.5" customHeight="1">
      <c r="A327" s="2" t="str">
        <f>IFERROR(__xludf.DUMMYFUNCTION("""COMPUTED_VALUE"""),"2026-02")</f>
        <v>2026-02</v>
      </c>
      <c r="B327" s="2" t="str">
        <f>IFERROR(__xludf.DUMMYFUNCTION("""COMPUTED_VALUE"""),"PIST-SUV - LX")</f>
        <v>PIST-SUV - LX</v>
      </c>
      <c r="C327" s="2">
        <f>IFERROR(__xludf.DUMMYFUNCTION("""COMPUTED_VALUE"""),16.0)</f>
        <v>16</v>
      </c>
      <c r="D327" s="2">
        <f>IFERROR(__xludf.DUMMYFUNCTION("""COMPUTED_VALUE"""),0.0)</f>
        <v>0</v>
      </c>
      <c r="E327" s="2">
        <f>IFERROR(__xludf.DUMMYFUNCTION("""COMPUTED_VALUE"""),0.0)</f>
        <v>0</v>
      </c>
      <c r="F327" s="2">
        <f>IFERROR(__xludf.DUMMYFUNCTION("""COMPUTED_VALUE"""),0.0)</f>
        <v>0</v>
      </c>
      <c r="G327" s="2">
        <f>IFERROR(__xludf.DUMMYFUNCTION("""COMPUTED_VALUE"""),12.0)</f>
        <v>12</v>
      </c>
      <c r="H327" s="2">
        <f>IFERROR(__xludf.DUMMYFUNCTION("""COMPUTED_VALUE"""),4.0)</f>
        <v>4</v>
      </c>
    </row>
    <row r="328" ht="22.5" customHeight="1">
      <c r="A328" s="2" t="str">
        <f>IFERROR(__xludf.DUMMYFUNCTION("""COMPUTED_VALUE"""),"2026-03")</f>
        <v>2026-03</v>
      </c>
      <c r="B328" s="2" t="str">
        <f>IFERROR(__xludf.DUMMYFUNCTION("""COMPUTED_VALUE"""),"PIST-SUV - LX")</f>
        <v>PIST-SUV - LX</v>
      </c>
      <c r="C328" s="2">
        <f>IFERROR(__xludf.DUMMYFUNCTION("""COMPUTED_VALUE"""),4.0)</f>
        <v>4</v>
      </c>
      <c r="D328" s="2">
        <f>IFERROR(__xludf.DUMMYFUNCTION("""COMPUTED_VALUE"""),0.0)</f>
        <v>0</v>
      </c>
      <c r="E328" s="2">
        <f>IFERROR(__xludf.DUMMYFUNCTION("""COMPUTED_VALUE"""),0.0)</f>
        <v>0</v>
      </c>
      <c r="F328" s="2">
        <f>IFERROR(__xludf.DUMMYFUNCTION("""COMPUTED_VALUE"""),0.0)</f>
        <v>0</v>
      </c>
      <c r="G328" s="2">
        <f>IFERROR(__xludf.DUMMYFUNCTION("""COMPUTED_VALUE"""),0.0)</f>
        <v>0</v>
      </c>
      <c r="H328" s="2">
        <f>IFERROR(__xludf.DUMMYFUNCTION("""COMPUTED_VALUE"""),4.0)</f>
        <v>4</v>
      </c>
    </row>
    <row r="329" ht="22.5" customHeight="1">
      <c r="A329" s="2" t="str">
        <f>IFERROR(__xludf.DUMMYFUNCTION("""COMPUTED_VALUE"""),"2026-04")</f>
        <v>2026-04</v>
      </c>
      <c r="B329" s="2" t="str">
        <f>IFERROR(__xludf.DUMMYFUNCTION("""COMPUTED_VALUE"""),"PIST-SUV - LX")</f>
        <v>PIST-SUV - LX</v>
      </c>
      <c r="C329" s="2">
        <f>IFERROR(__xludf.DUMMYFUNCTION("""COMPUTED_VALUE"""),4.0)</f>
        <v>4</v>
      </c>
      <c r="D329" s="2">
        <f>IFERROR(__xludf.DUMMYFUNCTION("""COMPUTED_VALUE"""),0.0)</f>
        <v>0</v>
      </c>
      <c r="E329" s="2">
        <f>IFERROR(__xludf.DUMMYFUNCTION("""COMPUTED_VALUE"""),0.0)</f>
        <v>0</v>
      </c>
      <c r="F329" s="2">
        <f>IFERROR(__xludf.DUMMYFUNCTION("""COMPUTED_VALUE"""),0.0)</f>
        <v>0</v>
      </c>
      <c r="G329" s="2">
        <f>IFERROR(__xludf.DUMMYFUNCTION("""COMPUTED_VALUE"""),0.0)</f>
        <v>0</v>
      </c>
      <c r="H329" s="2">
        <f>IFERROR(__xludf.DUMMYFUNCTION("""COMPUTED_VALUE"""),4.0)</f>
        <v>4</v>
      </c>
    </row>
    <row r="330" ht="22.5" customHeight="1">
      <c r="A330" s="2" t="str">
        <f>IFERROR(__xludf.DUMMYFUNCTION("""COMPUTED_VALUE"""),"2026-05")</f>
        <v>2026-05</v>
      </c>
      <c r="B330" s="2" t="str">
        <f>IFERROR(__xludf.DUMMYFUNCTION("""COMPUTED_VALUE"""),"PIST-SUV - LX")</f>
        <v>PIST-SUV - LX</v>
      </c>
      <c r="C330" s="2">
        <f>IFERROR(__xludf.DUMMYFUNCTION("""COMPUTED_VALUE"""),4.0)</f>
        <v>4</v>
      </c>
      <c r="D330" s="2">
        <f>IFERROR(__xludf.DUMMYFUNCTION("""COMPUTED_VALUE"""),0.0)</f>
        <v>0</v>
      </c>
      <c r="E330" s="2">
        <f>IFERROR(__xludf.DUMMYFUNCTION("""COMPUTED_VALUE"""),0.0)</f>
        <v>0</v>
      </c>
      <c r="F330" s="2">
        <f>IFERROR(__xludf.DUMMYFUNCTION("""COMPUTED_VALUE"""),0.0)</f>
        <v>0</v>
      </c>
      <c r="G330" s="2">
        <f>IFERROR(__xludf.DUMMYFUNCTION("""COMPUTED_VALUE"""),0.0)</f>
        <v>0</v>
      </c>
      <c r="H330" s="2">
        <f>IFERROR(__xludf.DUMMYFUNCTION("""COMPUTED_VALUE"""),4.0)</f>
        <v>4</v>
      </c>
    </row>
    <row r="331" ht="22.5" customHeight="1">
      <c r="A331" s="2" t="str">
        <f>IFERROR(__xludf.DUMMYFUNCTION("""COMPUTED_VALUE"""),"2026-06")</f>
        <v>2026-06</v>
      </c>
      <c r="B331" s="2" t="str">
        <f>IFERROR(__xludf.DUMMYFUNCTION("""COMPUTED_VALUE"""),"PIST-SUV - LX")</f>
        <v>PIST-SUV - LX</v>
      </c>
      <c r="C331" s="2">
        <f>IFERROR(__xludf.DUMMYFUNCTION("""COMPUTED_VALUE"""),4.0)</f>
        <v>4</v>
      </c>
      <c r="D331" s="2">
        <f>IFERROR(__xludf.DUMMYFUNCTION("""COMPUTED_VALUE"""),0.0)</f>
        <v>0</v>
      </c>
      <c r="E331" s="2">
        <f>IFERROR(__xludf.DUMMYFUNCTION("""COMPUTED_VALUE"""),0.0)</f>
        <v>0</v>
      </c>
      <c r="F331" s="2">
        <f>IFERROR(__xludf.DUMMYFUNCTION("""COMPUTED_VALUE"""),0.0)</f>
        <v>0</v>
      </c>
      <c r="G331" s="2">
        <f>IFERROR(__xludf.DUMMYFUNCTION("""COMPUTED_VALUE"""),0.0)</f>
        <v>0</v>
      </c>
      <c r="H331" s="2">
        <f>IFERROR(__xludf.DUMMYFUNCTION("""COMPUTED_VALUE"""),4.0)</f>
        <v>4</v>
      </c>
    </row>
    <row r="332" ht="22.5" customHeight="1">
      <c r="A332" s="2" t="str">
        <f>IFERROR(__xludf.DUMMYFUNCTION("""COMPUTED_VALUE"""),"2026-07")</f>
        <v>2026-07</v>
      </c>
      <c r="B332" s="2" t="str">
        <f>IFERROR(__xludf.DUMMYFUNCTION("""COMPUTED_VALUE"""),"PIST-SUV - LX")</f>
        <v>PIST-SUV - LX</v>
      </c>
      <c r="C332" s="2">
        <f>IFERROR(__xludf.DUMMYFUNCTION("""COMPUTED_VALUE"""),4.0)</f>
        <v>4</v>
      </c>
      <c r="D332" s="2">
        <f>IFERROR(__xludf.DUMMYFUNCTION("""COMPUTED_VALUE"""),0.0)</f>
        <v>0</v>
      </c>
      <c r="E332" s="2">
        <f>IFERROR(__xludf.DUMMYFUNCTION("""COMPUTED_VALUE"""),0.0)</f>
        <v>0</v>
      </c>
      <c r="F332" s="2">
        <f>IFERROR(__xludf.DUMMYFUNCTION("""COMPUTED_VALUE"""),0.0)</f>
        <v>0</v>
      </c>
      <c r="G332" s="2">
        <f>IFERROR(__xludf.DUMMYFUNCTION("""COMPUTED_VALUE"""),0.0)</f>
        <v>0</v>
      </c>
      <c r="H332" s="2">
        <f>IFERROR(__xludf.DUMMYFUNCTION("""COMPUTED_VALUE"""),4.0)</f>
        <v>4</v>
      </c>
    </row>
    <row r="333" ht="22.5" customHeight="1">
      <c r="A333" s="2" t="str">
        <f>IFERROR(__xludf.DUMMYFUNCTION("""COMPUTED_VALUE"""),"2026-08")</f>
        <v>2026-08</v>
      </c>
      <c r="B333" s="2" t="str">
        <f>IFERROR(__xludf.DUMMYFUNCTION("""COMPUTED_VALUE"""),"PIST-SUV - LX")</f>
        <v>PIST-SUV - LX</v>
      </c>
      <c r="C333" s="2">
        <f>IFERROR(__xludf.DUMMYFUNCTION("""COMPUTED_VALUE"""),4.0)</f>
        <v>4</v>
      </c>
      <c r="D333" s="2">
        <f>IFERROR(__xludf.DUMMYFUNCTION("""COMPUTED_VALUE"""),0.0)</f>
        <v>0</v>
      </c>
      <c r="E333" s="2">
        <f>IFERROR(__xludf.DUMMYFUNCTION("""COMPUTED_VALUE"""),0.0)</f>
        <v>0</v>
      </c>
      <c r="F333" s="2">
        <f>IFERROR(__xludf.DUMMYFUNCTION("""COMPUTED_VALUE"""),0.0)</f>
        <v>0</v>
      </c>
      <c r="G333" s="2">
        <f>IFERROR(__xludf.DUMMYFUNCTION("""COMPUTED_VALUE"""),0.0)</f>
        <v>0</v>
      </c>
      <c r="H333" s="2">
        <f>IFERROR(__xludf.DUMMYFUNCTION("""COMPUTED_VALUE"""),4.0)</f>
        <v>4</v>
      </c>
    </row>
    <row r="334" ht="22.5" customHeight="1">
      <c r="A334" s="2" t="str">
        <f>IFERROR(__xludf.DUMMYFUNCTION("""COMPUTED_VALUE"""),"2026-09")</f>
        <v>2026-09</v>
      </c>
      <c r="B334" s="2" t="str">
        <f>IFERROR(__xludf.DUMMYFUNCTION("""COMPUTED_VALUE"""),"PIST-SUV - LX")</f>
        <v>PIST-SUV - LX</v>
      </c>
      <c r="C334" s="2">
        <f>IFERROR(__xludf.DUMMYFUNCTION("""COMPUTED_VALUE"""),4.0)</f>
        <v>4</v>
      </c>
      <c r="D334" s="2">
        <f>IFERROR(__xludf.DUMMYFUNCTION("""COMPUTED_VALUE"""),0.0)</f>
        <v>0</v>
      </c>
      <c r="E334" s="2">
        <f>IFERROR(__xludf.DUMMYFUNCTION("""COMPUTED_VALUE"""),0.0)</f>
        <v>0</v>
      </c>
      <c r="F334" s="2">
        <f>IFERROR(__xludf.DUMMYFUNCTION("""COMPUTED_VALUE"""),0.0)</f>
        <v>0</v>
      </c>
      <c r="G334" s="2">
        <f>IFERROR(__xludf.DUMMYFUNCTION("""COMPUTED_VALUE"""),0.0)</f>
        <v>0</v>
      </c>
      <c r="H334" s="2">
        <f>IFERROR(__xludf.DUMMYFUNCTION("""COMPUTED_VALUE"""),4.0)</f>
        <v>4</v>
      </c>
    </row>
    <row r="335" ht="22.5" customHeight="1">
      <c r="A335" s="2" t="str">
        <f>IFERROR(__xludf.DUMMYFUNCTION("""COMPUTED_VALUE"""),"2026-10")</f>
        <v>2026-10</v>
      </c>
      <c r="B335" s="2" t="str">
        <f>IFERROR(__xludf.DUMMYFUNCTION("""COMPUTED_VALUE"""),"PIST-SUV - LX")</f>
        <v>PIST-SUV - LX</v>
      </c>
      <c r="C335" s="2">
        <f>IFERROR(__xludf.DUMMYFUNCTION("""COMPUTED_VALUE"""),4.0)</f>
        <v>4</v>
      </c>
      <c r="D335" s="2">
        <f>IFERROR(__xludf.DUMMYFUNCTION("""COMPUTED_VALUE"""),0.0)</f>
        <v>0</v>
      </c>
      <c r="E335" s="2">
        <f>IFERROR(__xludf.DUMMYFUNCTION("""COMPUTED_VALUE"""),0.0)</f>
        <v>0</v>
      </c>
      <c r="F335" s="2">
        <f>IFERROR(__xludf.DUMMYFUNCTION("""COMPUTED_VALUE"""),0.0)</f>
        <v>0</v>
      </c>
      <c r="G335" s="2">
        <f>IFERROR(__xludf.DUMMYFUNCTION("""COMPUTED_VALUE"""),0.0)</f>
        <v>0</v>
      </c>
      <c r="H335" s="2">
        <f>IFERROR(__xludf.DUMMYFUNCTION("""COMPUTED_VALUE"""),4.0)</f>
        <v>4</v>
      </c>
    </row>
    <row r="336" ht="22.5" customHeight="1">
      <c r="A336" s="2" t="str">
        <f>IFERROR(__xludf.DUMMYFUNCTION("""COMPUTED_VALUE"""),"2026-11")</f>
        <v>2026-11</v>
      </c>
      <c r="B336" s="2" t="str">
        <f>IFERROR(__xludf.DUMMYFUNCTION("""COMPUTED_VALUE"""),"PIST-SUV - LX")</f>
        <v>PIST-SUV - LX</v>
      </c>
      <c r="C336" s="2">
        <f>IFERROR(__xludf.DUMMYFUNCTION("""COMPUTED_VALUE"""),4.0)</f>
        <v>4</v>
      </c>
      <c r="D336" s="2">
        <f>IFERROR(__xludf.DUMMYFUNCTION("""COMPUTED_VALUE"""),0.0)</f>
        <v>0</v>
      </c>
      <c r="E336" s="2">
        <f>IFERROR(__xludf.DUMMYFUNCTION("""COMPUTED_VALUE"""),0.0)</f>
        <v>0</v>
      </c>
      <c r="F336" s="2">
        <f>IFERROR(__xludf.DUMMYFUNCTION("""COMPUTED_VALUE"""),0.0)</f>
        <v>0</v>
      </c>
      <c r="G336" s="2">
        <f>IFERROR(__xludf.DUMMYFUNCTION("""COMPUTED_VALUE"""),0.0)</f>
        <v>0</v>
      </c>
      <c r="H336" s="2">
        <f>IFERROR(__xludf.DUMMYFUNCTION("""COMPUTED_VALUE"""),4.0)</f>
        <v>4</v>
      </c>
    </row>
    <row r="337" ht="22.5" customHeight="1">
      <c r="A337" s="2" t="str">
        <f>IFERROR(__xludf.DUMMYFUNCTION("""COMPUTED_VALUE"""),"2026-12")</f>
        <v>2026-12</v>
      </c>
      <c r="B337" s="2" t="str">
        <f>IFERROR(__xludf.DUMMYFUNCTION("""COMPUTED_VALUE"""),"PIST-SUV - LX")</f>
        <v>PIST-SUV - LX</v>
      </c>
      <c r="C337" s="2">
        <f>IFERROR(__xludf.DUMMYFUNCTION("""COMPUTED_VALUE"""),4.0)</f>
        <v>4</v>
      </c>
      <c r="D337" s="2">
        <f>IFERROR(__xludf.DUMMYFUNCTION("""COMPUTED_VALUE"""),0.0)</f>
        <v>0</v>
      </c>
      <c r="E337" s="2">
        <f>IFERROR(__xludf.DUMMYFUNCTION("""COMPUTED_VALUE"""),0.0)</f>
        <v>0</v>
      </c>
      <c r="F337" s="2">
        <f>IFERROR(__xludf.DUMMYFUNCTION("""COMPUTED_VALUE"""),0.0)</f>
        <v>0</v>
      </c>
      <c r="G337" s="2">
        <f>IFERROR(__xludf.DUMMYFUNCTION("""COMPUTED_VALUE"""),0.0)</f>
        <v>0</v>
      </c>
      <c r="H337" s="2">
        <f>IFERROR(__xludf.DUMMYFUNCTION("""COMPUTED_VALUE"""),4.0)</f>
        <v>4</v>
      </c>
    </row>
    <row r="338" ht="22.5" customHeight="1">
      <c r="A338" s="2" t="str">
        <f>IFERROR(__xludf.DUMMYFUNCTION("""COMPUTED_VALUE"""),"2026-01")</f>
        <v>2026-01</v>
      </c>
      <c r="B338" s="2" t="str">
        <f>IFERROR(__xludf.DUMMYFUNCTION("""COMPUTED_VALUE"""),"SEAT-SD")</f>
        <v>SEAT-SD</v>
      </c>
      <c r="C338" s="2">
        <f>IFERROR(__xludf.DUMMYFUNCTION("""COMPUTED_VALUE"""),255.0)</f>
        <v>255</v>
      </c>
      <c r="D338" s="2">
        <f>IFERROR(__xludf.DUMMYFUNCTION("""COMPUTED_VALUE"""),0.0)</f>
        <v>0</v>
      </c>
      <c r="E338" s="2">
        <f>IFERROR(__xludf.DUMMYFUNCTION("""COMPUTED_VALUE"""),0.0)</f>
        <v>0</v>
      </c>
      <c r="F338" s="2">
        <f>IFERROR(__xludf.DUMMYFUNCTION("""COMPUTED_VALUE"""),0.0)</f>
        <v>0</v>
      </c>
      <c r="G338" s="2">
        <f>IFERROR(__xludf.DUMMYFUNCTION("""COMPUTED_VALUE"""),255.0)</f>
        <v>255</v>
      </c>
      <c r="H338" s="2">
        <f>IFERROR(__xludf.DUMMYFUNCTION("""COMPUTED_VALUE"""),0.0)</f>
        <v>0</v>
      </c>
    </row>
    <row r="339" ht="22.5" customHeight="1">
      <c r="A339" s="2" t="str">
        <f>IFERROR(__xludf.DUMMYFUNCTION("""COMPUTED_VALUE"""),"2026-02")</f>
        <v>2026-02</v>
      </c>
      <c r="B339" s="2" t="str">
        <f>IFERROR(__xludf.DUMMYFUNCTION("""COMPUTED_VALUE"""),"SEAT-SD")</f>
        <v>SEAT-SD</v>
      </c>
      <c r="C339" s="2">
        <f>IFERROR(__xludf.DUMMYFUNCTION("""COMPUTED_VALUE"""),0.0)</f>
        <v>0</v>
      </c>
      <c r="D339" s="2">
        <f>IFERROR(__xludf.DUMMYFUNCTION("""COMPUTED_VALUE"""),0.0)</f>
        <v>0</v>
      </c>
      <c r="E339" s="2">
        <f>IFERROR(__xludf.DUMMYFUNCTION("""COMPUTED_VALUE"""),0.0)</f>
        <v>0</v>
      </c>
      <c r="F339" s="2">
        <f>IFERROR(__xludf.DUMMYFUNCTION("""COMPUTED_VALUE"""),0.0)</f>
        <v>0</v>
      </c>
      <c r="G339" s="2">
        <f>IFERROR(__xludf.DUMMYFUNCTION("""COMPUTED_VALUE"""),0.0)</f>
        <v>0</v>
      </c>
      <c r="H339" s="2">
        <f>IFERROR(__xludf.DUMMYFUNCTION("""COMPUTED_VALUE"""),0.0)</f>
        <v>0</v>
      </c>
    </row>
    <row r="340" ht="22.5" customHeight="1">
      <c r="A340" s="2" t="str">
        <f>IFERROR(__xludf.DUMMYFUNCTION("""COMPUTED_VALUE"""),"2026-03")</f>
        <v>2026-03</v>
      </c>
      <c r="B340" s="2" t="str">
        <f>IFERROR(__xludf.DUMMYFUNCTION("""COMPUTED_VALUE"""),"SEAT-SD")</f>
        <v>SEAT-SD</v>
      </c>
      <c r="C340" s="2">
        <f>IFERROR(__xludf.DUMMYFUNCTION("""COMPUTED_VALUE"""),0.0)</f>
        <v>0</v>
      </c>
      <c r="D340" s="2">
        <f>IFERROR(__xludf.DUMMYFUNCTION("""COMPUTED_VALUE"""),0.0)</f>
        <v>0</v>
      </c>
      <c r="E340" s="2">
        <f>IFERROR(__xludf.DUMMYFUNCTION("""COMPUTED_VALUE"""),0.0)</f>
        <v>0</v>
      </c>
      <c r="F340" s="2">
        <f>IFERROR(__xludf.DUMMYFUNCTION("""COMPUTED_VALUE"""),0.0)</f>
        <v>0</v>
      </c>
      <c r="G340" s="2">
        <f>IFERROR(__xludf.DUMMYFUNCTION("""COMPUTED_VALUE"""),0.0)</f>
        <v>0</v>
      </c>
      <c r="H340" s="2">
        <f>IFERROR(__xludf.DUMMYFUNCTION("""COMPUTED_VALUE"""),0.0)</f>
        <v>0</v>
      </c>
    </row>
    <row r="341" ht="22.5" customHeight="1">
      <c r="A341" s="2" t="str">
        <f>IFERROR(__xludf.DUMMYFUNCTION("""COMPUTED_VALUE"""),"2026-04")</f>
        <v>2026-04</v>
      </c>
      <c r="B341" s="2" t="str">
        <f>IFERROR(__xludf.DUMMYFUNCTION("""COMPUTED_VALUE"""),"SEAT-SD")</f>
        <v>SEAT-SD</v>
      </c>
      <c r="C341" s="2">
        <f>IFERROR(__xludf.DUMMYFUNCTION("""COMPUTED_VALUE"""),0.0)</f>
        <v>0</v>
      </c>
      <c r="D341" s="2">
        <f>IFERROR(__xludf.DUMMYFUNCTION("""COMPUTED_VALUE"""),0.0)</f>
        <v>0</v>
      </c>
      <c r="E341" s="2">
        <f>IFERROR(__xludf.DUMMYFUNCTION("""COMPUTED_VALUE"""),0.0)</f>
        <v>0</v>
      </c>
      <c r="F341" s="2">
        <f>IFERROR(__xludf.DUMMYFUNCTION("""COMPUTED_VALUE"""),0.0)</f>
        <v>0</v>
      </c>
      <c r="G341" s="2">
        <f>IFERROR(__xludf.DUMMYFUNCTION("""COMPUTED_VALUE"""),0.0)</f>
        <v>0</v>
      </c>
      <c r="H341" s="2">
        <f>IFERROR(__xludf.DUMMYFUNCTION("""COMPUTED_VALUE"""),0.0)</f>
        <v>0</v>
      </c>
    </row>
    <row r="342" ht="22.5" customHeight="1">
      <c r="A342" s="2" t="str">
        <f>IFERROR(__xludf.DUMMYFUNCTION("""COMPUTED_VALUE"""),"2026-05")</f>
        <v>2026-05</v>
      </c>
      <c r="B342" s="2" t="str">
        <f>IFERROR(__xludf.DUMMYFUNCTION("""COMPUTED_VALUE"""),"SEAT-SD")</f>
        <v>SEAT-SD</v>
      </c>
      <c r="C342" s="2">
        <f>IFERROR(__xludf.DUMMYFUNCTION("""COMPUTED_VALUE"""),0.0)</f>
        <v>0</v>
      </c>
      <c r="D342" s="2">
        <f>IFERROR(__xludf.DUMMYFUNCTION("""COMPUTED_VALUE"""),0.0)</f>
        <v>0</v>
      </c>
      <c r="E342" s="2">
        <f>IFERROR(__xludf.DUMMYFUNCTION("""COMPUTED_VALUE"""),0.0)</f>
        <v>0</v>
      </c>
      <c r="F342" s="2">
        <f>IFERROR(__xludf.DUMMYFUNCTION("""COMPUTED_VALUE"""),0.0)</f>
        <v>0</v>
      </c>
      <c r="G342" s="2">
        <f>IFERROR(__xludf.DUMMYFUNCTION("""COMPUTED_VALUE"""),0.0)</f>
        <v>0</v>
      </c>
      <c r="H342" s="2">
        <f>IFERROR(__xludf.DUMMYFUNCTION("""COMPUTED_VALUE"""),0.0)</f>
        <v>0</v>
      </c>
    </row>
    <row r="343" ht="22.5" customHeight="1">
      <c r="A343" s="2" t="str">
        <f>IFERROR(__xludf.DUMMYFUNCTION("""COMPUTED_VALUE"""),"2026-06")</f>
        <v>2026-06</v>
      </c>
      <c r="B343" s="2" t="str">
        <f>IFERROR(__xludf.DUMMYFUNCTION("""COMPUTED_VALUE"""),"SEAT-SD")</f>
        <v>SEAT-SD</v>
      </c>
      <c r="C343" s="2">
        <f>IFERROR(__xludf.DUMMYFUNCTION("""COMPUTED_VALUE"""),0.0)</f>
        <v>0</v>
      </c>
      <c r="D343" s="2">
        <f>IFERROR(__xludf.DUMMYFUNCTION("""COMPUTED_VALUE"""),0.0)</f>
        <v>0</v>
      </c>
      <c r="E343" s="2">
        <f>IFERROR(__xludf.DUMMYFUNCTION("""COMPUTED_VALUE"""),0.0)</f>
        <v>0</v>
      </c>
      <c r="F343" s="2">
        <f>IFERROR(__xludf.DUMMYFUNCTION("""COMPUTED_VALUE"""),0.0)</f>
        <v>0</v>
      </c>
      <c r="G343" s="2">
        <f>IFERROR(__xludf.DUMMYFUNCTION("""COMPUTED_VALUE"""),0.0)</f>
        <v>0</v>
      </c>
      <c r="H343" s="2">
        <f>IFERROR(__xludf.DUMMYFUNCTION("""COMPUTED_VALUE"""),0.0)</f>
        <v>0</v>
      </c>
    </row>
    <row r="344" ht="22.5" customHeight="1">
      <c r="A344" s="2" t="str">
        <f>IFERROR(__xludf.DUMMYFUNCTION("""COMPUTED_VALUE"""),"2026-07")</f>
        <v>2026-07</v>
      </c>
      <c r="B344" s="2" t="str">
        <f>IFERROR(__xludf.DUMMYFUNCTION("""COMPUTED_VALUE"""),"SEAT-SD")</f>
        <v>SEAT-SD</v>
      </c>
      <c r="C344" s="2">
        <f>IFERROR(__xludf.DUMMYFUNCTION("""COMPUTED_VALUE"""),0.0)</f>
        <v>0</v>
      </c>
      <c r="D344" s="2">
        <f>IFERROR(__xludf.DUMMYFUNCTION("""COMPUTED_VALUE"""),0.0)</f>
        <v>0</v>
      </c>
      <c r="E344" s="2">
        <f>IFERROR(__xludf.DUMMYFUNCTION("""COMPUTED_VALUE"""),0.0)</f>
        <v>0</v>
      </c>
      <c r="F344" s="2">
        <f>IFERROR(__xludf.DUMMYFUNCTION("""COMPUTED_VALUE"""),0.0)</f>
        <v>0</v>
      </c>
      <c r="G344" s="2">
        <f>IFERROR(__xludf.DUMMYFUNCTION("""COMPUTED_VALUE"""),0.0)</f>
        <v>0</v>
      </c>
      <c r="H344" s="2">
        <f>IFERROR(__xludf.DUMMYFUNCTION("""COMPUTED_VALUE"""),0.0)</f>
        <v>0</v>
      </c>
    </row>
    <row r="345" ht="22.5" customHeight="1">
      <c r="A345" s="2" t="str">
        <f>IFERROR(__xludf.DUMMYFUNCTION("""COMPUTED_VALUE"""),"2026-08")</f>
        <v>2026-08</v>
      </c>
      <c r="B345" s="2" t="str">
        <f>IFERROR(__xludf.DUMMYFUNCTION("""COMPUTED_VALUE"""),"SEAT-SD")</f>
        <v>SEAT-SD</v>
      </c>
      <c r="C345" s="2">
        <f>IFERROR(__xludf.DUMMYFUNCTION("""COMPUTED_VALUE"""),0.0)</f>
        <v>0</v>
      </c>
      <c r="D345" s="2">
        <f>IFERROR(__xludf.DUMMYFUNCTION("""COMPUTED_VALUE"""),0.0)</f>
        <v>0</v>
      </c>
      <c r="E345" s="2">
        <f>IFERROR(__xludf.DUMMYFUNCTION("""COMPUTED_VALUE"""),0.0)</f>
        <v>0</v>
      </c>
      <c r="F345" s="2">
        <f>IFERROR(__xludf.DUMMYFUNCTION("""COMPUTED_VALUE"""),0.0)</f>
        <v>0</v>
      </c>
      <c r="G345" s="2">
        <f>IFERROR(__xludf.DUMMYFUNCTION("""COMPUTED_VALUE"""),0.0)</f>
        <v>0</v>
      </c>
      <c r="H345" s="2">
        <f>IFERROR(__xludf.DUMMYFUNCTION("""COMPUTED_VALUE"""),0.0)</f>
        <v>0</v>
      </c>
    </row>
    <row r="346" ht="22.5" customHeight="1">
      <c r="A346" s="2" t="str">
        <f>IFERROR(__xludf.DUMMYFUNCTION("""COMPUTED_VALUE"""),"2026-09")</f>
        <v>2026-09</v>
      </c>
      <c r="B346" s="2" t="str">
        <f>IFERROR(__xludf.DUMMYFUNCTION("""COMPUTED_VALUE"""),"SEAT-SD")</f>
        <v>SEAT-SD</v>
      </c>
      <c r="C346" s="2">
        <f>IFERROR(__xludf.DUMMYFUNCTION("""COMPUTED_VALUE"""),0.0)</f>
        <v>0</v>
      </c>
      <c r="D346" s="2">
        <f>IFERROR(__xludf.DUMMYFUNCTION("""COMPUTED_VALUE"""),0.0)</f>
        <v>0</v>
      </c>
      <c r="E346" s="2">
        <f>IFERROR(__xludf.DUMMYFUNCTION("""COMPUTED_VALUE"""),0.0)</f>
        <v>0</v>
      </c>
      <c r="F346" s="2">
        <f>IFERROR(__xludf.DUMMYFUNCTION("""COMPUTED_VALUE"""),0.0)</f>
        <v>0</v>
      </c>
      <c r="G346" s="2">
        <f>IFERROR(__xludf.DUMMYFUNCTION("""COMPUTED_VALUE"""),0.0)</f>
        <v>0</v>
      </c>
      <c r="H346" s="2">
        <f>IFERROR(__xludf.DUMMYFUNCTION("""COMPUTED_VALUE"""),0.0)</f>
        <v>0</v>
      </c>
    </row>
    <row r="347" ht="22.5" customHeight="1">
      <c r="A347" s="2" t="str">
        <f>IFERROR(__xludf.DUMMYFUNCTION("""COMPUTED_VALUE"""),"2026-10")</f>
        <v>2026-10</v>
      </c>
      <c r="B347" s="2" t="str">
        <f>IFERROR(__xludf.DUMMYFUNCTION("""COMPUTED_VALUE"""),"SEAT-SD")</f>
        <v>SEAT-SD</v>
      </c>
      <c r="C347" s="2">
        <f>IFERROR(__xludf.DUMMYFUNCTION("""COMPUTED_VALUE"""),0.0)</f>
        <v>0</v>
      </c>
      <c r="D347" s="2">
        <f>IFERROR(__xludf.DUMMYFUNCTION("""COMPUTED_VALUE"""),0.0)</f>
        <v>0</v>
      </c>
      <c r="E347" s="2">
        <f>IFERROR(__xludf.DUMMYFUNCTION("""COMPUTED_VALUE"""),0.0)</f>
        <v>0</v>
      </c>
      <c r="F347" s="2">
        <f>IFERROR(__xludf.DUMMYFUNCTION("""COMPUTED_VALUE"""),0.0)</f>
        <v>0</v>
      </c>
      <c r="G347" s="2">
        <f>IFERROR(__xludf.DUMMYFUNCTION("""COMPUTED_VALUE"""),0.0)</f>
        <v>0</v>
      </c>
      <c r="H347" s="2">
        <f>IFERROR(__xludf.DUMMYFUNCTION("""COMPUTED_VALUE"""),0.0)</f>
        <v>0</v>
      </c>
    </row>
    <row r="348" ht="22.5" customHeight="1">
      <c r="A348" s="2" t="str">
        <f>IFERROR(__xludf.DUMMYFUNCTION("""COMPUTED_VALUE"""),"2026-11")</f>
        <v>2026-11</v>
      </c>
      <c r="B348" s="2" t="str">
        <f>IFERROR(__xludf.DUMMYFUNCTION("""COMPUTED_VALUE"""),"SEAT-SD")</f>
        <v>SEAT-SD</v>
      </c>
      <c r="C348" s="2">
        <f>IFERROR(__xludf.DUMMYFUNCTION("""COMPUTED_VALUE"""),0.0)</f>
        <v>0</v>
      </c>
      <c r="D348" s="2">
        <f>IFERROR(__xludf.DUMMYFUNCTION("""COMPUTED_VALUE"""),0.0)</f>
        <v>0</v>
      </c>
      <c r="E348" s="2">
        <f>IFERROR(__xludf.DUMMYFUNCTION("""COMPUTED_VALUE"""),0.0)</f>
        <v>0</v>
      </c>
      <c r="F348" s="2">
        <f>IFERROR(__xludf.DUMMYFUNCTION("""COMPUTED_VALUE"""),0.0)</f>
        <v>0</v>
      </c>
      <c r="G348" s="2">
        <f>IFERROR(__xludf.DUMMYFUNCTION("""COMPUTED_VALUE"""),0.0)</f>
        <v>0</v>
      </c>
      <c r="H348" s="2">
        <f>IFERROR(__xludf.DUMMYFUNCTION("""COMPUTED_VALUE"""),0.0)</f>
        <v>0</v>
      </c>
    </row>
    <row r="349" ht="22.5" customHeight="1">
      <c r="A349" s="2" t="str">
        <f>IFERROR(__xludf.DUMMYFUNCTION("""COMPUTED_VALUE"""),"2026-12")</f>
        <v>2026-12</v>
      </c>
      <c r="B349" s="2" t="str">
        <f>IFERROR(__xludf.DUMMYFUNCTION("""COMPUTED_VALUE"""),"SEAT-SD")</f>
        <v>SEAT-SD</v>
      </c>
      <c r="C349" s="2">
        <f>IFERROR(__xludf.DUMMYFUNCTION("""COMPUTED_VALUE"""),0.0)</f>
        <v>0</v>
      </c>
      <c r="D349" s="2">
        <f>IFERROR(__xludf.DUMMYFUNCTION("""COMPUTED_VALUE"""),0.0)</f>
        <v>0</v>
      </c>
      <c r="E349" s="2">
        <f>IFERROR(__xludf.DUMMYFUNCTION("""COMPUTED_VALUE"""),0.0)</f>
        <v>0</v>
      </c>
      <c r="F349" s="2">
        <f>IFERROR(__xludf.DUMMYFUNCTION("""COMPUTED_VALUE"""),0.0)</f>
        <v>0</v>
      </c>
      <c r="G349" s="2">
        <f>IFERROR(__xludf.DUMMYFUNCTION("""COMPUTED_VALUE"""),0.0)</f>
        <v>0</v>
      </c>
      <c r="H349" s="2">
        <f>IFERROR(__xludf.DUMMYFUNCTION("""COMPUTED_VALUE"""),0.0)</f>
        <v>0</v>
      </c>
    </row>
    <row r="350" ht="22.5" customHeight="1">
      <c r="A350" s="2" t="str">
        <f>IFERROR(__xludf.DUMMYFUNCTION("""COMPUTED_VALUE"""),"2026-01")</f>
        <v>2026-01</v>
      </c>
      <c r="B350" s="2" t="str">
        <f>IFERROR(__xludf.DUMMYFUNCTION("""COMPUTED_VALUE"""),"SEAT-SD - LX")</f>
        <v>SEAT-SD - LX</v>
      </c>
      <c r="C350" s="2">
        <f>IFERROR(__xludf.DUMMYFUNCTION("""COMPUTED_VALUE"""),770.0)</f>
        <v>770</v>
      </c>
      <c r="D350" s="2">
        <f>IFERROR(__xludf.DUMMYFUNCTION("""COMPUTED_VALUE"""),0.0)</f>
        <v>0</v>
      </c>
      <c r="E350" s="2">
        <f>IFERROR(__xludf.DUMMYFUNCTION("""COMPUTED_VALUE"""),0.0)</f>
        <v>0</v>
      </c>
      <c r="F350" s="2">
        <f>IFERROR(__xludf.DUMMYFUNCTION("""COMPUTED_VALUE"""),0.0)</f>
        <v>0</v>
      </c>
      <c r="G350" s="2">
        <f>IFERROR(__xludf.DUMMYFUNCTION("""COMPUTED_VALUE"""),770.0)</f>
        <v>770</v>
      </c>
      <c r="H350" s="2">
        <f>IFERROR(__xludf.DUMMYFUNCTION("""COMPUTED_VALUE"""),0.0)</f>
        <v>0</v>
      </c>
    </row>
    <row r="351" ht="22.5" customHeight="1">
      <c r="A351" s="2" t="str">
        <f>IFERROR(__xludf.DUMMYFUNCTION("""COMPUTED_VALUE"""),"2026-02")</f>
        <v>2026-02</v>
      </c>
      <c r="B351" s="2" t="str">
        <f>IFERROR(__xludf.DUMMYFUNCTION("""COMPUTED_VALUE"""),"SEAT-SD - LX")</f>
        <v>SEAT-SD - LX</v>
      </c>
      <c r="C351" s="2">
        <f>IFERROR(__xludf.DUMMYFUNCTION("""COMPUTED_VALUE"""),0.0)</f>
        <v>0</v>
      </c>
      <c r="D351" s="2">
        <f>IFERROR(__xludf.DUMMYFUNCTION("""COMPUTED_VALUE"""),0.0)</f>
        <v>0</v>
      </c>
      <c r="E351" s="2">
        <f>IFERROR(__xludf.DUMMYFUNCTION("""COMPUTED_VALUE"""),0.0)</f>
        <v>0</v>
      </c>
      <c r="F351" s="2">
        <f>IFERROR(__xludf.DUMMYFUNCTION("""COMPUTED_VALUE"""),0.0)</f>
        <v>0</v>
      </c>
      <c r="G351" s="2">
        <f>IFERROR(__xludf.DUMMYFUNCTION("""COMPUTED_VALUE"""),0.0)</f>
        <v>0</v>
      </c>
      <c r="H351" s="2">
        <f>IFERROR(__xludf.DUMMYFUNCTION("""COMPUTED_VALUE"""),0.0)</f>
        <v>0</v>
      </c>
    </row>
    <row r="352" ht="22.5" customHeight="1">
      <c r="A352" s="2" t="str">
        <f>IFERROR(__xludf.DUMMYFUNCTION("""COMPUTED_VALUE"""),"2026-03")</f>
        <v>2026-03</v>
      </c>
      <c r="B352" s="2" t="str">
        <f>IFERROR(__xludf.DUMMYFUNCTION("""COMPUTED_VALUE"""),"SEAT-SD - LX")</f>
        <v>SEAT-SD - LX</v>
      </c>
      <c r="C352" s="2">
        <f>IFERROR(__xludf.DUMMYFUNCTION("""COMPUTED_VALUE"""),0.0)</f>
        <v>0</v>
      </c>
      <c r="D352" s="2">
        <f>IFERROR(__xludf.DUMMYFUNCTION("""COMPUTED_VALUE"""),0.0)</f>
        <v>0</v>
      </c>
      <c r="E352" s="2">
        <f>IFERROR(__xludf.DUMMYFUNCTION("""COMPUTED_VALUE"""),0.0)</f>
        <v>0</v>
      </c>
      <c r="F352" s="2">
        <f>IFERROR(__xludf.DUMMYFUNCTION("""COMPUTED_VALUE"""),0.0)</f>
        <v>0</v>
      </c>
      <c r="G352" s="2">
        <f>IFERROR(__xludf.DUMMYFUNCTION("""COMPUTED_VALUE"""),0.0)</f>
        <v>0</v>
      </c>
      <c r="H352" s="2">
        <f>IFERROR(__xludf.DUMMYFUNCTION("""COMPUTED_VALUE"""),0.0)</f>
        <v>0</v>
      </c>
    </row>
    <row r="353" ht="22.5" customHeight="1">
      <c r="A353" s="2" t="str">
        <f>IFERROR(__xludf.DUMMYFUNCTION("""COMPUTED_VALUE"""),"2026-04")</f>
        <v>2026-04</v>
      </c>
      <c r="B353" s="2" t="str">
        <f>IFERROR(__xludf.DUMMYFUNCTION("""COMPUTED_VALUE"""),"SEAT-SD - LX")</f>
        <v>SEAT-SD - LX</v>
      </c>
      <c r="C353" s="2">
        <f>IFERROR(__xludf.DUMMYFUNCTION("""COMPUTED_VALUE"""),0.0)</f>
        <v>0</v>
      </c>
      <c r="D353" s="2">
        <f>IFERROR(__xludf.DUMMYFUNCTION("""COMPUTED_VALUE"""),0.0)</f>
        <v>0</v>
      </c>
      <c r="E353" s="2">
        <f>IFERROR(__xludf.DUMMYFUNCTION("""COMPUTED_VALUE"""),0.0)</f>
        <v>0</v>
      </c>
      <c r="F353" s="2">
        <f>IFERROR(__xludf.DUMMYFUNCTION("""COMPUTED_VALUE"""),0.0)</f>
        <v>0</v>
      </c>
      <c r="G353" s="2">
        <f>IFERROR(__xludf.DUMMYFUNCTION("""COMPUTED_VALUE"""),0.0)</f>
        <v>0</v>
      </c>
      <c r="H353" s="2">
        <f>IFERROR(__xludf.DUMMYFUNCTION("""COMPUTED_VALUE"""),0.0)</f>
        <v>0</v>
      </c>
    </row>
    <row r="354" ht="22.5" customHeight="1">
      <c r="A354" s="2" t="str">
        <f>IFERROR(__xludf.DUMMYFUNCTION("""COMPUTED_VALUE"""),"2026-05")</f>
        <v>2026-05</v>
      </c>
      <c r="B354" s="2" t="str">
        <f>IFERROR(__xludf.DUMMYFUNCTION("""COMPUTED_VALUE"""),"SEAT-SD - LX")</f>
        <v>SEAT-SD - LX</v>
      </c>
      <c r="C354" s="2">
        <f>IFERROR(__xludf.DUMMYFUNCTION("""COMPUTED_VALUE"""),0.0)</f>
        <v>0</v>
      </c>
      <c r="D354" s="2">
        <f>IFERROR(__xludf.DUMMYFUNCTION("""COMPUTED_VALUE"""),0.0)</f>
        <v>0</v>
      </c>
      <c r="E354" s="2">
        <f>IFERROR(__xludf.DUMMYFUNCTION("""COMPUTED_VALUE"""),0.0)</f>
        <v>0</v>
      </c>
      <c r="F354" s="2">
        <f>IFERROR(__xludf.DUMMYFUNCTION("""COMPUTED_VALUE"""),0.0)</f>
        <v>0</v>
      </c>
      <c r="G354" s="2">
        <f>IFERROR(__xludf.DUMMYFUNCTION("""COMPUTED_VALUE"""),0.0)</f>
        <v>0</v>
      </c>
      <c r="H354" s="2">
        <f>IFERROR(__xludf.DUMMYFUNCTION("""COMPUTED_VALUE"""),0.0)</f>
        <v>0</v>
      </c>
    </row>
    <row r="355" ht="22.5" customHeight="1">
      <c r="A355" s="2" t="str">
        <f>IFERROR(__xludf.DUMMYFUNCTION("""COMPUTED_VALUE"""),"2026-06")</f>
        <v>2026-06</v>
      </c>
      <c r="B355" s="2" t="str">
        <f>IFERROR(__xludf.DUMMYFUNCTION("""COMPUTED_VALUE"""),"SEAT-SD - LX")</f>
        <v>SEAT-SD - LX</v>
      </c>
      <c r="C355" s="2">
        <f>IFERROR(__xludf.DUMMYFUNCTION("""COMPUTED_VALUE"""),0.0)</f>
        <v>0</v>
      </c>
      <c r="D355" s="2">
        <f>IFERROR(__xludf.DUMMYFUNCTION("""COMPUTED_VALUE"""),0.0)</f>
        <v>0</v>
      </c>
      <c r="E355" s="2">
        <f>IFERROR(__xludf.DUMMYFUNCTION("""COMPUTED_VALUE"""),0.0)</f>
        <v>0</v>
      </c>
      <c r="F355" s="2">
        <f>IFERROR(__xludf.DUMMYFUNCTION("""COMPUTED_VALUE"""),0.0)</f>
        <v>0</v>
      </c>
      <c r="G355" s="2">
        <f>IFERROR(__xludf.DUMMYFUNCTION("""COMPUTED_VALUE"""),0.0)</f>
        <v>0</v>
      </c>
      <c r="H355" s="2">
        <f>IFERROR(__xludf.DUMMYFUNCTION("""COMPUTED_VALUE"""),0.0)</f>
        <v>0</v>
      </c>
    </row>
    <row r="356" ht="22.5" customHeight="1">
      <c r="A356" s="2" t="str">
        <f>IFERROR(__xludf.DUMMYFUNCTION("""COMPUTED_VALUE"""),"2026-07")</f>
        <v>2026-07</v>
      </c>
      <c r="B356" s="2" t="str">
        <f>IFERROR(__xludf.DUMMYFUNCTION("""COMPUTED_VALUE"""),"SEAT-SD - LX")</f>
        <v>SEAT-SD - LX</v>
      </c>
      <c r="C356" s="2">
        <f>IFERROR(__xludf.DUMMYFUNCTION("""COMPUTED_VALUE"""),0.0)</f>
        <v>0</v>
      </c>
      <c r="D356" s="2">
        <f>IFERROR(__xludf.DUMMYFUNCTION("""COMPUTED_VALUE"""),0.0)</f>
        <v>0</v>
      </c>
      <c r="E356" s="2">
        <f>IFERROR(__xludf.DUMMYFUNCTION("""COMPUTED_VALUE"""),0.0)</f>
        <v>0</v>
      </c>
      <c r="F356" s="2">
        <f>IFERROR(__xludf.DUMMYFUNCTION("""COMPUTED_VALUE"""),0.0)</f>
        <v>0</v>
      </c>
      <c r="G356" s="2">
        <f>IFERROR(__xludf.DUMMYFUNCTION("""COMPUTED_VALUE"""),0.0)</f>
        <v>0</v>
      </c>
      <c r="H356" s="2">
        <f>IFERROR(__xludf.DUMMYFUNCTION("""COMPUTED_VALUE"""),0.0)</f>
        <v>0</v>
      </c>
    </row>
    <row r="357" ht="22.5" customHeight="1">
      <c r="A357" s="2" t="str">
        <f>IFERROR(__xludf.DUMMYFUNCTION("""COMPUTED_VALUE"""),"2026-08")</f>
        <v>2026-08</v>
      </c>
      <c r="B357" s="2" t="str">
        <f>IFERROR(__xludf.DUMMYFUNCTION("""COMPUTED_VALUE"""),"SEAT-SD - LX")</f>
        <v>SEAT-SD - LX</v>
      </c>
      <c r="C357" s="2">
        <f>IFERROR(__xludf.DUMMYFUNCTION("""COMPUTED_VALUE"""),0.0)</f>
        <v>0</v>
      </c>
      <c r="D357" s="2">
        <f>IFERROR(__xludf.DUMMYFUNCTION("""COMPUTED_VALUE"""),0.0)</f>
        <v>0</v>
      </c>
      <c r="E357" s="2">
        <f>IFERROR(__xludf.DUMMYFUNCTION("""COMPUTED_VALUE"""),0.0)</f>
        <v>0</v>
      </c>
      <c r="F357" s="2">
        <f>IFERROR(__xludf.DUMMYFUNCTION("""COMPUTED_VALUE"""),0.0)</f>
        <v>0</v>
      </c>
      <c r="G357" s="2">
        <f>IFERROR(__xludf.DUMMYFUNCTION("""COMPUTED_VALUE"""),0.0)</f>
        <v>0</v>
      </c>
      <c r="H357" s="2">
        <f>IFERROR(__xludf.DUMMYFUNCTION("""COMPUTED_VALUE"""),0.0)</f>
        <v>0</v>
      </c>
    </row>
    <row r="358" ht="22.5" customHeight="1">
      <c r="A358" s="2" t="str">
        <f>IFERROR(__xludf.DUMMYFUNCTION("""COMPUTED_VALUE"""),"2026-09")</f>
        <v>2026-09</v>
      </c>
      <c r="B358" s="2" t="str">
        <f>IFERROR(__xludf.DUMMYFUNCTION("""COMPUTED_VALUE"""),"SEAT-SD - LX")</f>
        <v>SEAT-SD - LX</v>
      </c>
      <c r="C358" s="2">
        <f>IFERROR(__xludf.DUMMYFUNCTION("""COMPUTED_VALUE"""),0.0)</f>
        <v>0</v>
      </c>
      <c r="D358" s="2">
        <f>IFERROR(__xludf.DUMMYFUNCTION("""COMPUTED_VALUE"""),0.0)</f>
        <v>0</v>
      </c>
      <c r="E358" s="2">
        <f>IFERROR(__xludf.DUMMYFUNCTION("""COMPUTED_VALUE"""),0.0)</f>
        <v>0</v>
      </c>
      <c r="F358" s="2">
        <f>IFERROR(__xludf.DUMMYFUNCTION("""COMPUTED_VALUE"""),0.0)</f>
        <v>0</v>
      </c>
      <c r="G358" s="2">
        <f>IFERROR(__xludf.DUMMYFUNCTION("""COMPUTED_VALUE"""),0.0)</f>
        <v>0</v>
      </c>
      <c r="H358" s="2">
        <f>IFERROR(__xludf.DUMMYFUNCTION("""COMPUTED_VALUE"""),0.0)</f>
        <v>0</v>
      </c>
    </row>
    <row r="359" ht="22.5" customHeight="1">
      <c r="A359" s="2" t="str">
        <f>IFERROR(__xludf.DUMMYFUNCTION("""COMPUTED_VALUE"""),"2026-10")</f>
        <v>2026-10</v>
      </c>
      <c r="B359" s="2" t="str">
        <f>IFERROR(__xludf.DUMMYFUNCTION("""COMPUTED_VALUE"""),"SEAT-SD - LX")</f>
        <v>SEAT-SD - LX</v>
      </c>
      <c r="C359" s="2">
        <f>IFERROR(__xludf.DUMMYFUNCTION("""COMPUTED_VALUE"""),0.0)</f>
        <v>0</v>
      </c>
      <c r="D359" s="2">
        <f>IFERROR(__xludf.DUMMYFUNCTION("""COMPUTED_VALUE"""),0.0)</f>
        <v>0</v>
      </c>
      <c r="E359" s="2">
        <f>IFERROR(__xludf.DUMMYFUNCTION("""COMPUTED_VALUE"""),0.0)</f>
        <v>0</v>
      </c>
      <c r="F359" s="2">
        <f>IFERROR(__xludf.DUMMYFUNCTION("""COMPUTED_VALUE"""),0.0)</f>
        <v>0</v>
      </c>
      <c r="G359" s="2">
        <f>IFERROR(__xludf.DUMMYFUNCTION("""COMPUTED_VALUE"""),0.0)</f>
        <v>0</v>
      </c>
      <c r="H359" s="2">
        <f>IFERROR(__xludf.DUMMYFUNCTION("""COMPUTED_VALUE"""),0.0)</f>
        <v>0</v>
      </c>
    </row>
    <row r="360" ht="22.5" customHeight="1">
      <c r="A360" s="2" t="str">
        <f>IFERROR(__xludf.DUMMYFUNCTION("""COMPUTED_VALUE"""),"2026-11")</f>
        <v>2026-11</v>
      </c>
      <c r="B360" s="2" t="str">
        <f>IFERROR(__xludf.DUMMYFUNCTION("""COMPUTED_VALUE"""),"SEAT-SD - LX")</f>
        <v>SEAT-SD - LX</v>
      </c>
      <c r="C360" s="2">
        <f>IFERROR(__xludf.DUMMYFUNCTION("""COMPUTED_VALUE"""),0.0)</f>
        <v>0</v>
      </c>
      <c r="D360" s="2">
        <f>IFERROR(__xludf.DUMMYFUNCTION("""COMPUTED_VALUE"""),0.0)</f>
        <v>0</v>
      </c>
      <c r="E360" s="2">
        <f>IFERROR(__xludf.DUMMYFUNCTION("""COMPUTED_VALUE"""),0.0)</f>
        <v>0</v>
      </c>
      <c r="F360" s="2">
        <f>IFERROR(__xludf.DUMMYFUNCTION("""COMPUTED_VALUE"""),0.0)</f>
        <v>0</v>
      </c>
      <c r="G360" s="2">
        <f>IFERROR(__xludf.DUMMYFUNCTION("""COMPUTED_VALUE"""),0.0)</f>
        <v>0</v>
      </c>
      <c r="H360" s="2">
        <f>IFERROR(__xludf.DUMMYFUNCTION("""COMPUTED_VALUE"""),0.0)</f>
        <v>0</v>
      </c>
    </row>
    <row r="361" ht="22.5" customHeight="1">
      <c r="A361" s="2" t="str">
        <f>IFERROR(__xludf.DUMMYFUNCTION("""COMPUTED_VALUE"""),"2026-12")</f>
        <v>2026-12</v>
      </c>
      <c r="B361" s="2" t="str">
        <f>IFERROR(__xludf.DUMMYFUNCTION("""COMPUTED_VALUE"""),"SEAT-SD - LX")</f>
        <v>SEAT-SD - LX</v>
      </c>
      <c r="C361" s="2">
        <f>IFERROR(__xludf.DUMMYFUNCTION("""COMPUTED_VALUE"""),0.0)</f>
        <v>0</v>
      </c>
      <c r="D361" s="2">
        <f>IFERROR(__xludf.DUMMYFUNCTION("""COMPUTED_VALUE"""),0.0)</f>
        <v>0</v>
      </c>
      <c r="E361" s="2">
        <f>IFERROR(__xludf.DUMMYFUNCTION("""COMPUTED_VALUE"""),0.0)</f>
        <v>0</v>
      </c>
      <c r="F361" s="2">
        <f>IFERROR(__xludf.DUMMYFUNCTION("""COMPUTED_VALUE"""),0.0)</f>
        <v>0</v>
      </c>
      <c r="G361" s="2">
        <f>IFERROR(__xludf.DUMMYFUNCTION("""COMPUTED_VALUE"""),0.0)</f>
        <v>0</v>
      </c>
      <c r="H361" s="2">
        <f>IFERROR(__xludf.DUMMYFUNCTION("""COMPUTED_VALUE"""),0.0)</f>
        <v>0</v>
      </c>
    </row>
    <row r="362" ht="22.5" customHeight="1">
      <c r="A362" s="2" t="str">
        <f>IFERROR(__xludf.DUMMYFUNCTION("""COMPUTED_VALUE"""),"2026-01")</f>
        <v>2026-01</v>
      </c>
      <c r="B362" s="2" t="str">
        <f>IFERROR(__xludf.DUMMYFUNCTION("""COMPUTED_VALUE"""),"SEAT-SUV")</f>
        <v>SEAT-SUV</v>
      </c>
      <c r="C362" s="2">
        <f>IFERROR(__xludf.DUMMYFUNCTION("""COMPUTED_VALUE"""),527.0)</f>
        <v>527</v>
      </c>
      <c r="D362" s="2">
        <f>IFERROR(__xludf.DUMMYFUNCTION("""COMPUTED_VALUE"""),104.0)</f>
        <v>104</v>
      </c>
      <c r="E362" s="2">
        <f>IFERROR(__xludf.DUMMYFUNCTION("""COMPUTED_VALUE"""),3.0)</f>
        <v>3</v>
      </c>
      <c r="F362" s="2">
        <f>IFERROR(__xludf.DUMMYFUNCTION("""COMPUTED_VALUE"""),46.0)</f>
        <v>46</v>
      </c>
      <c r="G362" s="2">
        <f>IFERROR(__xludf.DUMMYFUNCTION("""COMPUTED_VALUE"""),630.0)</f>
        <v>630</v>
      </c>
      <c r="H362" s="2">
        <f>IFERROR(__xludf.DUMMYFUNCTION("""COMPUTED_VALUE"""),1.0)</f>
        <v>1</v>
      </c>
    </row>
    <row r="363" ht="22.5" customHeight="1">
      <c r="A363" s="2" t="str">
        <f>IFERROR(__xludf.DUMMYFUNCTION("""COMPUTED_VALUE"""),"2026-02")</f>
        <v>2026-02</v>
      </c>
      <c r="B363" s="2" t="str">
        <f>IFERROR(__xludf.DUMMYFUNCTION("""COMPUTED_VALUE"""),"SEAT-SUV")</f>
        <v>SEAT-SUV</v>
      </c>
      <c r="C363" s="2">
        <f>IFERROR(__xludf.DUMMYFUNCTION("""COMPUTED_VALUE"""),1.0)</f>
        <v>1</v>
      </c>
      <c r="D363" s="2">
        <f>IFERROR(__xludf.DUMMYFUNCTION("""COMPUTED_VALUE"""),0.0)</f>
        <v>0</v>
      </c>
      <c r="E363" s="2">
        <f>IFERROR(__xludf.DUMMYFUNCTION("""COMPUTED_VALUE"""),0.0)</f>
        <v>0</v>
      </c>
      <c r="F363" s="2">
        <f>IFERROR(__xludf.DUMMYFUNCTION("""COMPUTED_VALUE"""),0.0)</f>
        <v>0</v>
      </c>
      <c r="G363" s="2">
        <f>IFERROR(__xludf.DUMMYFUNCTION("""COMPUTED_VALUE"""),0.0)</f>
        <v>0</v>
      </c>
      <c r="H363" s="2">
        <f>IFERROR(__xludf.DUMMYFUNCTION("""COMPUTED_VALUE"""),1.0)</f>
        <v>1</v>
      </c>
    </row>
    <row r="364" ht="22.5" customHeight="1">
      <c r="A364" s="2" t="str">
        <f>IFERROR(__xludf.DUMMYFUNCTION("""COMPUTED_VALUE"""),"2026-03")</f>
        <v>2026-03</v>
      </c>
      <c r="B364" s="2" t="str">
        <f>IFERROR(__xludf.DUMMYFUNCTION("""COMPUTED_VALUE"""),"SEAT-SUV")</f>
        <v>SEAT-SUV</v>
      </c>
      <c r="C364" s="2">
        <f>IFERROR(__xludf.DUMMYFUNCTION("""COMPUTED_VALUE"""),1.0)</f>
        <v>1</v>
      </c>
      <c r="D364" s="2">
        <f>IFERROR(__xludf.DUMMYFUNCTION("""COMPUTED_VALUE"""),0.0)</f>
        <v>0</v>
      </c>
      <c r="E364" s="2">
        <f>IFERROR(__xludf.DUMMYFUNCTION("""COMPUTED_VALUE"""),0.0)</f>
        <v>0</v>
      </c>
      <c r="F364" s="2">
        <f>IFERROR(__xludf.DUMMYFUNCTION("""COMPUTED_VALUE"""),0.0)</f>
        <v>0</v>
      </c>
      <c r="G364" s="2">
        <f>IFERROR(__xludf.DUMMYFUNCTION("""COMPUTED_VALUE"""),0.0)</f>
        <v>0</v>
      </c>
      <c r="H364" s="2">
        <f>IFERROR(__xludf.DUMMYFUNCTION("""COMPUTED_VALUE"""),1.0)</f>
        <v>1</v>
      </c>
    </row>
    <row r="365" ht="22.5" customHeight="1">
      <c r="A365" s="2" t="str">
        <f>IFERROR(__xludf.DUMMYFUNCTION("""COMPUTED_VALUE"""),"2026-04")</f>
        <v>2026-04</v>
      </c>
      <c r="B365" s="2" t="str">
        <f>IFERROR(__xludf.DUMMYFUNCTION("""COMPUTED_VALUE"""),"SEAT-SUV")</f>
        <v>SEAT-SUV</v>
      </c>
      <c r="C365" s="2">
        <f>IFERROR(__xludf.DUMMYFUNCTION("""COMPUTED_VALUE"""),1.0)</f>
        <v>1</v>
      </c>
      <c r="D365" s="2">
        <f>IFERROR(__xludf.DUMMYFUNCTION("""COMPUTED_VALUE"""),0.0)</f>
        <v>0</v>
      </c>
      <c r="E365" s="2">
        <f>IFERROR(__xludf.DUMMYFUNCTION("""COMPUTED_VALUE"""),0.0)</f>
        <v>0</v>
      </c>
      <c r="F365" s="2">
        <f>IFERROR(__xludf.DUMMYFUNCTION("""COMPUTED_VALUE"""),0.0)</f>
        <v>0</v>
      </c>
      <c r="G365" s="2">
        <f>IFERROR(__xludf.DUMMYFUNCTION("""COMPUTED_VALUE"""),0.0)</f>
        <v>0</v>
      </c>
      <c r="H365" s="2">
        <f>IFERROR(__xludf.DUMMYFUNCTION("""COMPUTED_VALUE"""),1.0)</f>
        <v>1</v>
      </c>
    </row>
    <row r="366" ht="22.5" customHeight="1">
      <c r="A366" s="2" t="str">
        <f>IFERROR(__xludf.DUMMYFUNCTION("""COMPUTED_VALUE"""),"2026-05")</f>
        <v>2026-05</v>
      </c>
      <c r="B366" s="2" t="str">
        <f>IFERROR(__xludf.DUMMYFUNCTION("""COMPUTED_VALUE"""),"SEAT-SUV")</f>
        <v>SEAT-SUV</v>
      </c>
      <c r="C366" s="2">
        <f>IFERROR(__xludf.DUMMYFUNCTION("""COMPUTED_VALUE"""),1.0)</f>
        <v>1</v>
      </c>
      <c r="D366" s="2">
        <f>IFERROR(__xludf.DUMMYFUNCTION("""COMPUTED_VALUE"""),0.0)</f>
        <v>0</v>
      </c>
      <c r="E366" s="2">
        <f>IFERROR(__xludf.DUMMYFUNCTION("""COMPUTED_VALUE"""),0.0)</f>
        <v>0</v>
      </c>
      <c r="F366" s="2">
        <f>IFERROR(__xludf.DUMMYFUNCTION("""COMPUTED_VALUE"""),0.0)</f>
        <v>0</v>
      </c>
      <c r="G366" s="2">
        <f>IFERROR(__xludf.DUMMYFUNCTION("""COMPUTED_VALUE"""),0.0)</f>
        <v>0</v>
      </c>
      <c r="H366" s="2">
        <f>IFERROR(__xludf.DUMMYFUNCTION("""COMPUTED_VALUE"""),1.0)</f>
        <v>1</v>
      </c>
    </row>
    <row r="367" ht="22.5" customHeight="1">
      <c r="A367" s="2" t="str">
        <f>IFERROR(__xludf.DUMMYFUNCTION("""COMPUTED_VALUE"""),"2026-06")</f>
        <v>2026-06</v>
      </c>
      <c r="B367" s="2" t="str">
        <f>IFERROR(__xludf.DUMMYFUNCTION("""COMPUTED_VALUE"""),"SEAT-SUV")</f>
        <v>SEAT-SUV</v>
      </c>
      <c r="C367" s="2">
        <f>IFERROR(__xludf.DUMMYFUNCTION("""COMPUTED_VALUE"""),1.0)</f>
        <v>1</v>
      </c>
      <c r="D367" s="2">
        <f>IFERROR(__xludf.DUMMYFUNCTION("""COMPUTED_VALUE"""),0.0)</f>
        <v>0</v>
      </c>
      <c r="E367" s="2">
        <f>IFERROR(__xludf.DUMMYFUNCTION("""COMPUTED_VALUE"""),0.0)</f>
        <v>0</v>
      </c>
      <c r="F367" s="2">
        <f>IFERROR(__xludf.DUMMYFUNCTION("""COMPUTED_VALUE"""),0.0)</f>
        <v>0</v>
      </c>
      <c r="G367" s="2">
        <f>IFERROR(__xludf.DUMMYFUNCTION("""COMPUTED_VALUE"""),0.0)</f>
        <v>0</v>
      </c>
      <c r="H367" s="2">
        <f>IFERROR(__xludf.DUMMYFUNCTION("""COMPUTED_VALUE"""),1.0)</f>
        <v>1</v>
      </c>
    </row>
    <row r="368" ht="22.5" customHeight="1">
      <c r="A368" s="2" t="str">
        <f>IFERROR(__xludf.DUMMYFUNCTION("""COMPUTED_VALUE"""),"2026-07")</f>
        <v>2026-07</v>
      </c>
      <c r="B368" s="2" t="str">
        <f>IFERROR(__xludf.DUMMYFUNCTION("""COMPUTED_VALUE"""),"SEAT-SUV")</f>
        <v>SEAT-SUV</v>
      </c>
      <c r="C368" s="2">
        <f>IFERROR(__xludf.DUMMYFUNCTION("""COMPUTED_VALUE"""),1.0)</f>
        <v>1</v>
      </c>
      <c r="D368" s="2">
        <f>IFERROR(__xludf.DUMMYFUNCTION("""COMPUTED_VALUE"""),0.0)</f>
        <v>0</v>
      </c>
      <c r="E368" s="2">
        <f>IFERROR(__xludf.DUMMYFUNCTION("""COMPUTED_VALUE"""),0.0)</f>
        <v>0</v>
      </c>
      <c r="F368" s="2">
        <f>IFERROR(__xludf.DUMMYFUNCTION("""COMPUTED_VALUE"""),0.0)</f>
        <v>0</v>
      </c>
      <c r="G368" s="2">
        <f>IFERROR(__xludf.DUMMYFUNCTION("""COMPUTED_VALUE"""),0.0)</f>
        <v>0</v>
      </c>
      <c r="H368" s="2">
        <f>IFERROR(__xludf.DUMMYFUNCTION("""COMPUTED_VALUE"""),1.0)</f>
        <v>1</v>
      </c>
    </row>
    <row r="369" ht="22.5" customHeight="1">
      <c r="A369" s="2" t="str">
        <f>IFERROR(__xludf.DUMMYFUNCTION("""COMPUTED_VALUE"""),"2026-08")</f>
        <v>2026-08</v>
      </c>
      <c r="B369" s="2" t="str">
        <f>IFERROR(__xludf.DUMMYFUNCTION("""COMPUTED_VALUE"""),"SEAT-SUV")</f>
        <v>SEAT-SUV</v>
      </c>
      <c r="C369" s="2">
        <f>IFERROR(__xludf.DUMMYFUNCTION("""COMPUTED_VALUE"""),1.0)</f>
        <v>1</v>
      </c>
      <c r="D369" s="2">
        <f>IFERROR(__xludf.DUMMYFUNCTION("""COMPUTED_VALUE"""),0.0)</f>
        <v>0</v>
      </c>
      <c r="E369" s="2">
        <f>IFERROR(__xludf.DUMMYFUNCTION("""COMPUTED_VALUE"""),0.0)</f>
        <v>0</v>
      </c>
      <c r="F369" s="2">
        <f>IFERROR(__xludf.DUMMYFUNCTION("""COMPUTED_VALUE"""),0.0)</f>
        <v>0</v>
      </c>
      <c r="G369" s="2">
        <f>IFERROR(__xludf.DUMMYFUNCTION("""COMPUTED_VALUE"""),0.0)</f>
        <v>0</v>
      </c>
      <c r="H369" s="2">
        <f>IFERROR(__xludf.DUMMYFUNCTION("""COMPUTED_VALUE"""),1.0)</f>
        <v>1</v>
      </c>
    </row>
    <row r="370" ht="22.5" customHeight="1">
      <c r="A370" s="2" t="str">
        <f>IFERROR(__xludf.DUMMYFUNCTION("""COMPUTED_VALUE"""),"2026-09")</f>
        <v>2026-09</v>
      </c>
      <c r="B370" s="2" t="str">
        <f>IFERROR(__xludf.DUMMYFUNCTION("""COMPUTED_VALUE"""),"SEAT-SUV")</f>
        <v>SEAT-SUV</v>
      </c>
      <c r="C370" s="2">
        <f>IFERROR(__xludf.DUMMYFUNCTION("""COMPUTED_VALUE"""),1.0)</f>
        <v>1</v>
      </c>
      <c r="D370" s="2">
        <f>IFERROR(__xludf.DUMMYFUNCTION("""COMPUTED_VALUE"""),0.0)</f>
        <v>0</v>
      </c>
      <c r="E370" s="2">
        <f>IFERROR(__xludf.DUMMYFUNCTION("""COMPUTED_VALUE"""),0.0)</f>
        <v>0</v>
      </c>
      <c r="F370" s="2">
        <f>IFERROR(__xludf.DUMMYFUNCTION("""COMPUTED_VALUE"""),0.0)</f>
        <v>0</v>
      </c>
      <c r="G370" s="2">
        <f>IFERROR(__xludf.DUMMYFUNCTION("""COMPUTED_VALUE"""),0.0)</f>
        <v>0</v>
      </c>
      <c r="H370" s="2">
        <f>IFERROR(__xludf.DUMMYFUNCTION("""COMPUTED_VALUE"""),1.0)</f>
        <v>1</v>
      </c>
    </row>
    <row r="371" ht="22.5" customHeight="1">
      <c r="A371" s="2" t="str">
        <f>IFERROR(__xludf.DUMMYFUNCTION("""COMPUTED_VALUE"""),"2026-10")</f>
        <v>2026-10</v>
      </c>
      <c r="B371" s="2" t="str">
        <f>IFERROR(__xludf.DUMMYFUNCTION("""COMPUTED_VALUE"""),"SEAT-SUV")</f>
        <v>SEAT-SUV</v>
      </c>
      <c r="C371" s="2">
        <f>IFERROR(__xludf.DUMMYFUNCTION("""COMPUTED_VALUE"""),1.0)</f>
        <v>1</v>
      </c>
      <c r="D371" s="2">
        <f>IFERROR(__xludf.DUMMYFUNCTION("""COMPUTED_VALUE"""),0.0)</f>
        <v>0</v>
      </c>
      <c r="E371" s="2">
        <f>IFERROR(__xludf.DUMMYFUNCTION("""COMPUTED_VALUE"""),0.0)</f>
        <v>0</v>
      </c>
      <c r="F371" s="2">
        <f>IFERROR(__xludf.DUMMYFUNCTION("""COMPUTED_VALUE"""),0.0)</f>
        <v>0</v>
      </c>
      <c r="G371" s="2">
        <f>IFERROR(__xludf.DUMMYFUNCTION("""COMPUTED_VALUE"""),0.0)</f>
        <v>0</v>
      </c>
      <c r="H371" s="2">
        <f>IFERROR(__xludf.DUMMYFUNCTION("""COMPUTED_VALUE"""),1.0)</f>
        <v>1</v>
      </c>
    </row>
    <row r="372" ht="22.5" customHeight="1">
      <c r="A372" s="2" t="str">
        <f>IFERROR(__xludf.DUMMYFUNCTION("""COMPUTED_VALUE"""),"2026-11")</f>
        <v>2026-11</v>
      </c>
      <c r="B372" s="2" t="str">
        <f>IFERROR(__xludf.DUMMYFUNCTION("""COMPUTED_VALUE"""),"SEAT-SUV")</f>
        <v>SEAT-SUV</v>
      </c>
      <c r="C372" s="2">
        <f>IFERROR(__xludf.DUMMYFUNCTION("""COMPUTED_VALUE"""),1.0)</f>
        <v>1</v>
      </c>
      <c r="D372" s="2">
        <f>IFERROR(__xludf.DUMMYFUNCTION("""COMPUTED_VALUE"""),0.0)</f>
        <v>0</v>
      </c>
      <c r="E372" s="2">
        <f>IFERROR(__xludf.DUMMYFUNCTION("""COMPUTED_VALUE"""),0.0)</f>
        <v>0</v>
      </c>
      <c r="F372" s="2">
        <f>IFERROR(__xludf.DUMMYFUNCTION("""COMPUTED_VALUE"""),0.0)</f>
        <v>0</v>
      </c>
      <c r="G372" s="2">
        <f>IFERROR(__xludf.DUMMYFUNCTION("""COMPUTED_VALUE"""),0.0)</f>
        <v>0</v>
      </c>
      <c r="H372" s="2">
        <f>IFERROR(__xludf.DUMMYFUNCTION("""COMPUTED_VALUE"""),1.0)</f>
        <v>1</v>
      </c>
    </row>
    <row r="373" ht="22.5" customHeight="1">
      <c r="A373" s="2" t="str">
        <f>IFERROR(__xludf.DUMMYFUNCTION("""COMPUTED_VALUE"""),"2026-12")</f>
        <v>2026-12</v>
      </c>
      <c r="B373" s="2" t="str">
        <f>IFERROR(__xludf.DUMMYFUNCTION("""COMPUTED_VALUE"""),"SEAT-SUV")</f>
        <v>SEAT-SUV</v>
      </c>
      <c r="C373" s="2">
        <f>IFERROR(__xludf.DUMMYFUNCTION("""COMPUTED_VALUE"""),1.0)</f>
        <v>1</v>
      </c>
      <c r="D373" s="2">
        <f>IFERROR(__xludf.DUMMYFUNCTION("""COMPUTED_VALUE"""),0.0)</f>
        <v>0</v>
      </c>
      <c r="E373" s="2">
        <f>IFERROR(__xludf.DUMMYFUNCTION("""COMPUTED_VALUE"""),0.0)</f>
        <v>0</v>
      </c>
      <c r="F373" s="2">
        <f>IFERROR(__xludf.DUMMYFUNCTION("""COMPUTED_VALUE"""),0.0)</f>
        <v>0</v>
      </c>
      <c r="G373" s="2">
        <f>IFERROR(__xludf.DUMMYFUNCTION("""COMPUTED_VALUE"""),0.0)</f>
        <v>0</v>
      </c>
      <c r="H373" s="2">
        <f>IFERROR(__xludf.DUMMYFUNCTION("""COMPUTED_VALUE"""),1.0)</f>
        <v>1</v>
      </c>
    </row>
    <row r="374" ht="22.5" customHeight="1">
      <c r="A374" s="2" t="str">
        <f>IFERROR(__xludf.DUMMYFUNCTION("""COMPUTED_VALUE"""),"2026-01")</f>
        <v>2026-01</v>
      </c>
      <c r="B374" s="2" t="str">
        <f>IFERROR(__xludf.DUMMYFUNCTION("""COMPUTED_VALUE"""),"SEAT-SUV - LX")</f>
        <v>SEAT-SUV - LX</v>
      </c>
      <c r="C374" s="2">
        <f>IFERROR(__xludf.DUMMYFUNCTION("""COMPUTED_VALUE"""),478.0)</f>
        <v>478</v>
      </c>
      <c r="D374" s="2">
        <f>IFERROR(__xludf.DUMMYFUNCTION("""COMPUTED_VALUE"""),0.0)</f>
        <v>0</v>
      </c>
      <c r="E374" s="2">
        <f>IFERROR(__xludf.DUMMYFUNCTION("""COMPUTED_VALUE"""),0.0)</f>
        <v>0</v>
      </c>
      <c r="F374" s="2">
        <f>IFERROR(__xludf.DUMMYFUNCTION("""COMPUTED_VALUE"""),0.0)</f>
        <v>0</v>
      </c>
      <c r="G374" s="2">
        <f>IFERROR(__xludf.DUMMYFUNCTION("""COMPUTED_VALUE"""),476.0)</f>
        <v>476</v>
      </c>
      <c r="H374" s="2">
        <f>IFERROR(__xludf.DUMMYFUNCTION("""COMPUTED_VALUE"""),2.0)</f>
        <v>2</v>
      </c>
    </row>
    <row r="375" ht="22.5" customHeight="1">
      <c r="A375" s="2" t="str">
        <f>IFERROR(__xludf.DUMMYFUNCTION("""COMPUTED_VALUE"""),"2026-02")</f>
        <v>2026-02</v>
      </c>
      <c r="B375" s="2" t="str">
        <f>IFERROR(__xludf.DUMMYFUNCTION("""COMPUTED_VALUE"""),"SEAT-SUV - LX")</f>
        <v>SEAT-SUV - LX</v>
      </c>
      <c r="C375" s="2">
        <f>IFERROR(__xludf.DUMMYFUNCTION("""COMPUTED_VALUE"""),2.0)</f>
        <v>2</v>
      </c>
      <c r="D375" s="2">
        <f>IFERROR(__xludf.DUMMYFUNCTION("""COMPUTED_VALUE"""),0.0)</f>
        <v>0</v>
      </c>
      <c r="E375" s="2">
        <f>IFERROR(__xludf.DUMMYFUNCTION("""COMPUTED_VALUE"""),0.0)</f>
        <v>0</v>
      </c>
      <c r="F375" s="2">
        <f>IFERROR(__xludf.DUMMYFUNCTION("""COMPUTED_VALUE"""),0.0)</f>
        <v>0</v>
      </c>
      <c r="G375" s="2">
        <f>IFERROR(__xludf.DUMMYFUNCTION("""COMPUTED_VALUE"""),0.0)</f>
        <v>0</v>
      </c>
      <c r="H375" s="2">
        <f>IFERROR(__xludf.DUMMYFUNCTION("""COMPUTED_VALUE"""),2.0)</f>
        <v>2</v>
      </c>
    </row>
    <row r="376" ht="22.5" customHeight="1">
      <c r="A376" s="2" t="str">
        <f>IFERROR(__xludf.DUMMYFUNCTION("""COMPUTED_VALUE"""),"2026-03")</f>
        <v>2026-03</v>
      </c>
      <c r="B376" s="2" t="str">
        <f>IFERROR(__xludf.DUMMYFUNCTION("""COMPUTED_VALUE"""),"SEAT-SUV - LX")</f>
        <v>SEAT-SUV - LX</v>
      </c>
      <c r="C376" s="2">
        <f>IFERROR(__xludf.DUMMYFUNCTION("""COMPUTED_VALUE"""),2.0)</f>
        <v>2</v>
      </c>
      <c r="D376" s="2">
        <f>IFERROR(__xludf.DUMMYFUNCTION("""COMPUTED_VALUE"""),0.0)</f>
        <v>0</v>
      </c>
      <c r="E376" s="2">
        <f>IFERROR(__xludf.DUMMYFUNCTION("""COMPUTED_VALUE"""),0.0)</f>
        <v>0</v>
      </c>
      <c r="F376" s="2">
        <f>IFERROR(__xludf.DUMMYFUNCTION("""COMPUTED_VALUE"""),0.0)</f>
        <v>0</v>
      </c>
      <c r="G376" s="2">
        <f>IFERROR(__xludf.DUMMYFUNCTION("""COMPUTED_VALUE"""),0.0)</f>
        <v>0</v>
      </c>
      <c r="H376" s="2">
        <f>IFERROR(__xludf.DUMMYFUNCTION("""COMPUTED_VALUE"""),2.0)</f>
        <v>2</v>
      </c>
    </row>
    <row r="377" ht="22.5" customHeight="1">
      <c r="A377" s="2" t="str">
        <f>IFERROR(__xludf.DUMMYFUNCTION("""COMPUTED_VALUE"""),"2026-04")</f>
        <v>2026-04</v>
      </c>
      <c r="B377" s="2" t="str">
        <f>IFERROR(__xludf.DUMMYFUNCTION("""COMPUTED_VALUE"""),"SEAT-SUV - LX")</f>
        <v>SEAT-SUV - LX</v>
      </c>
      <c r="C377" s="2">
        <f>IFERROR(__xludf.DUMMYFUNCTION("""COMPUTED_VALUE"""),2.0)</f>
        <v>2</v>
      </c>
      <c r="D377" s="2">
        <f>IFERROR(__xludf.DUMMYFUNCTION("""COMPUTED_VALUE"""),0.0)</f>
        <v>0</v>
      </c>
      <c r="E377" s="2">
        <f>IFERROR(__xludf.DUMMYFUNCTION("""COMPUTED_VALUE"""),0.0)</f>
        <v>0</v>
      </c>
      <c r="F377" s="2">
        <f>IFERROR(__xludf.DUMMYFUNCTION("""COMPUTED_VALUE"""),0.0)</f>
        <v>0</v>
      </c>
      <c r="G377" s="2">
        <f>IFERROR(__xludf.DUMMYFUNCTION("""COMPUTED_VALUE"""),0.0)</f>
        <v>0</v>
      </c>
      <c r="H377" s="2">
        <f>IFERROR(__xludf.DUMMYFUNCTION("""COMPUTED_VALUE"""),2.0)</f>
        <v>2</v>
      </c>
    </row>
    <row r="378" ht="22.5" customHeight="1">
      <c r="A378" s="2" t="str">
        <f>IFERROR(__xludf.DUMMYFUNCTION("""COMPUTED_VALUE"""),"2026-05")</f>
        <v>2026-05</v>
      </c>
      <c r="B378" s="2" t="str">
        <f>IFERROR(__xludf.DUMMYFUNCTION("""COMPUTED_VALUE"""),"SEAT-SUV - LX")</f>
        <v>SEAT-SUV - LX</v>
      </c>
      <c r="C378" s="2">
        <f>IFERROR(__xludf.DUMMYFUNCTION("""COMPUTED_VALUE"""),2.0)</f>
        <v>2</v>
      </c>
      <c r="D378" s="2">
        <f>IFERROR(__xludf.DUMMYFUNCTION("""COMPUTED_VALUE"""),0.0)</f>
        <v>0</v>
      </c>
      <c r="E378" s="2">
        <f>IFERROR(__xludf.DUMMYFUNCTION("""COMPUTED_VALUE"""),0.0)</f>
        <v>0</v>
      </c>
      <c r="F378" s="2">
        <f>IFERROR(__xludf.DUMMYFUNCTION("""COMPUTED_VALUE"""),0.0)</f>
        <v>0</v>
      </c>
      <c r="G378" s="2">
        <f>IFERROR(__xludf.DUMMYFUNCTION("""COMPUTED_VALUE"""),0.0)</f>
        <v>0</v>
      </c>
      <c r="H378" s="2">
        <f>IFERROR(__xludf.DUMMYFUNCTION("""COMPUTED_VALUE"""),2.0)</f>
        <v>2</v>
      </c>
    </row>
    <row r="379" ht="22.5" customHeight="1">
      <c r="A379" s="2" t="str">
        <f>IFERROR(__xludf.DUMMYFUNCTION("""COMPUTED_VALUE"""),"2026-06")</f>
        <v>2026-06</v>
      </c>
      <c r="B379" s="2" t="str">
        <f>IFERROR(__xludf.DUMMYFUNCTION("""COMPUTED_VALUE"""),"SEAT-SUV - LX")</f>
        <v>SEAT-SUV - LX</v>
      </c>
      <c r="C379" s="2">
        <f>IFERROR(__xludf.DUMMYFUNCTION("""COMPUTED_VALUE"""),2.0)</f>
        <v>2</v>
      </c>
      <c r="D379" s="2">
        <f>IFERROR(__xludf.DUMMYFUNCTION("""COMPUTED_VALUE"""),0.0)</f>
        <v>0</v>
      </c>
      <c r="E379" s="2">
        <f>IFERROR(__xludf.DUMMYFUNCTION("""COMPUTED_VALUE"""),0.0)</f>
        <v>0</v>
      </c>
      <c r="F379" s="2">
        <f>IFERROR(__xludf.DUMMYFUNCTION("""COMPUTED_VALUE"""),0.0)</f>
        <v>0</v>
      </c>
      <c r="G379" s="2">
        <f>IFERROR(__xludf.DUMMYFUNCTION("""COMPUTED_VALUE"""),0.0)</f>
        <v>0</v>
      </c>
      <c r="H379" s="2">
        <f>IFERROR(__xludf.DUMMYFUNCTION("""COMPUTED_VALUE"""),2.0)</f>
        <v>2</v>
      </c>
    </row>
    <row r="380" ht="22.5" customHeight="1">
      <c r="A380" s="2" t="str">
        <f>IFERROR(__xludf.DUMMYFUNCTION("""COMPUTED_VALUE"""),"2026-07")</f>
        <v>2026-07</v>
      </c>
      <c r="B380" s="2" t="str">
        <f>IFERROR(__xludf.DUMMYFUNCTION("""COMPUTED_VALUE"""),"SEAT-SUV - LX")</f>
        <v>SEAT-SUV - LX</v>
      </c>
      <c r="C380" s="2">
        <f>IFERROR(__xludf.DUMMYFUNCTION("""COMPUTED_VALUE"""),2.0)</f>
        <v>2</v>
      </c>
      <c r="D380" s="2">
        <f>IFERROR(__xludf.DUMMYFUNCTION("""COMPUTED_VALUE"""),0.0)</f>
        <v>0</v>
      </c>
      <c r="E380" s="2">
        <f>IFERROR(__xludf.DUMMYFUNCTION("""COMPUTED_VALUE"""),0.0)</f>
        <v>0</v>
      </c>
      <c r="F380" s="2">
        <f>IFERROR(__xludf.DUMMYFUNCTION("""COMPUTED_VALUE"""),0.0)</f>
        <v>0</v>
      </c>
      <c r="G380" s="2">
        <f>IFERROR(__xludf.DUMMYFUNCTION("""COMPUTED_VALUE"""),0.0)</f>
        <v>0</v>
      </c>
      <c r="H380" s="2">
        <f>IFERROR(__xludf.DUMMYFUNCTION("""COMPUTED_VALUE"""),2.0)</f>
        <v>2</v>
      </c>
    </row>
    <row r="381" ht="22.5" customHeight="1">
      <c r="A381" s="2" t="str">
        <f>IFERROR(__xludf.DUMMYFUNCTION("""COMPUTED_VALUE"""),"2026-08")</f>
        <v>2026-08</v>
      </c>
      <c r="B381" s="2" t="str">
        <f>IFERROR(__xludf.DUMMYFUNCTION("""COMPUTED_VALUE"""),"SEAT-SUV - LX")</f>
        <v>SEAT-SUV - LX</v>
      </c>
      <c r="C381" s="2">
        <f>IFERROR(__xludf.DUMMYFUNCTION("""COMPUTED_VALUE"""),2.0)</f>
        <v>2</v>
      </c>
      <c r="D381" s="2">
        <f>IFERROR(__xludf.DUMMYFUNCTION("""COMPUTED_VALUE"""),0.0)</f>
        <v>0</v>
      </c>
      <c r="E381" s="2">
        <f>IFERROR(__xludf.DUMMYFUNCTION("""COMPUTED_VALUE"""),0.0)</f>
        <v>0</v>
      </c>
      <c r="F381" s="2">
        <f>IFERROR(__xludf.DUMMYFUNCTION("""COMPUTED_VALUE"""),0.0)</f>
        <v>0</v>
      </c>
      <c r="G381" s="2">
        <f>IFERROR(__xludf.DUMMYFUNCTION("""COMPUTED_VALUE"""),0.0)</f>
        <v>0</v>
      </c>
      <c r="H381" s="2">
        <f>IFERROR(__xludf.DUMMYFUNCTION("""COMPUTED_VALUE"""),2.0)</f>
        <v>2</v>
      </c>
    </row>
    <row r="382" ht="22.5" customHeight="1">
      <c r="A382" s="2" t="str">
        <f>IFERROR(__xludf.DUMMYFUNCTION("""COMPUTED_VALUE"""),"2026-09")</f>
        <v>2026-09</v>
      </c>
      <c r="B382" s="2" t="str">
        <f>IFERROR(__xludf.DUMMYFUNCTION("""COMPUTED_VALUE"""),"SEAT-SUV - LX")</f>
        <v>SEAT-SUV - LX</v>
      </c>
      <c r="C382" s="2">
        <f>IFERROR(__xludf.DUMMYFUNCTION("""COMPUTED_VALUE"""),2.0)</f>
        <v>2</v>
      </c>
      <c r="D382" s="2">
        <f>IFERROR(__xludf.DUMMYFUNCTION("""COMPUTED_VALUE"""),0.0)</f>
        <v>0</v>
      </c>
      <c r="E382" s="2">
        <f>IFERROR(__xludf.DUMMYFUNCTION("""COMPUTED_VALUE"""),0.0)</f>
        <v>0</v>
      </c>
      <c r="F382" s="2">
        <f>IFERROR(__xludf.DUMMYFUNCTION("""COMPUTED_VALUE"""),0.0)</f>
        <v>0</v>
      </c>
      <c r="G382" s="2">
        <f>IFERROR(__xludf.DUMMYFUNCTION("""COMPUTED_VALUE"""),0.0)</f>
        <v>0</v>
      </c>
      <c r="H382" s="2">
        <f>IFERROR(__xludf.DUMMYFUNCTION("""COMPUTED_VALUE"""),2.0)</f>
        <v>2</v>
      </c>
    </row>
    <row r="383" ht="22.5" customHeight="1">
      <c r="A383" s="2" t="str">
        <f>IFERROR(__xludf.DUMMYFUNCTION("""COMPUTED_VALUE"""),"2026-10")</f>
        <v>2026-10</v>
      </c>
      <c r="B383" s="2" t="str">
        <f>IFERROR(__xludf.DUMMYFUNCTION("""COMPUTED_VALUE"""),"SEAT-SUV - LX")</f>
        <v>SEAT-SUV - LX</v>
      </c>
      <c r="C383" s="2">
        <f>IFERROR(__xludf.DUMMYFUNCTION("""COMPUTED_VALUE"""),2.0)</f>
        <v>2</v>
      </c>
      <c r="D383" s="2">
        <f>IFERROR(__xludf.DUMMYFUNCTION("""COMPUTED_VALUE"""),0.0)</f>
        <v>0</v>
      </c>
      <c r="E383" s="2">
        <f>IFERROR(__xludf.DUMMYFUNCTION("""COMPUTED_VALUE"""),0.0)</f>
        <v>0</v>
      </c>
      <c r="F383" s="2">
        <f>IFERROR(__xludf.DUMMYFUNCTION("""COMPUTED_VALUE"""),0.0)</f>
        <v>0</v>
      </c>
      <c r="G383" s="2">
        <f>IFERROR(__xludf.DUMMYFUNCTION("""COMPUTED_VALUE"""),0.0)</f>
        <v>0</v>
      </c>
      <c r="H383" s="2">
        <f>IFERROR(__xludf.DUMMYFUNCTION("""COMPUTED_VALUE"""),2.0)</f>
        <v>2</v>
      </c>
    </row>
    <row r="384" ht="22.5" customHeight="1">
      <c r="A384" s="2" t="str">
        <f>IFERROR(__xludf.DUMMYFUNCTION("""COMPUTED_VALUE"""),"2026-11")</f>
        <v>2026-11</v>
      </c>
      <c r="B384" s="2" t="str">
        <f>IFERROR(__xludf.DUMMYFUNCTION("""COMPUTED_VALUE"""),"SEAT-SUV - LX")</f>
        <v>SEAT-SUV - LX</v>
      </c>
      <c r="C384" s="2">
        <f>IFERROR(__xludf.DUMMYFUNCTION("""COMPUTED_VALUE"""),2.0)</f>
        <v>2</v>
      </c>
      <c r="D384" s="2">
        <f>IFERROR(__xludf.DUMMYFUNCTION("""COMPUTED_VALUE"""),0.0)</f>
        <v>0</v>
      </c>
      <c r="E384" s="2">
        <f>IFERROR(__xludf.DUMMYFUNCTION("""COMPUTED_VALUE"""),0.0)</f>
        <v>0</v>
      </c>
      <c r="F384" s="2">
        <f>IFERROR(__xludf.DUMMYFUNCTION("""COMPUTED_VALUE"""),0.0)</f>
        <v>0</v>
      </c>
      <c r="G384" s="2">
        <f>IFERROR(__xludf.DUMMYFUNCTION("""COMPUTED_VALUE"""),0.0)</f>
        <v>0</v>
      </c>
      <c r="H384" s="2">
        <f>IFERROR(__xludf.DUMMYFUNCTION("""COMPUTED_VALUE"""),2.0)</f>
        <v>2</v>
      </c>
    </row>
    <row r="385" ht="22.5" customHeight="1">
      <c r="A385" s="2" t="str">
        <f>IFERROR(__xludf.DUMMYFUNCTION("""COMPUTED_VALUE"""),"2026-12")</f>
        <v>2026-12</v>
      </c>
      <c r="B385" s="2" t="str">
        <f>IFERROR(__xludf.DUMMYFUNCTION("""COMPUTED_VALUE"""),"SEAT-SUV - LX")</f>
        <v>SEAT-SUV - LX</v>
      </c>
      <c r="C385" s="2">
        <f>IFERROR(__xludf.DUMMYFUNCTION("""COMPUTED_VALUE"""),2.0)</f>
        <v>2</v>
      </c>
      <c r="D385" s="2">
        <f>IFERROR(__xludf.DUMMYFUNCTION("""COMPUTED_VALUE"""),0.0)</f>
        <v>0</v>
      </c>
      <c r="E385" s="2">
        <f>IFERROR(__xludf.DUMMYFUNCTION("""COMPUTED_VALUE"""),0.0)</f>
        <v>0</v>
      </c>
      <c r="F385" s="2">
        <f>IFERROR(__xludf.DUMMYFUNCTION("""COMPUTED_VALUE"""),0.0)</f>
        <v>0</v>
      </c>
      <c r="G385" s="2">
        <f>IFERROR(__xludf.DUMMYFUNCTION("""COMPUTED_VALUE"""),0.0)</f>
        <v>0</v>
      </c>
      <c r="H385" s="2">
        <f>IFERROR(__xludf.DUMMYFUNCTION("""COMPUTED_VALUE"""),2.0)</f>
        <v>2</v>
      </c>
    </row>
    <row r="386" ht="22.5" customHeight="1">
      <c r="A386" s="2" t="str">
        <f>IFERROR(__xludf.DUMMYFUNCTION("""COMPUTED_VALUE"""),"2026-01")</f>
        <v>2026-01</v>
      </c>
      <c r="B386" s="2" t="str">
        <f>IFERROR(__xludf.DUMMYFUNCTION("""COMPUTED_VALUE"""),"SYNC-SD")</f>
        <v>SYNC-SD</v>
      </c>
      <c r="C386" s="2">
        <f>IFERROR(__xludf.DUMMYFUNCTION("""COMPUTED_VALUE"""),1071.0)</f>
        <v>1071</v>
      </c>
      <c r="D386" s="2">
        <f>IFERROR(__xludf.DUMMYFUNCTION("""COMPUTED_VALUE"""),0.0)</f>
        <v>0</v>
      </c>
      <c r="E386" s="2">
        <f>IFERROR(__xludf.DUMMYFUNCTION("""COMPUTED_VALUE"""),0.0)</f>
        <v>0</v>
      </c>
      <c r="F386" s="2">
        <f>IFERROR(__xludf.DUMMYFUNCTION("""COMPUTED_VALUE"""),0.0)</f>
        <v>0</v>
      </c>
      <c r="G386" s="2">
        <f>IFERROR(__xludf.DUMMYFUNCTION("""COMPUTED_VALUE"""),591.0)</f>
        <v>591</v>
      </c>
      <c r="H386" s="2">
        <f>IFERROR(__xludf.DUMMYFUNCTION("""COMPUTED_VALUE"""),480.0)</f>
        <v>480</v>
      </c>
    </row>
    <row r="387" ht="22.5" customHeight="1">
      <c r="A387" s="2" t="str">
        <f>IFERROR(__xludf.DUMMYFUNCTION("""COMPUTED_VALUE"""),"2026-02")</f>
        <v>2026-02</v>
      </c>
      <c r="B387" s="2" t="str">
        <f>IFERROR(__xludf.DUMMYFUNCTION("""COMPUTED_VALUE"""),"SYNC-SD")</f>
        <v>SYNC-SD</v>
      </c>
      <c r="C387" s="2">
        <f>IFERROR(__xludf.DUMMYFUNCTION("""COMPUTED_VALUE"""),480.0)</f>
        <v>480</v>
      </c>
      <c r="D387" s="2">
        <f>IFERROR(__xludf.DUMMYFUNCTION("""COMPUTED_VALUE"""),0.0)</f>
        <v>0</v>
      </c>
      <c r="E387" s="2">
        <f>IFERROR(__xludf.DUMMYFUNCTION("""COMPUTED_VALUE"""),0.0)</f>
        <v>0</v>
      </c>
      <c r="F387" s="2">
        <f>IFERROR(__xludf.DUMMYFUNCTION("""COMPUTED_VALUE"""),0.0)</f>
        <v>0</v>
      </c>
      <c r="G387" s="2">
        <f>IFERROR(__xludf.DUMMYFUNCTION("""COMPUTED_VALUE"""),480.0)</f>
        <v>480</v>
      </c>
      <c r="H387" s="2">
        <f>IFERROR(__xludf.DUMMYFUNCTION("""COMPUTED_VALUE"""),0.0)</f>
        <v>0</v>
      </c>
    </row>
    <row r="388" ht="22.5" customHeight="1">
      <c r="A388" s="2" t="str">
        <f>IFERROR(__xludf.DUMMYFUNCTION("""COMPUTED_VALUE"""),"2026-03")</f>
        <v>2026-03</v>
      </c>
      <c r="B388" s="2" t="str">
        <f>IFERROR(__xludf.DUMMYFUNCTION("""COMPUTED_VALUE"""),"SYNC-SD")</f>
        <v>SYNC-SD</v>
      </c>
      <c r="C388" s="2">
        <f>IFERROR(__xludf.DUMMYFUNCTION("""COMPUTED_VALUE"""),0.0)</f>
        <v>0</v>
      </c>
      <c r="D388" s="2">
        <f>IFERROR(__xludf.DUMMYFUNCTION("""COMPUTED_VALUE"""),0.0)</f>
        <v>0</v>
      </c>
      <c r="E388" s="2">
        <f>IFERROR(__xludf.DUMMYFUNCTION("""COMPUTED_VALUE"""),0.0)</f>
        <v>0</v>
      </c>
      <c r="F388" s="2">
        <f>IFERROR(__xludf.DUMMYFUNCTION("""COMPUTED_VALUE"""),0.0)</f>
        <v>0</v>
      </c>
      <c r="G388" s="2">
        <f>IFERROR(__xludf.DUMMYFUNCTION("""COMPUTED_VALUE"""),0.0)</f>
        <v>0</v>
      </c>
      <c r="H388" s="2">
        <f>IFERROR(__xludf.DUMMYFUNCTION("""COMPUTED_VALUE"""),0.0)</f>
        <v>0</v>
      </c>
    </row>
    <row r="389" ht="22.5" customHeight="1">
      <c r="A389" s="2" t="str">
        <f>IFERROR(__xludf.DUMMYFUNCTION("""COMPUTED_VALUE"""),"2026-04")</f>
        <v>2026-04</v>
      </c>
      <c r="B389" s="2" t="str">
        <f>IFERROR(__xludf.DUMMYFUNCTION("""COMPUTED_VALUE"""),"SYNC-SD")</f>
        <v>SYNC-SD</v>
      </c>
      <c r="C389" s="2">
        <f>IFERROR(__xludf.DUMMYFUNCTION("""COMPUTED_VALUE"""),0.0)</f>
        <v>0</v>
      </c>
      <c r="D389" s="2">
        <f>IFERROR(__xludf.DUMMYFUNCTION("""COMPUTED_VALUE"""),0.0)</f>
        <v>0</v>
      </c>
      <c r="E389" s="2">
        <f>IFERROR(__xludf.DUMMYFUNCTION("""COMPUTED_VALUE"""),0.0)</f>
        <v>0</v>
      </c>
      <c r="F389" s="2">
        <f>IFERROR(__xludf.DUMMYFUNCTION("""COMPUTED_VALUE"""),0.0)</f>
        <v>0</v>
      </c>
      <c r="G389" s="2">
        <f>IFERROR(__xludf.DUMMYFUNCTION("""COMPUTED_VALUE"""),0.0)</f>
        <v>0</v>
      </c>
      <c r="H389" s="2">
        <f>IFERROR(__xludf.DUMMYFUNCTION("""COMPUTED_VALUE"""),0.0)</f>
        <v>0</v>
      </c>
    </row>
    <row r="390" ht="22.5" customHeight="1">
      <c r="A390" s="2" t="str">
        <f>IFERROR(__xludf.DUMMYFUNCTION("""COMPUTED_VALUE"""),"2026-05")</f>
        <v>2026-05</v>
      </c>
      <c r="B390" s="2" t="str">
        <f>IFERROR(__xludf.DUMMYFUNCTION("""COMPUTED_VALUE"""),"SYNC-SD")</f>
        <v>SYNC-SD</v>
      </c>
      <c r="C390" s="2">
        <f>IFERROR(__xludf.DUMMYFUNCTION("""COMPUTED_VALUE"""),0.0)</f>
        <v>0</v>
      </c>
      <c r="D390" s="2">
        <f>IFERROR(__xludf.DUMMYFUNCTION("""COMPUTED_VALUE"""),0.0)</f>
        <v>0</v>
      </c>
      <c r="E390" s="2">
        <f>IFERROR(__xludf.DUMMYFUNCTION("""COMPUTED_VALUE"""),0.0)</f>
        <v>0</v>
      </c>
      <c r="F390" s="2">
        <f>IFERROR(__xludf.DUMMYFUNCTION("""COMPUTED_VALUE"""),0.0)</f>
        <v>0</v>
      </c>
      <c r="G390" s="2">
        <f>IFERROR(__xludf.DUMMYFUNCTION("""COMPUTED_VALUE"""),0.0)</f>
        <v>0</v>
      </c>
      <c r="H390" s="2">
        <f>IFERROR(__xludf.DUMMYFUNCTION("""COMPUTED_VALUE"""),0.0)</f>
        <v>0</v>
      </c>
    </row>
    <row r="391" ht="22.5" customHeight="1">
      <c r="A391" s="2" t="str">
        <f>IFERROR(__xludf.DUMMYFUNCTION("""COMPUTED_VALUE"""),"2026-06")</f>
        <v>2026-06</v>
      </c>
      <c r="B391" s="2" t="str">
        <f>IFERROR(__xludf.DUMMYFUNCTION("""COMPUTED_VALUE"""),"SYNC-SD")</f>
        <v>SYNC-SD</v>
      </c>
      <c r="C391" s="2">
        <f>IFERROR(__xludf.DUMMYFUNCTION("""COMPUTED_VALUE"""),0.0)</f>
        <v>0</v>
      </c>
      <c r="D391" s="2">
        <f>IFERROR(__xludf.DUMMYFUNCTION("""COMPUTED_VALUE"""),0.0)</f>
        <v>0</v>
      </c>
      <c r="E391" s="2">
        <f>IFERROR(__xludf.DUMMYFUNCTION("""COMPUTED_VALUE"""),0.0)</f>
        <v>0</v>
      </c>
      <c r="F391" s="2">
        <f>IFERROR(__xludf.DUMMYFUNCTION("""COMPUTED_VALUE"""),0.0)</f>
        <v>0</v>
      </c>
      <c r="G391" s="2">
        <f>IFERROR(__xludf.DUMMYFUNCTION("""COMPUTED_VALUE"""),0.0)</f>
        <v>0</v>
      </c>
      <c r="H391" s="2">
        <f>IFERROR(__xludf.DUMMYFUNCTION("""COMPUTED_VALUE"""),0.0)</f>
        <v>0</v>
      </c>
    </row>
    <row r="392" ht="22.5" customHeight="1">
      <c r="A392" s="2" t="str">
        <f>IFERROR(__xludf.DUMMYFUNCTION("""COMPUTED_VALUE"""),"2026-07")</f>
        <v>2026-07</v>
      </c>
      <c r="B392" s="2" t="str">
        <f>IFERROR(__xludf.DUMMYFUNCTION("""COMPUTED_VALUE"""),"SYNC-SD")</f>
        <v>SYNC-SD</v>
      </c>
      <c r="C392" s="2">
        <f>IFERROR(__xludf.DUMMYFUNCTION("""COMPUTED_VALUE"""),0.0)</f>
        <v>0</v>
      </c>
      <c r="D392" s="2">
        <f>IFERROR(__xludf.DUMMYFUNCTION("""COMPUTED_VALUE"""),0.0)</f>
        <v>0</v>
      </c>
      <c r="E392" s="2">
        <f>IFERROR(__xludf.DUMMYFUNCTION("""COMPUTED_VALUE"""),0.0)</f>
        <v>0</v>
      </c>
      <c r="F392" s="2">
        <f>IFERROR(__xludf.DUMMYFUNCTION("""COMPUTED_VALUE"""),0.0)</f>
        <v>0</v>
      </c>
      <c r="G392" s="2">
        <f>IFERROR(__xludf.DUMMYFUNCTION("""COMPUTED_VALUE"""),0.0)</f>
        <v>0</v>
      </c>
      <c r="H392" s="2">
        <f>IFERROR(__xludf.DUMMYFUNCTION("""COMPUTED_VALUE"""),0.0)</f>
        <v>0</v>
      </c>
    </row>
    <row r="393" ht="22.5" customHeight="1">
      <c r="A393" s="2" t="str">
        <f>IFERROR(__xludf.DUMMYFUNCTION("""COMPUTED_VALUE"""),"2026-08")</f>
        <v>2026-08</v>
      </c>
      <c r="B393" s="2" t="str">
        <f>IFERROR(__xludf.DUMMYFUNCTION("""COMPUTED_VALUE"""),"SYNC-SD")</f>
        <v>SYNC-SD</v>
      </c>
      <c r="C393" s="2">
        <f>IFERROR(__xludf.DUMMYFUNCTION("""COMPUTED_VALUE"""),0.0)</f>
        <v>0</v>
      </c>
      <c r="D393" s="2">
        <f>IFERROR(__xludf.DUMMYFUNCTION("""COMPUTED_VALUE"""),0.0)</f>
        <v>0</v>
      </c>
      <c r="E393" s="2">
        <f>IFERROR(__xludf.DUMMYFUNCTION("""COMPUTED_VALUE"""),0.0)</f>
        <v>0</v>
      </c>
      <c r="F393" s="2">
        <f>IFERROR(__xludf.DUMMYFUNCTION("""COMPUTED_VALUE"""),0.0)</f>
        <v>0</v>
      </c>
      <c r="G393" s="2">
        <f>IFERROR(__xludf.DUMMYFUNCTION("""COMPUTED_VALUE"""),0.0)</f>
        <v>0</v>
      </c>
      <c r="H393" s="2">
        <f>IFERROR(__xludf.DUMMYFUNCTION("""COMPUTED_VALUE"""),0.0)</f>
        <v>0</v>
      </c>
    </row>
    <row r="394" ht="22.5" customHeight="1">
      <c r="A394" s="2" t="str">
        <f>IFERROR(__xludf.DUMMYFUNCTION("""COMPUTED_VALUE"""),"2026-09")</f>
        <v>2026-09</v>
      </c>
      <c r="B394" s="2" t="str">
        <f>IFERROR(__xludf.DUMMYFUNCTION("""COMPUTED_VALUE"""),"SYNC-SD")</f>
        <v>SYNC-SD</v>
      </c>
      <c r="C394" s="2">
        <f>IFERROR(__xludf.DUMMYFUNCTION("""COMPUTED_VALUE"""),0.0)</f>
        <v>0</v>
      </c>
      <c r="D394" s="2">
        <f>IFERROR(__xludf.DUMMYFUNCTION("""COMPUTED_VALUE"""),0.0)</f>
        <v>0</v>
      </c>
      <c r="E394" s="2">
        <f>IFERROR(__xludf.DUMMYFUNCTION("""COMPUTED_VALUE"""),0.0)</f>
        <v>0</v>
      </c>
      <c r="F394" s="2">
        <f>IFERROR(__xludf.DUMMYFUNCTION("""COMPUTED_VALUE"""),0.0)</f>
        <v>0</v>
      </c>
      <c r="G394" s="2">
        <f>IFERROR(__xludf.DUMMYFUNCTION("""COMPUTED_VALUE"""),0.0)</f>
        <v>0</v>
      </c>
      <c r="H394" s="2">
        <f>IFERROR(__xludf.DUMMYFUNCTION("""COMPUTED_VALUE"""),0.0)</f>
        <v>0</v>
      </c>
    </row>
    <row r="395" ht="22.5" customHeight="1">
      <c r="A395" s="2" t="str">
        <f>IFERROR(__xludf.DUMMYFUNCTION("""COMPUTED_VALUE"""),"2026-10")</f>
        <v>2026-10</v>
      </c>
      <c r="B395" s="2" t="str">
        <f>IFERROR(__xludf.DUMMYFUNCTION("""COMPUTED_VALUE"""),"SYNC-SD")</f>
        <v>SYNC-SD</v>
      </c>
      <c r="C395" s="2">
        <f>IFERROR(__xludf.DUMMYFUNCTION("""COMPUTED_VALUE"""),0.0)</f>
        <v>0</v>
      </c>
      <c r="D395" s="2">
        <f>IFERROR(__xludf.DUMMYFUNCTION("""COMPUTED_VALUE"""),0.0)</f>
        <v>0</v>
      </c>
      <c r="E395" s="2">
        <f>IFERROR(__xludf.DUMMYFUNCTION("""COMPUTED_VALUE"""),0.0)</f>
        <v>0</v>
      </c>
      <c r="F395" s="2">
        <f>IFERROR(__xludf.DUMMYFUNCTION("""COMPUTED_VALUE"""),0.0)</f>
        <v>0</v>
      </c>
      <c r="G395" s="2">
        <f>IFERROR(__xludf.DUMMYFUNCTION("""COMPUTED_VALUE"""),0.0)</f>
        <v>0</v>
      </c>
      <c r="H395" s="2">
        <f>IFERROR(__xludf.DUMMYFUNCTION("""COMPUTED_VALUE"""),0.0)</f>
        <v>0</v>
      </c>
    </row>
    <row r="396" ht="22.5" customHeight="1">
      <c r="A396" s="2" t="str">
        <f>IFERROR(__xludf.DUMMYFUNCTION("""COMPUTED_VALUE"""),"2026-11")</f>
        <v>2026-11</v>
      </c>
      <c r="B396" s="2" t="str">
        <f>IFERROR(__xludf.DUMMYFUNCTION("""COMPUTED_VALUE"""),"SYNC-SD")</f>
        <v>SYNC-SD</v>
      </c>
      <c r="C396" s="2">
        <f>IFERROR(__xludf.DUMMYFUNCTION("""COMPUTED_VALUE"""),0.0)</f>
        <v>0</v>
      </c>
      <c r="D396" s="2">
        <f>IFERROR(__xludf.DUMMYFUNCTION("""COMPUTED_VALUE"""),0.0)</f>
        <v>0</v>
      </c>
      <c r="E396" s="2">
        <f>IFERROR(__xludf.DUMMYFUNCTION("""COMPUTED_VALUE"""),0.0)</f>
        <v>0</v>
      </c>
      <c r="F396" s="2">
        <f>IFERROR(__xludf.DUMMYFUNCTION("""COMPUTED_VALUE"""),0.0)</f>
        <v>0</v>
      </c>
      <c r="G396" s="2">
        <f>IFERROR(__xludf.DUMMYFUNCTION("""COMPUTED_VALUE"""),0.0)</f>
        <v>0</v>
      </c>
      <c r="H396" s="2">
        <f>IFERROR(__xludf.DUMMYFUNCTION("""COMPUTED_VALUE"""),0.0)</f>
        <v>0</v>
      </c>
    </row>
    <row r="397" ht="22.5" customHeight="1">
      <c r="A397" s="2" t="str">
        <f>IFERROR(__xludf.DUMMYFUNCTION("""COMPUTED_VALUE"""),"2026-12")</f>
        <v>2026-12</v>
      </c>
      <c r="B397" s="2" t="str">
        <f>IFERROR(__xludf.DUMMYFUNCTION("""COMPUTED_VALUE"""),"SYNC-SD")</f>
        <v>SYNC-SD</v>
      </c>
      <c r="C397" s="2">
        <f>IFERROR(__xludf.DUMMYFUNCTION("""COMPUTED_VALUE"""),0.0)</f>
        <v>0</v>
      </c>
      <c r="D397" s="2">
        <f>IFERROR(__xludf.DUMMYFUNCTION("""COMPUTED_VALUE"""),0.0)</f>
        <v>0</v>
      </c>
      <c r="E397" s="2">
        <f>IFERROR(__xludf.DUMMYFUNCTION("""COMPUTED_VALUE"""),0.0)</f>
        <v>0</v>
      </c>
      <c r="F397" s="2">
        <f>IFERROR(__xludf.DUMMYFUNCTION("""COMPUTED_VALUE"""),0.0)</f>
        <v>0</v>
      </c>
      <c r="G397" s="2">
        <f>IFERROR(__xludf.DUMMYFUNCTION("""COMPUTED_VALUE"""),0.0)</f>
        <v>0</v>
      </c>
      <c r="H397" s="2">
        <f>IFERROR(__xludf.DUMMYFUNCTION("""COMPUTED_VALUE"""),0.0)</f>
        <v>0</v>
      </c>
    </row>
    <row r="398" ht="22.5" customHeight="1">
      <c r="A398" s="2" t="str">
        <f>IFERROR(__xludf.DUMMYFUNCTION("""COMPUTED_VALUE"""),"2026-01")</f>
        <v>2026-01</v>
      </c>
      <c r="B398" s="2" t="str">
        <f>IFERROR(__xludf.DUMMYFUNCTION("""COMPUTED_VALUE"""),"SYNC-SD - LX")</f>
        <v>SYNC-SD - LX</v>
      </c>
      <c r="C398" s="2">
        <f>IFERROR(__xludf.DUMMYFUNCTION("""COMPUTED_VALUE"""),972.0)</f>
        <v>972</v>
      </c>
      <c r="D398" s="2">
        <f>IFERROR(__xludf.DUMMYFUNCTION("""COMPUTED_VALUE"""),0.0)</f>
        <v>0</v>
      </c>
      <c r="E398" s="2">
        <f>IFERROR(__xludf.DUMMYFUNCTION("""COMPUTED_VALUE"""),0.0)</f>
        <v>0</v>
      </c>
      <c r="F398" s="2">
        <f>IFERROR(__xludf.DUMMYFUNCTION("""COMPUTED_VALUE"""),0.0)</f>
        <v>0</v>
      </c>
      <c r="G398" s="2">
        <f>IFERROR(__xludf.DUMMYFUNCTION("""COMPUTED_VALUE"""),592.0)</f>
        <v>592</v>
      </c>
      <c r="H398" s="2">
        <f>IFERROR(__xludf.DUMMYFUNCTION("""COMPUTED_VALUE"""),380.0)</f>
        <v>380</v>
      </c>
    </row>
    <row r="399" ht="22.5" customHeight="1">
      <c r="A399" s="2" t="str">
        <f>IFERROR(__xludf.DUMMYFUNCTION("""COMPUTED_VALUE"""),"2026-02")</f>
        <v>2026-02</v>
      </c>
      <c r="B399" s="2" t="str">
        <f>IFERROR(__xludf.DUMMYFUNCTION("""COMPUTED_VALUE"""),"SYNC-SD - LX")</f>
        <v>SYNC-SD - LX</v>
      </c>
      <c r="C399" s="2">
        <f>IFERROR(__xludf.DUMMYFUNCTION("""COMPUTED_VALUE"""),380.0)</f>
        <v>380</v>
      </c>
      <c r="D399" s="2">
        <f>IFERROR(__xludf.DUMMYFUNCTION("""COMPUTED_VALUE"""),0.0)</f>
        <v>0</v>
      </c>
      <c r="E399" s="2">
        <f>IFERROR(__xludf.DUMMYFUNCTION("""COMPUTED_VALUE"""),0.0)</f>
        <v>0</v>
      </c>
      <c r="F399" s="2">
        <f>IFERROR(__xludf.DUMMYFUNCTION("""COMPUTED_VALUE"""),0.0)</f>
        <v>0</v>
      </c>
      <c r="G399" s="2">
        <f>IFERROR(__xludf.DUMMYFUNCTION("""COMPUTED_VALUE"""),265.0)</f>
        <v>265</v>
      </c>
      <c r="H399" s="2">
        <f>IFERROR(__xludf.DUMMYFUNCTION("""COMPUTED_VALUE"""),115.0)</f>
        <v>115</v>
      </c>
    </row>
    <row r="400" ht="22.5" customHeight="1">
      <c r="A400" s="2" t="str">
        <f>IFERROR(__xludf.DUMMYFUNCTION("""COMPUTED_VALUE"""),"2026-03")</f>
        <v>2026-03</v>
      </c>
      <c r="B400" s="2" t="str">
        <f>IFERROR(__xludf.DUMMYFUNCTION("""COMPUTED_VALUE"""),"SYNC-SD - LX")</f>
        <v>SYNC-SD - LX</v>
      </c>
      <c r="C400" s="2">
        <f>IFERROR(__xludf.DUMMYFUNCTION("""COMPUTED_VALUE"""),115.0)</f>
        <v>115</v>
      </c>
      <c r="D400" s="2">
        <f>IFERROR(__xludf.DUMMYFUNCTION("""COMPUTED_VALUE"""),59.0)</f>
        <v>59</v>
      </c>
      <c r="E400" s="2">
        <f>IFERROR(__xludf.DUMMYFUNCTION("""COMPUTED_VALUE"""),2.0)</f>
        <v>2</v>
      </c>
      <c r="F400" s="2">
        <f>IFERROR(__xludf.DUMMYFUNCTION("""COMPUTED_VALUE"""),11.0)</f>
        <v>11</v>
      </c>
      <c r="G400" s="2">
        <f>IFERROR(__xludf.DUMMYFUNCTION("""COMPUTED_VALUE"""),174.0)</f>
        <v>174</v>
      </c>
      <c r="H400" s="2">
        <f>IFERROR(__xludf.DUMMYFUNCTION("""COMPUTED_VALUE"""),0.0)</f>
        <v>0</v>
      </c>
    </row>
    <row r="401" ht="22.5" customHeight="1">
      <c r="A401" s="2" t="str">
        <f>IFERROR(__xludf.DUMMYFUNCTION("""COMPUTED_VALUE"""),"2026-04")</f>
        <v>2026-04</v>
      </c>
      <c r="B401" s="2" t="str">
        <f>IFERROR(__xludf.DUMMYFUNCTION("""COMPUTED_VALUE"""),"SYNC-SD - LX")</f>
        <v>SYNC-SD - LX</v>
      </c>
      <c r="C401" s="2">
        <f>IFERROR(__xludf.DUMMYFUNCTION("""COMPUTED_VALUE"""),0.0)</f>
        <v>0</v>
      </c>
      <c r="D401" s="2">
        <f>IFERROR(__xludf.DUMMYFUNCTION("""COMPUTED_VALUE"""),0.0)</f>
        <v>0</v>
      </c>
      <c r="E401" s="2">
        <f>IFERROR(__xludf.DUMMYFUNCTION("""COMPUTED_VALUE"""),0.0)</f>
        <v>0</v>
      </c>
      <c r="F401" s="2">
        <f>IFERROR(__xludf.DUMMYFUNCTION("""COMPUTED_VALUE"""),0.0)</f>
        <v>0</v>
      </c>
      <c r="G401" s="2">
        <f>IFERROR(__xludf.DUMMYFUNCTION("""COMPUTED_VALUE"""),0.0)</f>
        <v>0</v>
      </c>
      <c r="H401" s="2">
        <f>IFERROR(__xludf.DUMMYFUNCTION("""COMPUTED_VALUE"""),0.0)</f>
        <v>0</v>
      </c>
    </row>
    <row r="402" ht="22.5" customHeight="1">
      <c r="A402" s="2" t="str">
        <f>IFERROR(__xludf.DUMMYFUNCTION("""COMPUTED_VALUE"""),"2026-05")</f>
        <v>2026-05</v>
      </c>
      <c r="B402" s="2" t="str">
        <f>IFERROR(__xludf.DUMMYFUNCTION("""COMPUTED_VALUE"""),"SYNC-SD - LX")</f>
        <v>SYNC-SD - LX</v>
      </c>
      <c r="C402" s="2">
        <f>IFERROR(__xludf.DUMMYFUNCTION("""COMPUTED_VALUE"""),0.0)</f>
        <v>0</v>
      </c>
      <c r="D402" s="2">
        <f>IFERROR(__xludf.DUMMYFUNCTION("""COMPUTED_VALUE"""),0.0)</f>
        <v>0</v>
      </c>
      <c r="E402" s="2">
        <f>IFERROR(__xludf.DUMMYFUNCTION("""COMPUTED_VALUE"""),0.0)</f>
        <v>0</v>
      </c>
      <c r="F402" s="2">
        <f>IFERROR(__xludf.DUMMYFUNCTION("""COMPUTED_VALUE"""),0.0)</f>
        <v>0</v>
      </c>
      <c r="G402" s="2">
        <f>IFERROR(__xludf.DUMMYFUNCTION("""COMPUTED_VALUE"""),0.0)</f>
        <v>0</v>
      </c>
      <c r="H402" s="2">
        <f>IFERROR(__xludf.DUMMYFUNCTION("""COMPUTED_VALUE"""),0.0)</f>
        <v>0</v>
      </c>
    </row>
    <row r="403" ht="22.5" customHeight="1">
      <c r="A403" s="2" t="str">
        <f>IFERROR(__xludf.DUMMYFUNCTION("""COMPUTED_VALUE"""),"2026-06")</f>
        <v>2026-06</v>
      </c>
      <c r="B403" s="2" t="str">
        <f>IFERROR(__xludf.DUMMYFUNCTION("""COMPUTED_VALUE"""),"SYNC-SD - LX")</f>
        <v>SYNC-SD - LX</v>
      </c>
      <c r="C403" s="2">
        <f>IFERROR(__xludf.DUMMYFUNCTION("""COMPUTED_VALUE"""),0.0)</f>
        <v>0</v>
      </c>
      <c r="D403" s="2">
        <f>IFERROR(__xludf.DUMMYFUNCTION("""COMPUTED_VALUE"""),0.0)</f>
        <v>0</v>
      </c>
      <c r="E403" s="2">
        <f>IFERROR(__xludf.DUMMYFUNCTION("""COMPUTED_VALUE"""),0.0)</f>
        <v>0</v>
      </c>
      <c r="F403" s="2">
        <f>IFERROR(__xludf.DUMMYFUNCTION("""COMPUTED_VALUE"""),0.0)</f>
        <v>0</v>
      </c>
      <c r="G403" s="2">
        <f>IFERROR(__xludf.DUMMYFUNCTION("""COMPUTED_VALUE"""),0.0)</f>
        <v>0</v>
      </c>
      <c r="H403" s="2">
        <f>IFERROR(__xludf.DUMMYFUNCTION("""COMPUTED_VALUE"""),0.0)</f>
        <v>0</v>
      </c>
    </row>
    <row r="404" ht="22.5" customHeight="1">
      <c r="A404" s="2" t="str">
        <f>IFERROR(__xludf.DUMMYFUNCTION("""COMPUTED_VALUE"""),"2026-07")</f>
        <v>2026-07</v>
      </c>
      <c r="B404" s="2" t="str">
        <f>IFERROR(__xludf.DUMMYFUNCTION("""COMPUTED_VALUE"""),"SYNC-SD - LX")</f>
        <v>SYNC-SD - LX</v>
      </c>
      <c r="C404" s="2">
        <f>IFERROR(__xludf.DUMMYFUNCTION("""COMPUTED_VALUE"""),0.0)</f>
        <v>0</v>
      </c>
      <c r="D404" s="2">
        <f>IFERROR(__xludf.DUMMYFUNCTION("""COMPUTED_VALUE"""),0.0)</f>
        <v>0</v>
      </c>
      <c r="E404" s="2">
        <f>IFERROR(__xludf.DUMMYFUNCTION("""COMPUTED_VALUE"""),0.0)</f>
        <v>0</v>
      </c>
      <c r="F404" s="2">
        <f>IFERROR(__xludf.DUMMYFUNCTION("""COMPUTED_VALUE"""),0.0)</f>
        <v>0</v>
      </c>
      <c r="G404" s="2">
        <f>IFERROR(__xludf.DUMMYFUNCTION("""COMPUTED_VALUE"""),0.0)</f>
        <v>0</v>
      </c>
      <c r="H404" s="2">
        <f>IFERROR(__xludf.DUMMYFUNCTION("""COMPUTED_VALUE"""),0.0)</f>
        <v>0</v>
      </c>
    </row>
    <row r="405" ht="22.5" customHeight="1">
      <c r="A405" s="2" t="str">
        <f>IFERROR(__xludf.DUMMYFUNCTION("""COMPUTED_VALUE"""),"2026-08")</f>
        <v>2026-08</v>
      </c>
      <c r="B405" s="2" t="str">
        <f>IFERROR(__xludf.DUMMYFUNCTION("""COMPUTED_VALUE"""),"SYNC-SD - LX")</f>
        <v>SYNC-SD - LX</v>
      </c>
      <c r="C405" s="2">
        <f>IFERROR(__xludf.DUMMYFUNCTION("""COMPUTED_VALUE"""),0.0)</f>
        <v>0</v>
      </c>
      <c r="D405" s="2">
        <f>IFERROR(__xludf.DUMMYFUNCTION("""COMPUTED_VALUE"""),0.0)</f>
        <v>0</v>
      </c>
      <c r="E405" s="2">
        <f>IFERROR(__xludf.DUMMYFUNCTION("""COMPUTED_VALUE"""),0.0)</f>
        <v>0</v>
      </c>
      <c r="F405" s="2">
        <f>IFERROR(__xludf.DUMMYFUNCTION("""COMPUTED_VALUE"""),0.0)</f>
        <v>0</v>
      </c>
      <c r="G405" s="2">
        <f>IFERROR(__xludf.DUMMYFUNCTION("""COMPUTED_VALUE"""),0.0)</f>
        <v>0</v>
      </c>
      <c r="H405" s="2">
        <f>IFERROR(__xludf.DUMMYFUNCTION("""COMPUTED_VALUE"""),0.0)</f>
        <v>0</v>
      </c>
    </row>
    <row r="406" ht="22.5" customHeight="1">
      <c r="A406" s="2" t="str">
        <f>IFERROR(__xludf.DUMMYFUNCTION("""COMPUTED_VALUE"""),"2026-09")</f>
        <v>2026-09</v>
      </c>
      <c r="B406" s="2" t="str">
        <f>IFERROR(__xludf.DUMMYFUNCTION("""COMPUTED_VALUE"""),"SYNC-SD - LX")</f>
        <v>SYNC-SD - LX</v>
      </c>
      <c r="C406" s="2">
        <f>IFERROR(__xludf.DUMMYFUNCTION("""COMPUTED_VALUE"""),0.0)</f>
        <v>0</v>
      </c>
      <c r="D406" s="2">
        <f>IFERROR(__xludf.DUMMYFUNCTION("""COMPUTED_VALUE"""),0.0)</f>
        <v>0</v>
      </c>
      <c r="E406" s="2">
        <f>IFERROR(__xludf.DUMMYFUNCTION("""COMPUTED_VALUE"""),0.0)</f>
        <v>0</v>
      </c>
      <c r="F406" s="2">
        <f>IFERROR(__xludf.DUMMYFUNCTION("""COMPUTED_VALUE"""),0.0)</f>
        <v>0</v>
      </c>
      <c r="G406" s="2">
        <f>IFERROR(__xludf.DUMMYFUNCTION("""COMPUTED_VALUE"""),0.0)</f>
        <v>0</v>
      </c>
      <c r="H406" s="2">
        <f>IFERROR(__xludf.DUMMYFUNCTION("""COMPUTED_VALUE"""),0.0)</f>
        <v>0</v>
      </c>
    </row>
    <row r="407" ht="22.5" customHeight="1">
      <c r="A407" s="2" t="str">
        <f>IFERROR(__xludf.DUMMYFUNCTION("""COMPUTED_VALUE"""),"2026-10")</f>
        <v>2026-10</v>
      </c>
      <c r="B407" s="2" t="str">
        <f>IFERROR(__xludf.DUMMYFUNCTION("""COMPUTED_VALUE"""),"SYNC-SD - LX")</f>
        <v>SYNC-SD - LX</v>
      </c>
      <c r="C407" s="2">
        <f>IFERROR(__xludf.DUMMYFUNCTION("""COMPUTED_VALUE"""),0.0)</f>
        <v>0</v>
      </c>
      <c r="D407" s="2">
        <f>IFERROR(__xludf.DUMMYFUNCTION("""COMPUTED_VALUE"""),0.0)</f>
        <v>0</v>
      </c>
      <c r="E407" s="2">
        <f>IFERROR(__xludf.DUMMYFUNCTION("""COMPUTED_VALUE"""),0.0)</f>
        <v>0</v>
      </c>
      <c r="F407" s="2">
        <f>IFERROR(__xludf.DUMMYFUNCTION("""COMPUTED_VALUE"""),0.0)</f>
        <v>0</v>
      </c>
      <c r="G407" s="2">
        <f>IFERROR(__xludf.DUMMYFUNCTION("""COMPUTED_VALUE"""),0.0)</f>
        <v>0</v>
      </c>
      <c r="H407" s="2">
        <f>IFERROR(__xludf.DUMMYFUNCTION("""COMPUTED_VALUE"""),0.0)</f>
        <v>0</v>
      </c>
    </row>
    <row r="408" ht="22.5" customHeight="1">
      <c r="A408" s="2" t="str">
        <f>IFERROR(__xludf.DUMMYFUNCTION("""COMPUTED_VALUE"""),"2026-11")</f>
        <v>2026-11</v>
      </c>
      <c r="B408" s="2" t="str">
        <f>IFERROR(__xludf.DUMMYFUNCTION("""COMPUTED_VALUE"""),"SYNC-SD - LX")</f>
        <v>SYNC-SD - LX</v>
      </c>
      <c r="C408" s="2">
        <f>IFERROR(__xludf.DUMMYFUNCTION("""COMPUTED_VALUE"""),0.0)</f>
        <v>0</v>
      </c>
      <c r="D408" s="2">
        <f>IFERROR(__xludf.DUMMYFUNCTION("""COMPUTED_VALUE"""),0.0)</f>
        <v>0</v>
      </c>
      <c r="E408" s="2">
        <f>IFERROR(__xludf.DUMMYFUNCTION("""COMPUTED_VALUE"""),0.0)</f>
        <v>0</v>
      </c>
      <c r="F408" s="2">
        <f>IFERROR(__xludf.DUMMYFUNCTION("""COMPUTED_VALUE"""),0.0)</f>
        <v>0</v>
      </c>
      <c r="G408" s="2">
        <f>IFERROR(__xludf.DUMMYFUNCTION("""COMPUTED_VALUE"""),0.0)</f>
        <v>0</v>
      </c>
      <c r="H408" s="2">
        <f>IFERROR(__xludf.DUMMYFUNCTION("""COMPUTED_VALUE"""),0.0)</f>
        <v>0</v>
      </c>
    </row>
    <row r="409" ht="22.5" customHeight="1">
      <c r="A409" s="2" t="str">
        <f>IFERROR(__xludf.DUMMYFUNCTION("""COMPUTED_VALUE"""),"2026-12")</f>
        <v>2026-12</v>
      </c>
      <c r="B409" s="2" t="str">
        <f>IFERROR(__xludf.DUMMYFUNCTION("""COMPUTED_VALUE"""),"SYNC-SD - LX")</f>
        <v>SYNC-SD - LX</v>
      </c>
      <c r="C409" s="2">
        <f>IFERROR(__xludf.DUMMYFUNCTION("""COMPUTED_VALUE"""),0.0)</f>
        <v>0</v>
      </c>
      <c r="D409" s="2">
        <f>IFERROR(__xludf.DUMMYFUNCTION("""COMPUTED_VALUE"""),0.0)</f>
        <v>0</v>
      </c>
      <c r="E409" s="2">
        <f>IFERROR(__xludf.DUMMYFUNCTION("""COMPUTED_VALUE"""),0.0)</f>
        <v>0</v>
      </c>
      <c r="F409" s="2">
        <f>IFERROR(__xludf.DUMMYFUNCTION("""COMPUTED_VALUE"""),0.0)</f>
        <v>0</v>
      </c>
      <c r="G409" s="2">
        <f>IFERROR(__xludf.DUMMYFUNCTION("""COMPUTED_VALUE"""),0.0)</f>
        <v>0</v>
      </c>
      <c r="H409" s="2">
        <f>IFERROR(__xludf.DUMMYFUNCTION("""COMPUTED_VALUE"""),0.0)</f>
        <v>0</v>
      </c>
    </row>
    <row r="410" ht="22.5" customHeight="1">
      <c r="A410" s="2" t="str">
        <f>IFERROR(__xludf.DUMMYFUNCTION("""COMPUTED_VALUE"""),"2026-01")</f>
        <v>2026-01</v>
      </c>
      <c r="B410" s="2" t="str">
        <f>IFERROR(__xludf.DUMMYFUNCTION("""COMPUTED_VALUE"""),"SYNC-SUV")</f>
        <v>SYNC-SUV</v>
      </c>
      <c r="C410" s="2">
        <f>IFERROR(__xludf.DUMMYFUNCTION("""COMPUTED_VALUE"""),1113.0)</f>
        <v>1113</v>
      </c>
      <c r="D410" s="2">
        <f>IFERROR(__xludf.DUMMYFUNCTION("""COMPUTED_VALUE"""),0.0)</f>
        <v>0</v>
      </c>
      <c r="E410" s="2">
        <f>IFERROR(__xludf.DUMMYFUNCTION("""COMPUTED_VALUE"""),0.0)</f>
        <v>0</v>
      </c>
      <c r="F410" s="2">
        <f>IFERROR(__xludf.DUMMYFUNCTION("""COMPUTED_VALUE"""),0.0)</f>
        <v>0</v>
      </c>
      <c r="G410" s="2">
        <f>IFERROR(__xludf.DUMMYFUNCTION("""COMPUTED_VALUE"""),627.0)</f>
        <v>627</v>
      </c>
      <c r="H410" s="2">
        <f>IFERROR(__xludf.DUMMYFUNCTION("""COMPUTED_VALUE"""),486.0)</f>
        <v>486</v>
      </c>
    </row>
    <row r="411" ht="22.5" customHeight="1">
      <c r="A411" s="2" t="str">
        <f>IFERROR(__xludf.DUMMYFUNCTION("""COMPUTED_VALUE"""),"2026-02")</f>
        <v>2026-02</v>
      </c>
      <c r="B411" s="2" t="str">
        <f>IFERROR(__xludf.DUMMYFUNCTION("""COMPUTED_VALUE"""),"SYNC-SUV")</f>
        <v>SYNC-SUV</v>
      </c>
      <c r="C411" s="2">
        <f>IFERROR(__xludf.DUMMYFUNCTION("""COMPUTED_VALUE"""),486.0)</f>
        <v>486</v>
      </c>
      <c r="D411" s="2">
        <f>IFERROR(__xludf.DUMMYFUNCTION("""COMPUTED_VALUE"""),0.0)</f>
        <v>0</v>
      </c>
      <c r="E411" s="2">
        <f>IFERROR(__xludf.DUMMYFUNCTION("""COMPUTED_VALUE"""),0.0)</f>
        <v>0</v>
      </c>
      <c r="F411" s="2">
        <f>IFERROR(__xludf.DUMMYFUNCTION("""COMPUTED_VALUE"""),0.0)</f>
        <v>0</v>
      </c>
      <c r="G411" s="2">
        <f>IFERROR(__xludf.DUMMYFUNCTION("""COMPUTED_VALUE"""),486.0)</f>
        <v>486</v>
      </c>
      <c r="H411" s="2">
        <f>IFERROR(__xludf.DUMMYFUNCTION("""COMPUTED_VALUE"""),0.0)</f>
        <v>0</v>
      </c>
    </row>
    <row r="412" ht="22.5" customHeight="1">
      <c r="A412" s="2" t="str">
        <f>IFERROR(__xludf.DUMMYFUNCTION("""COMPUTED_VALUE"""),"2026-03")</f>
        <v>2026-03</v>
      </c>
      <c r="B412" s="2" t="str">
        <f>IFERROR(__xludf.DUMMYFUNCTION("""COMPUTED_VALUE"""),"SYNC-SUV")</f>
        <v>SYNC-SUV</v>
      </c>
      <c r="C412" s="2">
        <f>IFERROR(__xludf.DUMMYFUNCTION("""COMPUTED_VALUE"""),0.0)</f>
        <v>0</v>
      </c>
      <c r="D412" s="2">
        <f>IFERROR(__xludf.DUMMYFUNCTION("""COMPUTED_VALUE"""),0.0)</f>
        <v>0</v>
      </c>
      <c r="E412" s="2">
        <f>IFERROR(__xludf.DUMMYFUNCTION("""COMPUTED_VALUE"""),0.0)</f>
        <v>0</v>
      </c>
      <c r="F412" s="2">
        <f>IFERROR(__xludf.DUMMYFUNCTION("""COMPUTED_VALUE"""),0.0)</f>
        <v>0</v>
      </c>
      <c r="G412" s="2">
        <f>IFERROR(__xludf.DUMMYFUNCTION("""COMPUTED_VALUE"""),0.0)</f>
        <v>0</v>
      </c>
      <c r="H412" s="2">
        <f>IFERROR(__xludf.DUMMYFUNCTION("""COMPUTED_VALUE"""),0.0)</f>
        <v>0</v>
      </c>
    </row>
    <row r="413" ht="22.5" customHeight="1">
      <c r="A413" s="2" t="str">
        <f>IFERROR(__xludf.DUMMYFUNCTION("""COMPUTED_VALUE"""),"2026-04")</f>
        <v>2026-04</v>
      </c>
      <c r="B413" s="2" t="str">
        <f>IFERROR(__xludf.DUMMYFUNCTION("""COMPUTED_VALUE"""),"SYNC-SUV")</f>
        <v>SYNC-SUV</v>
      </c>
      <c r="C413" s="2">
        <f>IFERROR(__xludf.DUMMYFUNCTION("""COMPUTED_VALUE"""),0.0)</f>
        <v>0</v>
      </c>
      <c r="D413" s="2">
        <f>IFERROR(__xludf.DUMMYFUNCTION("""COMPUTED_VALUE"""),0.0)</f>
        <v>0</v>
      </c>
      <c r="E413" s="2">
        <f>IFERROR(__xludf.DUMMYFUNCTION("""COMPUTED_VALUE"""),0.0)</f>
        <v>0</v>
      </c>
      <c r="F413" s="2">
        <f>IFERROR(__xludf.DUMMYFUNCTION("""COMPUTED_VALUE"""),0.0)</f>
        <v>0</v>
      </c>
      <c r="G413" s="2">
        <f>IFERROR(__xludf.DUMMYFUNCTION("""COMPUTED_VALUE"""),0.0)</f>
        <v>0</v>
      </c>
      <c r="H413" s="2">
        <f>IFERROR(__xludf.DUMMYFUNCTION("""COMPUTED_VALUE"""),0.0)</f>
        <v>0</v>
      </c>
    </row>
    <row r="414" ht="22.5" customHeight="1">
      <c r="A414" s="2" t="str">
        <f>IFERROR(__xludf.DUMMYFUNCTION("""COMPUTED_VALUE"""),"2026-05")</f>
        <v>2026-05</v>
      </c>
      <c r="B414" s="2" t="str">
        <f>IFERROR(__xludf.DUMMYFUNCTION("""COMPUTED_VALUE"""),"SYNC-SUV")</f>
        <v>SYNC-SUV</v>
      </c>
      <c r="C414" s="2">
        <f>IFERROR(__xludf.DUMMYFUNCTION("""COMPUTED_VALUE"""),0.0)</f>
        <v>0</v>
      </c>
      <c r="D414" s="2">
        <f>IFERROR(__xludf.DUMMYFUNCTION("""COMPUTED_VALUE"""),0.0)</f>
        <v>0</v>
      </c>
      <c r="E414" s="2">
        <f>IFERROR(__xludf.DUMMYFUNCTION("""COMPUTED_VALUE"""),0.0)</f>
        <v>0</v>
      </c>
      <c r="F414" s="2">
        <f>IFERROR(__xludf.DUMMYFUNCTION("""COMPUTED_VALUE"""),0.0)</f>
        <v>0</v>
      </c>
      <c r="G414" s="2">
        <f>IFERROR(__xludf.DUMMYFUNCTION("""COMPUTED_VALUE"""),0.0)</f>
        <v>0</v>
      </c>
      <c r="H414" s="2">
        <f>IFERROR(__xludf.DUMMYFUNCTION("""COMPUTED_VALUE"""),0.0)</f>
        <v>0</v>
      </c>
    </row>
    <row r="415" ht="22.5" customHeight="1">
      <c r="A415" s="2" t="str">
        <f>IFERROR(__xludf.DUMMYFUNCTION("""COMPUTED_VALUE"""),"2026-06")</f>
        <v>2026-06</v>
      </c>
      <c r="B415" s="2" t="str">
        <f>IFERROR(__xludf.DUMMYFUNCTION("""COMPUTED_VALUE"""),"SYNC-SUV")</f>
        <v>SYNC-SUV</v>
      </c>
      <c r="C415" s="2">
        <f>IFERROR(__xludf.DUMMYFUNCTION("""COMPUTED_VALUE"""),0.0)</f>
        <v>0</v>
      </c>
      <c r="D415" s="2">
        <f>IFERROR(__xludf.DUMMYFUNCTION("""COMPUTED_VALUE"""),0.0)</f>
        <v>0</v>
      </c>
      <c r="E415" s="2">
        <f>IFERROR(__xludf.DUMMYFUNCTION("""COMPUTED_VALUE"""),0.0)</f>
        <v>0</v>
      </c>
      <c r="F415" s="2">
        <f>IFERROR(__xludf.DUMMYFUNCTION("""COMPUTED_VALUE"""),0.0)</f>
        <v>0</v>
      </c>
      <c r="G415" s="2">
        <f>IFERROR(__xludf.DUMMYFUNCTION("""COMPUTED_VALUE"""),0.0)</f>
        <v>0</v>
      </c>
      <c r="H415" s="2">
        <f>IFERROR(__xludf.DUMMYFUNCTION("""COMPUTED_VALUE"""),0.0)</f>
        <v>0</v>
      </c>
    </row>
    <row r="416" ht="22.5" customHeight="1">
      <c r="A416" s="2" t="str">
        <f>IFERROR(__xludf.DUMMYFUNCTION("""COMPUTED_VALUE"""),"2026-07")</f>
        <v>2026-07</v>
      </c>
      <c r="B416" s="2" t="str">
        <f>IFERROR(__xludf.DUMMYFUNCTION("""COMPUTED_VALUE"""),"SYNC-SUV")</f>
        <v>SYNC-SUV</v>
      </c>
      <c r="C416" s="2">
        <f>IFERROR(__xludf.DUMMYFUNCTION("""COMPUTED_VALUE"""),0.0)</f>
        <v>0</v>
      </c>
      <c r="D416" s="2">
        <f>IFERROR(__xludf.DUMMYFUNCTION("""COMPUTED_VALUE"""),0.0)</f>
        <v>0</v>
      </c>
      <c r="E416" s="2">
        <f>IFERROR(__xludf.DUMMYFUNCTION("""COMPUTED_VALUE"""),0.0)</f>
        <v>0</v>
      </c>
      <c r="F416" s="2">
        <f>IFERROR(__xludf.DUMMYFUNCTION("""COMPUTED_VALUE"""),0.0)</f>
        <v>0</v>
      </c>
      <c r="G416" s="2">
        <f>IFERROR(__xludf.DUMMYFUNCTION("""COMPUTED_VALUE"""),0.0)</f>
        <v>0</v>
      </c>
      <c r="H416" s="2">
        <f>IFERROR(__xludf.DUMMYFUNCTION("""COMPUTED_VALUE"""),0.0)</f>
        <v>0</v>
      </c>
    </row>
    <row r="417" ht="22.5" customHeight="1">
      <c r="A417" s="2" t="str">
        <f>IFERROR(__xludf.DUMMYFUNCTION("""COMPUTED_VALUE"""),"2026-08")</f>
        <v>2026-08</v>
      </c>
      <c r="B417" s="2" t="str">
        <f>IFERROR(__xludf.DUMMYFUNCTION("""COMPUTED_VALUE"""),"SYNC-SUV")</f>
        <v>SYNC-SUV</v>
      </c>
      <c r="C417" s="2">
        <f>IFERROR(__xludf.DUMMYFUNCTION("""COMPUTED_VALUE"""),0.0)</f>
        <v>0</v>
      </c>
      <c r="D417" s="2">
        <f>IFERROR(__xludf.DUMMYFUNCTION("""COMPUTED_VALUE"""),0.0)</f>
        <v>0</v>
      </c>
      <c r="E417" s="2">
        <f>IFERROR(__xludf.DUMMYFUNCTION("""COMPUTED_VALUE"""),0.0)</f>
        <v>0</v>
      </c>
      <c r="F417" s="2">
        <f>IFERROR(__xludf.DUMMYFUNCTION("""COMPUTED_VALUE"""),0.0)</f>
        <v>0</v>
      </c>
      <c r="G417" s="2">
        <f>IFERROR(__xludf.DUMMYFUNCTION("""COMPUTED_VALUE"""),0.0)</f>
        <v>0</v>
      </c>
      <c r="H417" s="2">
        <f>IFERROR(__xludf.DUMMYFUNCTION("""COMPUTED_VALUE"""),0.0)</f>
        <v>0</v>
      </c>
    </row>
    <row r="418" ht="22.5" customHeight="1">
      <c r="A418" s="2" t="str">
        <f>IFERROR(__xludf.DUMMYFUNCTION("""COMPUTED_VALUE"""),"2026-09")</f>
        <v>2026-09</v>
      </c>
      <c r="B418" s="2" t="str">
        <f>IFERROR(__xludf.DUMMYFUNCTION("""COMPUTED_VALUE"""),"SYNC-SUV")</f>
        <v>SYNC-SUV</v>
      </c>
      <c r="C418" s="2">
        <f>IFERROR(__xludf.DUMMYFUNCTION("""COMPUTED_VALUE"""),0.0)</f>
        <v>0</v>
      </c>
      <c r="D418" s="2">
        <f>IFERROR(__xludf.DUMMYFUNCTION("""COMPUTED_VALUE"""),0.0)</f>
        <v>0</v>
      </c>
      <c r="E418" s="2">
        <f>IFERROR(__xludf.DUMMYFUNCTION("""COMPUTED_VALUE"""),0.0)</f>
        <v>0</v>
      </c>
      <c r="F418" s="2">
        <f>IFERROR(__xludf.DUMMYFUNCTION("""COMPUTED_VALUE"""),0.0)</f>
        <v>0</v>
      </c>
      <c r="G418" s="2">
        <f>IFERROR(__xludf.DUMMYFUNCTION("""COMPUTED_VALUE"""),0.0)</f>
        <v>0</v>
      </c>
      <c r="H418" s="2">
        <f>IFERROR(__xludf.DUMMYFUNCTION("""COMPUTED_VALUE"""),0.0)</f>
        <v>0</v>
      </c>
    </row>
    <row r="419" ht="22.5" customHeight="1">
      <c r="A419" s="2" t="str">
        <f>IFERROR(__xludf.DUMMYFUNCTION("""COMPUTED_VALUE"""),"2026-10")</f>
        <v>2026-10</v>
      </c>
      <c r="B419" s="2" t="str">
        <f>IFERROR(__xludf.DUMMYFUNCTION("""COMPUTED_VALUE"""),"SYNC-SUV")</f>
        <v>SYNC-SUV</v>
      </c>
      <c r="C419" s="2">
        <f>IFERROR(__xludf.DUMMYFUNCTION("""COMPUTED_VALUE"""),0.0)</f>
        <v>0</v>
      </c>
      <c r="D419" s="2">
        <f>IFERROR(__xludf.DUMMYFUNCTION("""COMPUTED_VALUE"""),0.0)</f>
        <v>0</v>
      </c>
      <c r="E419" s="2">
        <f>IFERROR(__xludf.DUMMYFUNCTION("""COMPUTED_VALUE"""),0.0)</f>
        <v>0</v>
      </c>
      <c r="F419" s="2">
        <f>IFERROR(__xludf.DUMMYFUNCTION("""COMPUTED_VALUE"""),0.0)</f>
        <v>0</v>
      </c>
      <c r="G419" s="2">
        <f>IFERROR(__xludf.DUMMYFUNCTION("""COMPUTED_VALUE"""),0.0)</f>
        <v>0</v>
      </c>
      <c r="H419" s="2">
        <f>IFERROR(__xludf.DUMMYFUNCTION("""COMPUTED_VALUE"""),0.0)</f>
        <v>0</v>
      </c>
    </row>
    <row r="420" ht="22.5" customHeight="1">
      <c r="A420" s="2" t="str">
        <f>IFERROR(__xludf.DUMMYFUNCTION("""COMPUTED_VALUE"""),"2026-11")</f>
        <v>2026-11</v>
      </c>
      <c r="B420" s="2" t="str">
        <f>IFERROR(__xludf.DUMMYFUNCTION("""COMPUTED_VALUE"""),"SYNC-SUV")</f>
        <v>SYNC-SUV</v>
      </c>
      <c r="C420" s="2">
        <f>IFERROR(__xludf.DUMMYFUNCTION("""COMPUTED_VALUE"""),0.0)</f>
        <v>0</v>
      </c>
      <c r="D420" s="2">
        <f>IFERROR(__xludf.DUMMYFUNCTION("""COMPUTED_VALUE"""),0.0)</f>
        <v>0</v>
      </c>
      <c r="E420" s="2">
        <f>IFERROR(__xludf.DUMMYFUNCTION("""COMPUTED_VALUE"""),0.0)</f>
        <v>0</v>
      </c>
      <c r="F420" s="2">
        <f>IFERROR(__xludf.DUMMYFUNCTION("""COMPUTED_VALUE"""),0.0)</f>
        <v>0</v>
      </c>
      <c r="G420" s="2">
        <f>IFERROR(__xludf.DUMMYFUNCTION("""COMPUTED_VALUE"""),0.0)</f>
        <v>0</v>
      </c>
      <c r="H420" s="2">
        <f>IFERROR(__xludf.DUMMYFUNCTION("""COMPUTED_VALUE"""),0.0)</f>
        <v>0</v>
      </c>
    </row>
    <row r="421" ht="22.5" customHeight="1">
      <c r="A421" s="2" t="str">
        <f>IFERROR(__xludf.DUMMYFUNCTION("""COMPUTED_VALUE"""),"2026-12")</f>
        <v>2026-12</v>
      </c>
      <c r="B421" s="2" t="str">
        <f>IFERROR(__xludf.DUMMYFUNCTION("""COMPUTED_VALUE"""),"SYNC-SUV")</f>
        <v>SYNC-SUV</v>
      </c>
      <c r="C421" s="2">
        <f>IFERROR(__xludf.DUMMYFUNCTION("""COMPUTED_VALUE"""),0.0)</f>
        <v>0</v>
      </c>
      <c r="D421" s="2">
        <f>IFERROR(__xludf.DUMMYFUNCTION("""COMPUTED_VALUE"""),0.0)</f>
        <v>0</v>
      </c>
      <c r="E421" s="2">
        <f>IFERROR(__xludf.DUMMYFUNCTION("""COMPUTED_VALUE"""),0.0)</f>
        <v>0</v>
      </c>
      <c r="F421" s="2">
        <f>IFERROR(__xludf.DUMMYFUNCTION("""COMPUTED_VALUE"""),0.0)</f>
        <v>0</v>
      </c>
      <c r="G421" s="2">
        <f>IFERROR(__xludf.DUMMYFUNCTION("""COMPUTED_VALUE"""),0.0)</f>
        <v>0</v>
      </c>
      <c r="H421" s="2">
        <f>IFERROR(__xludf.DUMMYFUNCTION("""COMPUTED_VALUE"""),0.0)</f>
        <v>0</v>
      </c>
    </row>
    <row r="422" ht="22.5" customHeight="1">
      <c r="A422" s="2" t="str">
        <f>IFERROR(__xludf.DUMMYFUNCTION("""COMPUTED_VALUE"""),"2026-01")</f>
        <v>2026-01</v>
      </c>
      <c r="B422" s="2" t="str">
        <f>IFERROR(__xludf.DUMMYFUNCTION("""COMPUTED_VALUE"""),"SYNC-SUV - LX")</f>
        <v>SYNC-SUV - LX</v>
      </c>
      <c r="C422" s="2">
        <f>IFERROR(__xludf.DUMMYFUNCTION("""COMPUTED_VALUE"""),936.0)</f>
        <v>936</v>
      </c>
      <c r="D422" s="2">
        <f>IFERROR(__xludf.DUMMYFUNCTION("""COMPUTED_VALUE"""),0.0)</f>
        <v>0</v>
      </c>
      <c r="E422" s="2">
        <f>IFERROR(__xludf.DUMMYFUNCTION("""COMPUTED_VALUE"""),0.0)</f>
        <v>0</v>
      </c>
      <c r="F422" s="2">
        <f>IFERROR(__xludf.DUMMYFUNCTION("""COMPUTED_VALUE"""),0.0)</f>
        <v>0</v>
      </c>
      <c r="G422" s="2">
        <f>IFERROR(__xludf.DUMMYFUNCTION("""COMPUTED_VALUE"""),355.0)</f>
        <v>355</v>
      </c>
      <c r="H422" s="2">
        <f>IFERROR(__xludf.DUMMYFUNCTION("""COMPUTED_VALUE"""),581.0)</f>
        <v>581</v>
      </c>
    </row>
    <row r="423" ht="22.5" customHeight="1">
      <c r="A423" s="2" t="str">
        <f>IFERROR(__xludf.DUMMYFUNCTION("""COMPUTED_VALUE"""),"2026-02")</f>
        <v>2026-02</v>
      </c>
      <c r="B423" s="2" t="str">
        <f>IFERROR(__xludf.DUMMYFUNCTION("""COMPUTED_VALUE"""),"SYNC-SUV - LX")</f>
        <v>SYNC-SUV - LX</v>
      </c>
      <c r="C423" s="2">
        <f>IFERROR(__xludf.DUMMYFUNCTION("""COMPUTED_VALUE"""),581.0)</f>
        <v>581</v>
      </c>
      <c r="D423" s="2">
        <f>IFERROR(__xludf.DUMMYFUNCTION("""COMPUTED_VALUE"""),0.0)</f>
        <v>0</v>
      </c>
      <c r="E423" s="2">
        <f>IFERROR(__xludf.DUMMYFUNCTION("""COMPUTED_VALUE"""),0.0)</f>
        <v>0</v>
      </c>
      <c r="F423" s="2">
        <f>IFERROR(__xludf.DUMMYFUNCTION("""COMPUTED_VALUE"""),0.0)</f>
        <v>0</v>
      </c>
      <c r="G423" s="2">
        <f>IFERROR(__xludf.DUMMYFUNCTION("""COMPUTED_VALUE"""),492.0)</f>
        <v>492</v>
      </c>
      <c r="H423" s="2">
        <f>IFERROR(__xludf.DUMMYFUNCTION("""COMPUTED_VALUE"""),89.0)</f>
        <v>89</v>
      </c>
    </row>
    <row r="424" ht="22.5" customHeight="1">
      <c r="A424" s="2" t="str">
        <f>IFERROR(__xludf.DUMMYFUNCTION("""COMPUTED_VALUE"""),"2026-03")</f>
        <v>2026-03</v>
      </c>
      <c r="B424" s="2" t="str">
        <f>IFERROR(__xludf.DUMMYFUNCTION("""COMPUTED_VALUE"""),"SYNC-SUV - LX")</f>
        <v>SYNC-SUV - LX</v>
      </c>
      <c r="C424" s="2">
        <f>IFERROR(__xludf.DUMMYFUNCTION("""COMPUTED_VALUE"""),89.0)</f>
        <v>89</v>
      </c>
      <c r="D424" s="2">
        <f>IFERROR(__xludf.DUMMYFUNCTION("""COMPUTED_VALUE"""),0.0)</f>
        <v>0</v>
      </c>
      <c r="E424" s="2">
        <f>IFERROR(__xludf.DUMMYFUNCTION("""COMPUTED_VALUE"""),0.0)</f>
        <v>0</v>
      </c>
      <c r="F424" s="2">
        <f>IFERROR(__xludf.DUMMYFUNCTION("""COMPUTED_VALUE"""),0.0)</f>
        <v>0</v>
      </c>
      <c r="G424" s="2">
        <f>IFERROR(__xludf.DUMMYFUNCTION("""COMPUTED_VALUE"""),89.0)</f>
        <v>89</v>
      </c>
      <c r="H424" s="2">
        <f>IFERROR(__xludf.DUMMYFUNCTION("""COMPUTED_VALUE"""),0.0)</f>
        <v>0</v>
      </c>
    </row>
    <row r="425" ht="22.5" customHeight="1">
      <c r="A425" s="2" t="str">
        <f>IFERROR(__xludf.DUMMYFUNCTION("""COMPUTED_VALUE"""),"2026-04")</f>
        <v>2026-04</v>
      </c>
      <c r="B425" s="2" t="str">
        <f>IFERROR(__xludf.DUMMYFUNCTION("""COMPUTED_VALUE"""),"SYNC-SUV - LX")</f>
        <v>SYNC-SUV - LX</v>
      </c>
      <c r="C425" s="2">
        <f>IFERROR(__xludf.DUMMYFUNCTION("""COMPUTED_VALUE"""),0.0)</f>
        <v>0</v>
      </c>
      <c r="D425" s="2">
        <f>IFERROR(__xludf.DUMMYFUNCTION("""COMPUTED_VALUE"""),0.0)</f>
        <v>0</v>
      </c>
      <c r="E425" s="2">
        <f>IFERROR(__xludf.DUMMYFUNCTION("""COMPUTED_VALUE"""),0.0)</f>
        <v>0</v>
      </c>
      <c r="F425" s="2">
        <f>IFERROR(__xludf.DUMMYFUNCTION("""COMPUTED_VALUE"""),0.0)</f>
        <v>0</v>
      </c>
      <c r="G425" s="2">
        <f>IFERROR(__xludf.DUMMYFUNCTION("""COMPUTED_VALUE"""),0.0)</f>
        <v>0</v>
      </c>
      <c r="H425" s="2">
        <f>IFERROR(__xludf.DUMMYFUNCTION("""COMPUTED_VALUE"""),0.0)</f>
        <v>0</v>
      </c>
    </row>
    <row r="426" ht="22.5" customHeight="1">
      <c r="A426" s="2" t="str">
        <f>IFERROR(__xludf.DUMMYFUNCTION("""COMPUTED_VALUE"""),"2026-05")</f>
        <v>2026-05</v>
      </c>
      <c r="B426" s="2" t="str">
        <f>IFERROR(__xludf.DUMMYFUNCTION("""COMPUTED_VALUE"""),"SYNC-SUV - LX")</f>
        <v>SYNC-SUV - LX</v>
      </c>
      <c r="C426" s="2">
        <f>IFERROR(__xludf.DUMMYFUNCTION("""COMPUTED_VALUE"""),0.0)</f>
        <v>0</v>
      </c>
      <c r="D426" s="2">
        <f>IFERROR(__xludf.DUMMYFUNCTION("""COMPUTED_VALUE"""),0.0)</f>
        <v>0</v>
      </c>
      <c r="E426" s="2">
        <f>IFERROR(__xludf.DUMMYFUNCTION("""COMPUTED_VALUE"""),0.0)</f>
        <v>0</v>
      </c>
      <c r="F426" s="2">
        <f>IFERROR(__xludf.DUMMYFUNCTION("""COMPUTED_VALUE"""),0.0)</f>
        <v>0</v>
      </c>
      <c r="G426" s="2">
        <f>IFERROR(__xludf.DUMMYFUNCTION("""COMPUTED_VALUE"""),0.0)</f>
        <v>0</v>
      </c>
      <c r="H426" s="2">
        <f>IFERROR(__xludf.DUMMYFUNCTION("""COMPUTED_VALUE"""),0.0)</f>
        <v>0</v>
      </c>
    </row>
    <row r="427" ht="22.5" customHeight="1">
      <c r="A427" s="2" t="str">
        <f>IFERROR(__xludf.DUMMYFUNCTION("""COMPUTED_VALUE"""),"2026-06")</f>
        <v>2026-06</v>
      </c>
      <c r="B427" s="2" t="str">
        <f>IFERROR(__xludf.DUMMYFUNCTION("""COMPUTED_VALUE"""),"SYNC-SUV - LX")</f>
        <v>SYNC-SUV - LX</v>
      </c>
      <c r="C427" s="2">
        <f>IFERROR(__xludf.DUMMYFUNCTION("""COMPUTED_VALUE"""),0.0)</f>
        <v>0</v>
      </c>
      <c r="D427" s="2">
        <f>IFERROR(__xludf.DUMMYFUNCTION("""COMPUTED_VALUE"""),0.0)</f>
        <v>0</v>
      </c>
      <c r="E427" s="2">
        <f>IFERROR(__xludf.DUMMYFUNCTION("""COMPUTED_VALUE"""),0.0)</f>
        <v>0</v>
      </c>
      <c r="F427" s="2">
        <f>IFERROR(__xludf.DUMMYFUNCTION("""COMPUTED_VALUE"""),0.0)</f>
        <v>0</v>
      </c>
      <c r="G427" s="2">
        <f>IFERROR(__xludf.DUMMYFUNCTION("""COMPUTED_VALUE"""),0.0)</f>
        <v>0</v>
      </c>
      <c r="H427" s="2">
        <f>IFERROR(__xludf.DUMMYFUNCTION("""COMPUTED_VALUE"""),0.0)</f>
        <v>0</v>
      </c>
    </row>
    <row r="428" ht="22.5" customHeight="1">
      <c r="A428" s="2" t="str">
        <f>IFERROR(__xludf.DUMMYFUNCTION("""COMPUTED_VALUE"""),"2026-07")</f>
        <v>2026-07</v>
      </c>
      <c r="B428" s="2" t="str">
        <f>IFERROR(__xludf.DUMMYFUNCTION("""COMPUTED_VALUE"""),"SYNC-SUV - LX")</f>
        <v>SYNC-SUV - LX</v>
      </c>
      <c r="C428" s="2">
        <f>IFERROR(__xludf.DUMMYFUNCTION("""COMPUTED_VALUE"""),0.0)</f>
        <v>0</v>
      </c>
      <c r="D428" s="2">
        <f>IFERROR(__xludf.DUMMYFUNCTION("""COMPUTED_VALUE"""),0.0)</f>
        <v>0</v>
      </c>
      <c r="E428" s="2">
        <f>IFERROR(__xludf.DUMMYFUNCTION("""COMPUTED_VALUE"""),0.0)</f>
        <v>0</v>
      </c>
      <c r="F428" s="2">
        <f>IFERROR(__xludf.DUMMYFUNCTION("""COMPUTED_VALUE"""),0.0)</f>
        <v>0</v>
      </c>
      <c r="G428" s="2">
        <f>IFERROR(__xludf.DUMMYFUNCTION("""COMPUTED_VALUE"""),0.0)</f>
        <v>0</v>
      </c>
      <c r="H428" s="2">
        <f>IFERROR(__xludf.DUMMYFUNCTION("""COMPUTED_VALUE"""),0.0)</f>
        <v>0</v>
      </c>
    </row>
    <row r="429" ht="22.5" customHeight="1">
      <c r="A429" s="2" t="str">
        <f>IFERROR(__xludf.DUMMYFUNCTION("""COMPUTED_VALUE"""),"2026-08")</f>
        <v>2026-08</v>
      </c>
      <c r="B429" s="2" t="str">
        <f>IFERROR(__xludf.DUMMYFUNCTION("""COMPUTED_VALUE"""),"SYNC-SUV - LX")</f>
        <v>SYNC-SUV - LX</v>
      </c>
      <c r="C429" s="2">
        <f>IFERROR(__xludf.DUMMYFUNCTION("""COMPUTED_VALUE"""),0.0)</f>
        <v>0</v>
      </c>
      <c r="D429" s="2">
        <f>IFERROR(__xludf.DUMMYFUNCTION("""COMPUTED_VALUE"""),0.0)</f>
        <v>0</v>
      </c>
      <c r="E429" s="2">
        <f>IFERROR(__xludf.DUMMYFUNCTION("""COMPUTED_VALUE"""),0.0)</f>
        <v>0</v>
      </c>
      <c r="F429" s="2">
        <f>IFERROR(__xludf.DUMMYFUNCTION("""COMPUTED_VALUE"""),0.0)</f>
        <v>0</v>
      </c>
      <c r="G429" s="2">
        <f>IFERROR(__xludf.DUMMYFUNCTION("""COMPUTED_VALUE"""),0.0)</f>
        <v>0</v>
      </c>
      <c r="H429" s="2">
        <f>IFERROR(__xludf.DUMMYFUNCTION("""COMPUTED_VALUE"""),0.0)</f>
        <v>0</v>
      </c>
    </row>
    <row r="430" ht="22.5" customHeight="1">
      <c r="A430" s="2" t="str">
        <f>IFERROR(__xludf.DUMMYFUNCTION("""COMPUTED_VALUE"""),"2026-09")</f>
        <v>2026-09</v>
      </c>
      <c r="B430" s="2" t="str">
        <f>IFERROR(__xludf.DUMMYFUNCTION("""COMPUTED_VALUE"""),"SYNC-SUV - LX")</f>
        <v>SYNC-SUV - LX</v>
      </c>
      <c r="C430" s="2">
        <f>IFERROR(__xludf.DUMMYFUNCTION("""COMPUTED_VALUE"""),0.0)</f>
        <v>0</v>
      </c>
      <c r="D430" s="2">
        <f>IFERROR(__xludf.DUMMYFUNCTION("""COMPUTED_VALUE"""),0.0)</f>
        <v>0</v>
      </c>
      <c r="E430" s="2">
        <f>IFERROR(__xludf.DUMMYFUNCTION("""COMPUTED_VALUE"""),0.0)</f>
        <v>0</v>
      </c>
      <c r="F430" s="2">
        <f>IFERROR(__xludf.DUMMYFUNCTION("""COMPUTED_VALUE"""),0.0)</f>
        <v>0</v>
      </c>
      <c r="G430" s="2">
        <f>IFERROR(__xludf.DUMMYFUNCTION("""COMPUTED_VALUE"""),0.0)</f>
        <v>0</v>
      </c>
      <c r="H430" s="2">
        <f>IFERROR(__xludf.DUMMYFUNCTION("""COMPUTED_VALUE"""),0.0)</f>
        <v>0</v>
      </c>
    </row>
    <row r="431" ht="22.5" customHeight="1">
      <c r="A431" s="2" t="str">
        <f>IFERROR(__xludf.DUMMYFUNCTION("""COMPUTED_VALUE"""),"2026-10")</f>
        <v>2026-10</v>
      </c>
      <c r="B431" s="2" t="str">
        <f>IFERROR(__xludf.DUMMYFUNCTION("""COMPUTED_VALUE"""),"SYNC-SUV - LX")</f>
        <v>SYNC-SUV - LX</v>
      </c>
      <c r="C431" s="2">
        <f>IFERROR(__xludf.DUMMYFUNCTION("""COMPUTED_VALUE"""),0.0)</f>
        <v>0</v>
      </c>
      <c r="D431" s="2">
        <f>IFERROR(__xludf.DUMMYFUNCTION("""COMPUTED_VALUE"""),0.0)</f>
        <v>0</v>
      </c>
      <c r="E431" s="2">
        <f>IFERROR(__xludf.DUMMYFUNCTION("""COMPUTED_VALUE"""),0.0)</f>
        <v>0</v>
      </c>
      <c r="F431" s="2">
        <f>IFERROR(__xludf.DUMMYFUNCTION("""COMPUTED_VALUE"""),0.0)</f>
        <v>0</v>
      </c>
      <c r="G431" s="2">
        <f>IFERROR(__xludf.DUMMYFUNCTION("""COMPUTED_VALUE"""),0.0)</f>
        <v>0</v>
      </c>
      <c r="H431" s="2">
        <f>IFERROR(__xludf.DUMMYFUNCTION("""COMPUTED_VALUE"""),0.0)</f>
        <v>0</v>
      </c>
    </row>
    <row r="432" ht="22.5" customHeight="1">
      <c r="A432" s="2" t="str">
        <f>IFERROR(__xludf.DUMMYFUNCTION("""COMPUTED_VALUE"""),"2026-11")</f>
        <v>2026-11</v>
      </c>
      <c r="B432" s="2" t="str">
        <f>IFERROR(__xludf.DUMMYFUNCTION("""COMPUTED_VALUE"""),"SYNC-SUV - LX")</f>
        <v>SYNC-SUV - LX</v>
      </c>
      <c r="C432" s="2">
        <f>IFERROR(__xludf.DUMMYFUNCTION("""COMPUTED_VALUE"""),0.0)</f>
        <v>0</v>
      </c>
      <c r="D432" s="2">
        <f>IFERROR(__xludf.DUMMYFUNCTION("""COMPUTED_VALUE"""),0.0)</f>
        <v>0</v>
      </c>
      <c r="E432" s="2">
        <f>IFERROR(__xludf.DUMMYFUNCTION("""COMPUTED_VALUE"""),0.0)</f>
        <v>0</v>
      </c>
      <c r="F432" s="2">
        <f>IFERROR(__xludf.DUMMYFUNCTION("""COMPUTED_VALUE"""),0.0)</f>
        <v>0</v>
      </c>
      <c r="G432" s="2">
        <f>IFERROR(__xludf.DUMMYFUNCTION("""COMPUTED_VALUE"""),0.0)</f>
        <v>0</v>
      </c>
      <c r="H432" s="2">
        <f>IFERROR(__xludf.DUMMYFUNCTION("""COMPUTED_VALUE"""),0.0)</f>
        <v>0</v>
      </c>
    </row>
    <row r="433" ht="22.5" customHeight="1">
      <c r="A433" s="2" t="str">
        <f>IFERROR(__xludf.DUMMYFUNCTION("""COMPUTED_VALUE"""),"2026-12")</f>
        <v>2026-12</v>
      </c>
      <c r="B433" s="2" t="str">
        <f>IFERROR(__xludf.DUMMYFUNCTION("""COMPUTED_VALUE"""),"SYNC-SUV - LX")</f>
        <v>SYNC-SUV - LX</v>
      </c>
      <c r="C433" s="2">
        <f>IFERROR(__xludf.DUMMYFUNCTION("""COMPUTED_VALUE"""),0.0)</f>
        <v>0</v>
      </c>
      <c r="D433" s="2">
        <f>IFERROR(__xludf.DUMMYFUNCTION("""COMPUTED_VALUE"""),0.0)</f>
        <v>0</v>
      </c>
      <c r="E433" s="2">
        <f>IFERROR(__xludf.DUMMYFUNCTION("""COMPUTED_VALUE"""),0.0)</f>
        <v>0</v>
      </c>
      <c r="F433" s="2">
        <f>IFERROR(__xludf.DUMMYFUNCTION("""COMPUTED_VALUE"""),0.0)</f>
        <v>0</v>
      </c>
      <c r="G433" s="2">
        <f>IFERROR(__xludf.DUMMYFUNCTION("""COMPUTED_VALUE"""),0.0)</f>
        <v>0</v>
      </c>
      <c r="H433" s="2">
        <f>IFERROR(__xludf.DUMMYFUNCTION("""COMPUTED_VALUE"""),0.0)</f>
        <v>0</v>
      </c>
    </row>
    <row r="434" ht="22.5" customHeight="1">
      <c r="A434" s="2" t="str">
        <f>IFERROR(__xludf.DUMMYFUNCTION("""COMPUTED_VALUE"""),"2026-01")</f>
        <v>2026-01</v>
      </c>
      <c r="B434" s="2" t="str">
        <f>IFERROR(__xludf.DUMMYFUNCTION("""COMPUTED_VALUE"""),"WINREG-SD")</f>
        <v>WINREG-SD</v>
      </c>
      <c r="C434" s="2">
        <f>IFERROR(__xludf.DUMMYFUNCTION("""COMPUTED_VALUE"""),1201.0)</f>
        <v>1201</v>
      </c>
      <c r="D434" s="2">
        <f>IFERROR(__xludf.DUMMYFUNCTION("""COMPUTED_VALUE"""),182.0)</f>
        <v>182</v>
      </c>
      <c r="E434" s="2">
        <f>IFERROR(__xludf.DUMMYFUNCTION("""COMPUTED_VALUE"""),4.0)</f>
        <v>4</v>
      </c>
      <c r="F434" s="2">
        <f>IFERROR(__xludf.DUMMYFUNCTION("""COMPUTED_VALUE"""),18.0)</f>
        <v>18</v>
      </c>
      <c r="G434" s="2">
        <f>IFERROR(__xludf.DUMMYFUNCTION("""COMPUTED_VALUE"""),593.0)</f>
        <v>593</v>
      </c>
      <c r="H434" s="2">
        <f>IFERROR(__xludf.DUMMYFUNCTION("""COMPUTED_VALUE"""),790.0)</f>
        <v>790</v>
      </c>
    </row>
    <row r="435" ht="22.5" customHeight="1">
      <c r="A435" s="2" t="str">
        <f>IFERROR(__xludf.DUMMYFUNCTION("""COMPUTED_VALUE"""),"2026-02")</f>
        <v>2026-02</v>
      </c>
      <c r="B435" s="2" t="str">
        <f>IFERROR(__xludf.DUMMYFUNCTION("""COMPUTED_VALUE"""),"WINREG-SD")</f>
        <v>WINREG-SD</v>
      </c>
      <c r="C435" s="2">
        <f>IFERROR(__xludf.DUMMYFUNCTION("""COMPUTED_VALUE"""),790.0)</f>
        <v>790</v>
      </c>
      <c r="D435" s="2">
        <f>IFERROR(__xludf.DUMMYFUNCTION("""COMPUTED_VALUE"""),0.0)</f>
        <v>0</v>
      </c>
      <c r="E435" s="2">
        <f>IFERROR(__xludf.DUMMYFUNCTION("""COMPUTED_VALUE"""),0.0)</f>
        <v>0</v>
      </c>
      <c r="F435" s="2">
        <f>IFERROR(__xludf.DUMMYFUNCTION("""COMPUTED_VALUE"""),0.0)</f>
        <v>0</v>
      </c>
      <c r="G435" s="2">
        <f>IFERROR(__xludf.DUMMYFUNCTION("""COMPUTED_VALUE"""),790.0)</f>
        <v>790</v>
      </c>
      <c r="H435" s="2">
        <f>IFERROR(__xludf.DUMMYFUNCTION("""COMPUTED_VALUE"""),0.0)</f>
        <v>0</v>
      </c>
    </row>
    <row r="436" ht="22.5" customHeight="1">
      <c r="A436" s="2" t="str">
        <f>IFERROR(__xludf.DUMMYFUNCTION("""COMPUTED_VALUE"""),"2026-03")</f>
        <v>2026-03</v>
      </c>
      <c r="B436" s="2" t="str">
        <f>IFERROR(__xludf.DUMMYFUNCTION("""COMPUTED_VALUE"""),"WINREG-SD")</f>
        <v>WINREG-SD</v>
      </c>
      <c r="C436" s="2">
        <f>IFERROR(__xludf.DUMMYFUNCTION("""COMPUTED_VALUE"""),0.0)</f>
        <v>0</v>
      </c>
      <c r="D436" s="2">
        <f>IFERROR(__xludf.DUMMYFUNCTION("""COMPUTED_VALUE"""),0.0)</f>
        <v>0</v>
      </c>
      <c r="E436" s="2">
        <f>IFERROR(__xludf.DUMMYFUNCTION("""COMPUTED_VALUE"""),0.0)</f>
        <v>0</v>
      </c>
      <c r="F436" s="2">
        <f>IFERROR(__xludf.DUMMYFUNCTION("""COMPUTED_VALUE"""),0.0)</f>
        <v>0</v>
      </c>
      <c r="G436" s="2">
        <f>IFERROR(__xludf.DUMMYFUNCTION("""COMPUTED_VALUE"""),0.0)</f>
        <v>0</v>
      </c>
      <c r="H436" s="2">
        <f>IFERROR(__xludf.DUMMYFUNCTION("""COMPUTED_VALUE"""),0.0)</f>
        <v>0</v>
      </c>
    </row>
    <row r="437" ht="22.5" customHeight="1">
      <c r="A437" s="2" t="str">
        <f>IFERROR(__xludf.DUMMYFUNCTION("""COMPUTED_VALUE"""),"2026-04")</f>
        <v>2026-04</v>
      </c>
      <c r="B437" s="2" t="str">
        <f>IFERROR(__xludf.DUMMYFUNCTION("""COMPUTED_VALUE"""),"WINREG-SD")</f>
        <v>WINREG-SD</v>
      </c>
      <c r="C437" s="2">
        <f>IFERROR(__xludf.DUMMYFUNCTION("""COMPUTED_VALUE"""),0.0)</f>
        <v>0</v>
      </c>
      <c r="D437" s="2">
        <f>IFERROR(__xludf.DUMMYFUNCTION("""COMPUTED_VALUE"""),0.0)</f>
        <v>0</v>
      </c>
      <c r="E437" s="2">
        <f>IFERROR(__xludf.DUMMYFUNCTION("""COMPUTED_VALUE"""),0.0)</f>
        <v>0</v>
      </c>
      <c r="F437" s="2">
        <f>IFERROR(__xludf.DUMMYFUNCTION("""COMPUTED_VALUE"""),0.0)</f>
        <v>0</v>
      </c>
      <c r="G437" s="2">
        <f>IFERROR(__xludf.DUMMYFUNCTION("""COMPUTED_VALUE"""),0.0)</f>
        <v>0</v>
      </c>
      <c r="H437" s="2">
        <f>IFERROR(__xludf.DUMMYFUNCTION("""COMPUTED_VALUE"""),0.0)</f>
        <v>0</v>
      </c>
    </row>
    <row r="438" ht="22.5" customHeight="1">
      <c r="A438" s="2" t="str">
        <f>IFERROR(__xludf.DUMMYFUNCTION("""COMPUTED_VALUE"""),"2026-05")</f>
        <v>2026-05</v>
      </c>
      <c r="B438" s="2" t="str">
        <f>IFERROR(__xludf.DUMMYFUNCTION("""COMPUTED_VALUE"""),"WINREG-SD")</f>
        <v>WINREG-SD</v>
      </c>
      <c r="C438" s="2">
        <f>IFERROR(__xludf.DUMMYFUNCTION("""COMPUTED_VALUE"""),0.0)</f>
        <v>0</v>
      </c>
      <c r="D438" s="2">
        <f>IFERROR(__xludf.DUMMYFUNCTION("""COMPUTED_VALUE"""),0.0)</f>
        <v>0</v>
      </c>
      <c r="E438" s="2">
        <f>IFERROR(__xludf.DUMMYFUNCTION("""COMPUTED_VALUE"""),0.0)</f>
        <v>0</v>
      </c>
      <c r="F438" s="2">
        <f>IFERROR(__xludf.DUMMYFUNCTION("""COMPUTED_VALUE"""),0.0)</f>
        <v>0</v>
      </c>
      <c r="G438" s="2">
        <f>IFERROR(__xludf.DUMMYFUNCTION("""COMPUTED_VALUE"""),0.0)</f>
        <v>0</v>
      </c>
      <c r="H438" s="2">
        <f>IFERROR(__xludf.DUMMYFUNCTION("""COMPUTED_VALUE"""),0.0)</f>
        <v>0</v>
      </c>
    </row>
    <row r="439" ht="22.5" customHeight="1">
      <c r="A439" s="2" t="str">
        <f>IFERROR(__xludf.DUMMYFUNCTION("""COMPUTED_VALUE"""),"2026-06")</f>
        <v>2026-06</v>
      </c>
      <c r="B439" s="2" t="str">
        <f>IFERROR(__xludf.DUMMYFUNCTION("""COMPUTED_VALUE"""),"WINREG-SD")</f>
        <v>WINREG-SD</v>
      </c>
      <c r="C439" s="2">
        <f>IFERROR(__xludf.DUMMYFUNCTION("""COMPUTED_VALUE"""),0.0)</f>
        <v>0</v>
      </c>
      <c r="D439" s="2">
        <f>IFERROR(__xludf.DUMMYFUNCTION("""COMPUTED_VALUE"""),0.0)</f>
        <v>0</v>
      </c>
      <c r="E439" s="2">
        <f>IFERROR(__xludf.DUMMYFUNCTION("""COMPUTED_VALUE"""),0.0)</f>
        <v>0</v>
      </c>
      <c r="F439" s="2">
        <f>IFERROR(__xludf.DUMMYFUNCTION("""COMPUTED_VALUE"""),0.0)</f>
        <v>0</v>
      </c>
      <c r="G439" s="2">
        <f>IFERROR(__xludf.DUMMYFUNCTION("""COMPUTED_VALUE"""),0.0)</f>
        <v>0</v>
      </c>
      <c r="H439" s="2">
        <f>IFERROR(__xludf.DUMMYFUNCTION("""COMPUTED_VALUE"""),0.0)</f>
        <v>0</v>
      </c>
    </row>
    <row r="440" ht="22.5" customHeight="1">
      <c r="A440" s="2" t="str">
        <f>IFERROR(__xludf.DUMMYFUNCTION("""COMPUTED_VALUE"""),"2026-07")</f>
        <v>2026-07</v>
      </c>
      <c r="B440" s="2" t="str">
        <f>IFERROR(__xludf.DUMMYFUNCTION("""COMPUTED_VALUE"""),"WINREG-SD")</f>
        <v>WINREG-SD</v>
      </c>
      <c r="C440" s="2">
        <f>IFERROR(__xludf.DUMMYFUNCTION("""COMPUTED_VALUE"""),0.0)</f>
        <v>0</v>
      </c>
      <c r="D440" s="2">
        <f>IFERROR(__xludf.DUMMYFUNCTION("""COMPUTED_VALUE"""),0.0)</f>
        <v>0</v>
      </c>
      <c r="E440" s="2">
        <f>IFERROR(__xludf.DUMMYFUNCTION("""COMPUTED_VALUE"""),0.0)</f>
        <v>0</v>
      </c>
      <c r="F440" s="2">
        <f>IFERROR(__xludf.DUMMYFUNCTION("""COMPUTED_VALUE"""),0.0)</f>
        <v>0</v>
      </c>
      <c r="G440" s="2">
        <f>IFERROR(__xludf.DUMMYFUNCTION("""COMPUTED_VALUE"""),0.0)</f>
        <v>0</v>
      </c>
      <c r="H440" s="2">
        <f>IFERROR(__xludf.DUMMYFUNCTION("""COMPUTED_VALUE"""),0.0)</f>
        <v>0</v>
      </c>
    </row>
    <row r="441" ht="22.5" customHeight="1">
      <c r="A441" s="2" t="str">
        <f>IFERROR(__xludf.DUMMYFUNCTION("""COMPUTED_VALUE"""),"2026-08")</f>
        <v>2026-08</v>
      </c>
      <c r="B441" s="2" t="str">
        <f>IFERROR(__xludf.DUMMYFUNCTION("""COMPUTED_VALUE"""),"WINREG-SD")</f>
        <v>WINREG-SD</v>
      </c>
      <c r="C441" s="2">
        <f>IFERROR(__xludf.DUMMYFUNCTION("""COMPUTED_VALUE"""),0.0)</f>
        <v>0</v>
      </c>
      <c r="D441" s="2">
        <f>IFERROR(__xludf.DUMMYFUNCTION("""COMPUTED_VALUE"""),0.0)</f>
        <v>0</v>
      </c>
      <c r="E441" s="2">
        <f>IFERROR(__xludf.DUMMYFUNCTION("""COMPUTED_VALUE"""),0.0)</f>
        <v>0</v>
      </c>
      <c r="F441" s="2">
        <f>IFERROR(__xludf.DUMMYFUNCTION("""COMPUTED_VALUE"""),0.0)</f>
        <v>0</v>
      </c>
      <c r="G441" s="2">
        <f>IFERROR(__xludf.DUMMYFUNCTION("""COMPUTED_VALUE"""),0.0)</f>
        <v>0</v>
      </c>
      <c r="H441" s="2">
        <f>IFERROR(__xludf.DUMMYFUNCTION("""COMPUTED_VALUE"""),0.0)</f>
        <v>0</v>
      </c>
    </row>
    <row r="442" ht="22.5" customHeight="1">
      <c r="A442" s="2" t="str">
        <f>IFERROR(__xludf.DUMMYFUNCTION("""COMPUTED_VALUE"""),"2026-09")</f>
        <v>2026-09</v>
      </c>
      <c r="B442" s="2" t="str">
        <f>IFERROR(__xludf.DUMMYFUNCTION("""COMPUTED_VALUE"""),"WINREG-SD")</f>
        <v>WINREG-SD</v>
      </c>
      <c r="C442" s="2">
        <f>IFERROR(__xludf.DUMMYFUNCTION("""COMPUTED_VALUE"""),0.0)</f>
        <v>0</v>
      </c>
      <c r="D442" s="2">
        <f>IFERROR(__xludf.DUMMYFUNCTION("""COMPUTED_VALUE"""),0.0)</f>
        <v>0</v>
      </c>
      <c r="E442" s="2">
        <f>IFERROR(__xludf.DUMMYFUNCTION("""COMPUTED_VALUE"""),0.0)</f>
        <v>0</v>
      </c>
      <c r="F442" s="2">
        <f>IFERROR(__xludf.DUMMYFUNCTION("""COMPUTED_VALUE"""),0.0)</f>
        <v>0</v>
      </c>
      <c r="G442" s="2">
        <f>IFERROR(__xludf.DUMMYFUNCTION("""COMPUTED_VALUE"""),0.0)</f>
        <v>0</v>
      </c>
      <c r="H442" s="2">
        <f>IFERROR(__xludf.DUMMYFUNCTION("""COMPUTED_VALUE"""),0.0)</f>
        <v>0</v>
      </c>
    </row>
    <row r="443" ht="22.5" customHeight="1">
      <c r="A443" s="2" t="str">
        <f>IFERROR(__xludf.DUMMYFUNCTION("""COMPUTED_VALUE"""),"2026-10")</f>
        <v>2026-10</v>
      </c>
      <c r="B443" s="2" t="str">
        <f>IFERROR(__xludf.DUMMYFUNCTION("""COMPUTED_VALUE"""),"WINREG-SD")</f>
        <v>WINREG-SD</v>
      </c>
      <c r="C443" s="2">
        <f>IFERROR(__xludf.DUMMYFUNCTION("""COMPUTED_VALUE"""),0.0)</f>
        <v>0</v>
      </c>
      <c r="D443" s="2">
        <f>IFERROR(__xludf.DUMMYFUNCTION("""COMPUTED_VALUE"""),0.0)</f>
        <v>0</v>
      </c>
      <c r="E443" s="2">
        <f>IFERROR(__xludf.DUMMYFUNCTION("""COMPUTED_VALUE"""),0.0)</f>
        <v>0</v>
      </c>
      <c r="F443" s="2">
        <f>IFERROR(__xludf.DUMMYFUNCTION("""COMPUTED_VALUE"""),0.0)</f>
        <v>0</v>
      </c>
      <c r="G443" s="2">
        <f>IFERROR(__xludf.DUMMYFUNCTION("""COMPUTED_VALUE"""),0.0)</f>
        <v>0</v>
      </c>
      <c r="H443" s="2">
        <f>IFERROR(__xludf.DUMMYFUNCTION("""COMPUTED_VALUE"""),0.0)</f>
        <v>0</v>
      </c>
    </row>
    <row r="444" ht="22.5" customHeight="1">
      <c r="A444" s="2" t="str">
        <f>IFERROR(__xludf.DUMMYFUNCTION("""COMPUTED_VALUE"""),"2026-11")</f>
        <v>2026-11</v>
      </c>
      <c r="B444" s="2" t="str">
        <f>IFERROR(__xludf.DUMMYFUNCTION("""COMPUTED_VALUE"""),"WINREG-SD")</f>
        <v>WINREG-SD</v>
      </c>
      <c r="C444" s="2">
        <f>IFERROR(__xludf.DUMMYFUNCTION("""COMPUTED_VALUE"""),0.0)</f>
        <v>0</v>
      </c>
      <c r="D444" s="2">
        <f>IFERROR(__xludf.DUMMYFUNCTION("""COMPUTED_VALUE"""),0.0)</f>
        <v>0</v>
      </c>
      <c r="E444" s="2">
        <f>IFERROR(__xludf.DUMMYFUNCTION("""COMPUTED_VALUE"""),0.0)</f>
        <v>0</v>
      </c>
      <c r="F444" s="2">
        <f>IFERROR(__xludf.DUMMYFUNCTION("""COMPUTED_VALUE"""),0.0)</f>
        <v>0</v>
      </c>
      <c r="G444" s="2">
        <f>IFERROR(__xludf.DUMMYFUNCTION("""COMPUTED_VALUE"""),0.0)</f>
        <v>0</v>
      </c>
      <c r="H444" s="2">
        <f>IFERROR(__xludf.DUMMYFUNCTION("""COMPUTED_VALUE"""),0.0)</f>
        <v>0</v>
      </c>
    </row>
    <row r="445" ht="22.5" customHeight="1">
      <c r="A445" s="2" t="str">
        <f>IFERROR(__xludf.DUMMYFUNCTION("""COMPUTED_VALUE"""),"2026-12")</f>
        <v>2026-12</v>
      </c>
      <c r="B445" s="2" t="str">
        <f>IFERROR(__xludf.DUMMYFUNCTION("""COMPUTED_VALUE"""),"WINREG-SD")</f>
        <v>WINREG-SD</v>
      </c>
      <c r="C445" s="2">
        <f>IFERROR(__xludf.DUMMYFUNCTION("""COMPUTED_VALUE"""),0.0)</f>
        <v>0</v>
      </c>
      <c r="D445" s="2">
        <f>IFERROR(__xludf.DUMMYFUNCTION("""COMPUTED_VALUE"""),0.0)</f>
        <v>0</v>
      </c>
      <c r="E445" s="2">
        <f>IFERROR(__xludf.DUMMYFUNCTION("""COMPUTED_VALUE"""),0.0)</f>
        <v>0</v>
      </c>
      <c r="F445" s="2">
        <f>IFERROR(__xludf.DUMMYFUNCTION("""COMPUTED_VALUE"""),0.0)</f>
        <v>0</v>
      </c>
      <c r="G445" s="2">
        <f>IFERROR(__xludf.DUMMYFUNCTION("""COMPUTED_VALUE"""),0.0)</f>
        <v>0</v>
      </c>
      <c r="H445" s="2">
        <f>IFERROR(__xludf.DUMMYFUNCTION("""COMPUTED_VALUE"""),0.0)</f>
        <v>0</v>
      </c>
    </row>
    <row r="446" ht="22.5" customHeight="1">
      <c r="A446" s="2" t="str">
        <f>IFERROR(__xludf.DUMMYFUNCTION("""COMPUTED_VALUE"""),"2026-01")</f>
        <v>2026-01</v>
      </c>
      <c r="B446" s="2" t="str">
        <f>IFERROR(__xludf.DUMMYFUNCTION("""COMPUTED_VALUE"""),"WINREG-SD - LX")</f>
        <v>WINREG-SD - LX</v>
      </c>
      <c r="C446" s="2">
        <f>IFERROR(__xludf.DUMMYFUNCTION("""COMPUTED_VALUE"""),1122.0)</f>
        <v>1122</v>
      </c>
      <c r="D446" s="2">
        <f>IFERROR(__xludf.DUMMYFUNCTION("""COMPUTED_VALUE"""),0.0)</f>
        <v>0</v>
      </c>
      <c r="E446" s="2">
        <f>IFERROR(__xludf.DUMMYFUNCTION("""COMPUTED_VALUE"""),0.0)</f>
        <v>0</v>
      </c>
      <c r="F446" s="2">
        <f>IFERROR(__xludf.DUMMYFUNCTION("""COMPUTED_VALUE"""),0.0)</f>
        <v>0</v>
      </c>
      <c r="G446" s="2">
        <f>IFERROR(__xludf.DUMMYFUNCTION("""COMPUTED_VALUE"""),89.0)</f>
        <v>89</v>
      </c>
      <c r="H446" s="2">
        <f>IFERROR(__xludf.DUMMYFUNCTION("""COMPUTED_VALUE"""),1033.0)</f>
        <v>1033</v>
      </c>
    </row>
    <row r="447" ht="22.5" customHeight="1">
      <c r="A447" s="2" t="str">
        <f>IFERROR(__xludf.DUMMYFUNCTION("""COMPUTED_VALUE"""),"2026-02")</f>
        <v>2026-02</v>
      </c>
      <c r="B447" s="2" t="str">
        <f>IFERROR(__xludf.DUMMYFUNCTION("""COMPUTED_VALUE"""),"WINREG-SD - LX")</f>
        <v>WINREG-SD - LX</v>
      </c>
      <c r="C447" s="2">
        <f>IFERROR(__xludf.DUMMYFUNCTION("""COMPUTED_VALUE"""),1033.0)</f>
        <v>1033</v>
      </c>
      <c r="D447" s="2">
        <f>IFERROR(__xludf.DUMMYFUNCTION("""COMPUTED_VALUE"""),0.0)</f>
        <v>0</v>
      </c>
      <c r="E447" s="2">
        <f>IFERROR(__xludf.DUMMYFUNCTION("""COMPUTED_VALUE"""),0.0)</f>
        <v>0</v>
      </c>
      <c r="F447" s="2">
        <f>IFERROR(__xludf.DUMMYFUNCTION("""COMPUTED_VALUE"""),0.0)</f>
        <v>0</v>
      </c>
      <c r="G447" s="2">
        <f>IFERROR(__xludf.DUMMYFUNCTION("""COMPUTED_VALUE"""),2.0)</f>
        <v>2</v>
      </c>
      <c r="H447" s="2">
        <f>IFERROR(__xludf.DUMMYFUNCTION("""COMPUTED_VALUE"""),1031.0)</f>
        <v>1031</v>
      </c>
    </row>
    <row r="448" ht="22.5" customHeight="1">
      <c r="A448" s="2" t="str">
        <f>IFERROR(__xludf.DUMMYFUNCTION("""COMPUTED_VALUE"""),"2026-03")</f>
        <v>2026-03</v>
      </c>
      <c r="B448" s="2" t="str">
        <f>IFERROR(__xludf.DUMMYFUNCTION("""COMPUTED_VALUE"""),"WINREG-SD - LX")</f>
        <v>WINREG-SD - LX</v>
      </c>
      <c r="C448" s="2">
        <f>IFERROR(__xludf.DUMMYFUNCTION("""COMPUTED_VALUE"""),1031.0)</f>
        <v>1031</v>
      </c>
      <c r="D448" s="2">
        <f>IFERROR(__xludf.DUMMYFUNCTION("""COMPUTED_VALUE"""),0.0)</f>
        <v>0</v>
      </c>
      <c r="E448" s="2">
        <f>IFERROR(__xludf.DUMMYFUNCTION("""COMPUTED_VALUE"""),0.0)</f>
        <v>0</v>
      </c>
      <c r="F448" s="2">
        <f>IFERROR(__xludf.DUMMYFUNCTION("""COMPUTED_VALUE"""),0.0)</f>
        <v>0</v>
      </c>
      <c r="G448" s="2">
        <f>IFERROR(__xludf.DUMMYFUNCTION("""COMPUTED_VALUE"""),0.0)</f>
        <v>0</v>
      </c>
      <c r="H448" s="2">
        <f>IFERROR(__xludf.DUMMYFUNCTION("""COMPUTED_VALUE"""),1031.0)</f>
        <v>1031</v>
      </c>
    </row>
    <row r="449" ht="22.5" customHeight="1">
      <c r="A449" s="2" t="str">
        <f>IFERROR(__xludf.DUMMYFUNCTION("""COMPUTED_VALUE"""),"2026-04")</f>
        <v>2026-04</v>
      </c>
      <c r="B449" s="2" t="str">
        <f>IFERROR(__xludf.DUMMYFUNCTION("""COMPUTED_VALUE"""),"WINREG-SD - LX")</f>
        <v>WINREG-SD - LX</v>
      </c>
      <c r="C449" s="2">
        <f>IFERROR(__xludf.DUMMYFUNCTION("""COMPUTED_VALUE"""),1031.0)</f>
        <v>1031</v>
      </c>
      <c r="D449" s="2">
        <f>IFERROR(__xludf.DUMMYFUNCTION("""COMPUTED_VALUE"""),0.0)</f>
        <v>0</v>
      </c>
      <c r="E449" s="2">
        <f>IFERROR(__xludf.DUMMYFUNCTION("""COMPUTED_VALUE"""),0.0)</f>
        <v>0</v>
      </c>
      <c r="F449" s="2">
        <f>IFERROR(__xludf.DUMMYFUNCTION("""COMPUTED_VALUE"""),0.0)</f>
        <v>0</v>
      </c>
      <c r="G449" s="2">
        <f>IFERROR(__xludf.DUMMYFUNCTION("""COMPUTED_VALUE"""),0.0)</f>
        <v>0</v>
      </c>
      <c r="H449" s="2">
        <f>IFERROR(__xludf.DUMMYFUNCTION("""COMPUTED_VALUE"""),1031.0)</f>
        <v>1031</v>
      </c>
    </row>
    <row r="450" ht="22.5" customHeight="1">
      <c r="A450" s="2" t="str">
        <f>IFERROR(__xludf.DUMMYFUNCTION("""COMPUTED_VALUE"""),"2026-05")</f>
        <v>2026-05</v>
      </c>
      <c r="B450" s="2" t="str">
        <f>IFERROR(__xludf.DUMMYFUNCTION("""COMPUTED_VALUE"""),"WINREG-SD - LX")</f>
        <v>WINREG-SD - LX</v>
      </c>
      <c r="C450" s="2">
        <f>IFERROR(__xludf.DUMMYFUNCTION("""COMPUTED_VALUE"""),1031.0)</f>
        <v>1031</v>
      </c>
      <c r="D450" s="2">
        <f>IFERROR(__xludf.DUMMYFUNCTION("""COMPUTED_VALUE"""),0.0)</f>
        <v>0</v>
      </c>
      <c r="E450" s="2">
        <f>IFERROR(__xludf.DUMMYFUNCTION("""COMPUTED_VALUE"""),0.0)</f>
        <v>0</v>
      </c>
      <c r="F450" s="2">
        <f>IFERROR(__xludf.DUMMYFUNCTION("""COMPUTED_VALUE"""),0.0)</f>
        <v>0</v>
      </c>
      <c r="G450" s="2">
        <f>IFERROR(__xludf.DUMMYFUNCTION("""COMPUTED_VALUE"""),0.0)</f>
        <v>0</v>
      </c>
      <c r="H450" s="2">
        <f>IFERROR(__xludf.DUMMYFUNCTION("""COMPUTED_VALUE"""),1031.0)</f>
        <v>1031</v>
      </c>
    </row>
    <row r="451" ht="22.5" customHeight="1">
      <c r="A451" s="2" t="str">
        <f>IFERROR(__xludf.DUMMYFUNCTION("""COMPUTED_VALUE"""),"2026-06")</f>
        <v>2026-06</v>
      </c>
      <c r="B451" s="2" t="str">
        <f>IFERROR(__xludf.DUMMYFUNCTION("""COMPUTED_VALUE"""),"WINREG-SD - LX")</f>
        <v>WINREG-SD - LX</v>
      </c>
      <c r="C451" s="2">
        <f>IFERROR(__xludf.DUMMYFUNCTION("""COMPUTED_VALUE"""),1031.0)</f>
        <v>1031</v>
      </c>
      <c r="D451" s="2">
        <f>IFERROR(__xludf.DUMMYFUNCTION("""COMPUTED_VALUE"""),0.0)</f>
        <v>0</v>
      </c>
      <c r="E451" s="2">
        <f>IFERROR(__xludf.DUMMYFUNCTION("""COMPUTED_VALUE"""),0.0)</f>
        <v>0</v>
      </c>
      <c r="F451" s="2">
        <f>IFERROR(__xludf.DUMMYFUNCTION("""COMPUTED_VALUE"""),0.0)</f>
        <v>0</v>
      </c>
      <c r="G451" s="2">
        <f>IFERROR(__xludf.DUMMYFUNCTION("""COMPUTED_VALUE"""),0.0)</f>
        <v>0</v>
      </c>
      <c r="H451" s="2">
        <f>IFERROR(__xludf.DUMMYFUNCTION("""COMPUTED_VALUE"""),1031.0)</f>
        <v>1031</v>
      </c>
    </row>
    <row r="452" ht="22.5" customHeight="1">
      <c r="A452" s="2" t="str">
        <f>IFERROR(__xludf.DUMMYFUNCTION("""COMPUTED_VALUE"""),"2026-07")</f>
        <v>2026-07</v>
      </c>
      <c r="B452" s="2" t="str">
        <f>IFERROR(__xludf.DUMMYFUNCTION("""COMPUTED_VALUE"""),"WINREG-SD - LX")</f>
        <v>WINREG-SD - LX</v>
      </c>
      <c r="C452" s="2">
        <f>IFERROR(__xludf.DUMMYFUNCTION("""COMPUTED_VALUE"""),1031.0)</f>
        <v>1031</v>
      </c>
      <c r="D452" s="2">
        <f>IFERROR(__xludf.DUMMYFUNCTION("""COMPUTED_VALUE"""),0.0)</f>
        <v>0</v>
      </c>
      <c r="E452" s="2">
        <f>IFERROR(__xludf.DUMMYFUNCTION("""COMPUTED_VALUE"""),0.0)</f>
        <v>0</v>
      </c>
      <c r="F452" s="2">
        <f>IFERROR(__xludf.DUMMYFUNCTION("""COMPUTED_VALUE"""),0.0)</f>
        <v>0</v>
      </c>
      <c r="G452" s="2">
        <f>IFERROR(__xludf.DUMMYFUNCTION("""COMPUTED_VALUE"""),0.0)</f>
        <v>0</v>
      </c>
      <c r="H452" s="2">
        <f>IFERROR(__xludf.DUMMYFUNCTION("""COMPUTED_VALUE"""),1031.0)</f>
        <v>1031</v>
      </c>
    </row>
    <row r="453" ht="22.5" customHeight="1">
      <c r="A453" s="2" t="str">
        <f>IFERROR(__xludf.DUMMYFUNCTION("""COMPUTED_VALUE"""),"2026-08")</f>
        <v>2026-08</v>
      </c>
      <c r="B453" s="2" t="str">
        <f>IFERROR(__xludf.DUMMYFUNCTION("""COMPUTED_VALUE"""),"WINREG-SD - LX")</f>
        <v>WINREG-SD - LX</v>
      </c>
      <c r="C453" s="2">
        <f>IFERROR(__xludf.DUMMYFUNCTION("""COMPUTED_VALUE"""),1031.0)</f>
        <v>1031</v>
      </c>
      <c r="D453" s="2">
        <f>IFERROR(__xludf.DUMMYFUNCTION("""COMPUTED_VALUE"""),0.0)</f>
        <v>0</v>
      </c>
      <c r="E453" s="2">
        <f>IFERROR(__xludf.DUMMYFUNCTION("""COMPUTED_VALUE"""),0.0)</f>
        <v>0</v>
      </c>
      <c r="F453" s="2">
        <f>IFERROR(__xludf.DUMMYFUNCTION("""COMPUTED_VALUE"""),0.0)</f>
        <v>0</v>
      </c>
      <c r="G453" s="2">
        <f>IFERROR(__xludf.DUMMYFUNCTION("""COMPUTED_VALUE"""),0.0)</f>
        <v>0</v>
      </c>
      <c r="H453" s="2">
        <f>IFERROR(__xludf.DUMMYFUNCTION("""COMPUTED_VALUE"""),1031.0)</f>
        <v>1031</v>
      </c>
    </row>
    <row r="454" ht="22.5" customHeight="1">
      <c r="A454" s="2" t="str">
        <f>IFERROR(__xludf.DUMMYFUNCTION("""COMPUTED_VALUE"""),"2026-09")</f>
        <v>2026-09</v>
      </c>
      <c r="B454" s="2" t="str">
        <f>IFERROR(__xludf.DUMMYFUNCTION("""COMPUTED_VALUE"""),"WINREG-SD - LX")</f>
        <v>WINREG-SD - LX</v>
      </c>
      <c r="C454" s="2">
        <f>IFERROR(__xludf.DUMMYFUNCTION("""COMPUTED_VALUE"""),1031.0)</f>
        <v>1031</v>
      </c>
      <c r="D454" s="2">
        <f>IFERROR(__xludf.DUMMYFUNCTION("""COMPUTED_VALUE"""),0.0)</f>
        <v>0</v>
      </c>
      <c r="E454" s="2">
        <f>IFERROR(__xludf.DUMMYFUNCTION("""COMPUTED_VALUE"""),0.0)</f>
        <v>0</v>
      </c>
      <c r="F454" s="2">
        <f>IFERROR(__xludf.DUMMYFUNCTION("""COMPUTED_VALUE"""),0.0)</f>
        <v>0</v>
      </c>
      <c r="G454" s="2">
        <f>IFERROR(__xludf.DUMMYFUNCTION("""COMPUTED_VALUE"""),0.0)</f>
        <v>0</v>
      </c>
      <c r="H454" s="2">
        <f>IFERROR(__xludf.DUMMYFUNCTION("""COMPUTED_VALUE"""),1031.0)</f>
        <v>1031</v>
      </c>
    </row>
    <row r="455" ht="22.5" customHeight="1">
      <c r="A455" s="2" t="str">
        <f>IFERROR(__xludf.DUMMYFUNCTION("""COMPUTED_VALUE"""),"2026-10")</f>
        <v>2026-10</v>
      </c>
      <c r="B455" s="2" t="str">
        <f>IFERROR(__xludf.DUMMYFUNCTION("""COMPUTED_VALUE"""),"WINREG-SD - LX")</f>
        <v>WINREG-SD - LX</v>
      </c>
      <c r="C455" s="2">
        <f>IFERROR(__xludf.DUMMYFUNCTION("""COMPUTED_VALUE"""),1031.0)</f>
        <v>1031</v>
      </c>
      <c r="D455" s="2">
        <f>IFERROR(__xludf.DUMMYFUNCTION("""COMPUTED_VALUE"""),0.0)</f>
        <v>0</v>
      </c>
      <c r="E455" s="2">
        <f>IFERROR(__xludf.DUMMYFUNCTION("""COMPUTED_VALUE"""),0.0)</f>
        <v>0</v>
      </c>
      <c r="F455" s="2">
        <f>IFERROR(__xludf.DUMMYFUNCTION("""COMPUTED_VALUE"""),0.0)</f>
        <v>0</v>
      </c>
      <c r="G455" s="2">
        <f>IFERROR(__xludf.DUMMYFUNCTION("""COMPUTED_VALUE"""),0.0)</f>
        <v>0</v>
      </c>
      <c r="H455" s="2">
        <f>IFERROR(__xludf.DUMMYFUNCTION("""COMPUTED_VALUE"""),1031.0)</f>
        <v>1031</v>
      </c>
    </row>
    <row r="456" ht="22.5" customHeight="1">
      <c r="A456" s="2" t="str">
        <f>IFERROR(__xludf.DUMMYFUNCTION("""COMPUTED_VALUE"""),"2026-11")</f>
        <v>2026-11</v>
      </c>
      <c r="B456" s="2" t="str">
        <f>IFERROR(__xludf.DUMMYFUNCTION("""COMPUTED_VALUE"""),"WINREG-SD - LX")</f>
        <v>WINREG-SD - LX</v>
      </c>
      <c r="C456" s="2">
        <f>IFERROR(__xludf.DUMMYFUNCTION("""COMPUTED_VALUE"""),1031.0)</f>
        <v>1031</v>
      </c>
      <c r="D456" s="2">
        <f>IFERROR(__xludf.DUMMYFUNCTION("""COMPUTED_VALUE"""),0.0)</f>
        <v>0</v>
      </c>
      <c r="E456" s="2">
        <f>IFERROR(__xludf.DUMMYFUNCTION("""COMPUTED_VALUE"""),0.0)</f>
        <v>0</v>
      </c>
      <c r="F456" s="2">
        <f>IFERROR(__xludf.DUMMYFUNCTION("""COMPUTED_VALUE"""),0.0)</f>
        <v>0</v>
      </c>
      <c r="G456" s="2">
        <f>IFERROR(__xludf.DUMMYFUNCTION("""COMPUTED_VALUE"""),0.0)</f>
        <v>0</v>
      </c>
      <c r="H456" s="2">
        <f>IFERROR(__xludf.DUMMYFUNCTION("""COMPUTED_VALUE"""),1031.0)</f>
        <v>1031</v>
      </c>
    </row>
    <row r="457" ht="22.5" customHeight="1">
      <c r="A457" s="2" t="str">
        <f>IFERROR(__xludf.DUMMYFUNCTION("""COMPUTED_VALUE"""),"2026-12")</f>
        <v>2026-12</v>
      </c>
      <c r="B457" s="2" t="str">
        <f>IFERROR(__xludf.DUMMYFUNCTION("""COMPUTED_VALUE"""),"WINREG-SD - LX")</f>
        <v>WINREG-SD - LX</v>
      </c>
      <c r="C457" s="2">
        <f>IFERROR(__xludf.DUMMYFUNCTION("""COMPUTED_VALUE"""),1031.0)</f>
        <v>1031</v>
      </c>
      <c r="D457" s="2">
        <f>IFERROR(__xludf.DUMMYFUNCTION("""COMPUTED_VALUE"""),0.0)</f>
        <v>0</v>
      </c>
      <c r="E457" s="2">
        <f>IFERROR(__xludf.DUMMYFUNCTION("""COMPUTED_VALUE"""),0.0)</f>
        <v>0</v>
      </c>
      <c r="F457" s="2">
        <f>IFERROR(__xludf.DUMMYFUNCTION("""COMPUTED_VALUE"""),0.0)</f>
        <v>0</v>
      </c>
      <c r="G457" s="2">
        <f>IFERROR(__xludf.DUMMYFUNCTION("""COMPUTED_VALUE"""),0.0)</f>
        <v>0</v>
      </c>
      <c r="H457" s="2">
        <f>IFERROR(__xludf.DUMMYFUNCTION("""COMPUTED_VALUE"""),1031.0)</f>
        <v>1031</v>
      </c>
    </row>
    <row r="458" ht="22.5" customHeight="1">
      <c r="A458" s="2" t="str">
        <f>IFERROR(__xludf.DUMMYFUNCTION("""COMPUTED_VALUE"""),"2026-01")</f>
        <v>2026-01</v>
      </c>
      <c r="B458" s="2" t="str">
        <f>IFERROR(__xludf.DUMMYFUNCTION("""COMPUTED_VALUE"""),"WINREG-SUV")</f>
        <v>WINREG-SUV</v>
      </c>
      <c r="C458" s="2">
        <f>IFERROR(__xludf.DUMMYFUNCTION("""COMPUTED_VALUE"""),486.0)</f>
        <v>486</v>
      </c>
      <c r="D458" s="2">
        <f>IFERROR(__xludf.DUMMYFUNCTION("""COMPUTED_VALUE"""),0.0)</f>
        <v>0</v>
      </c>
      <c r="E458" s="2">
        <f>IFERROR(__xludf.DUMMYFUNCTION("""COMPUTED_VALUE"""),0.0)</f>
        <v>0</v>
      </c>
      <c r="F458" s="2">
        <f>IFERROR(__xludf.DUMMYFUNCTION("""COMPUTED_VALUE"""),0.0)</f>
        <v>0</v>
      </c>
      <c r="G458" s="2">
        <f>IFERROR(__xludf.DUMMYFUNCTION("""COMPUTED_VALUE"""),245.0)</f>
        <v>245</v>
      </c>
      <c r="H458" s="2">
        <f>IFERROR(__xludf.DUMMYFUNCTION("""COMPUTED_VALUE"""),241.0)</f>
        <v>241</v>
      </c>
    </row>
    <row r="459" ht="22.5" customHeight="1">
      <c r="A459" s="2" t="str">
        <f>IFERROR(__xludf.DUMMYFUNCTION("""COMPUTED_VALUE"""),"2026-02")</f>
        <v>2026-02</v>
      </c>
      <c r="B459" s="2" t="str">
        <f>IFERROR(__xludf.DUMMYFUNCTION("""COMPUTED_VALUE"""),"WINREG-SUV")</f>
        <v>WINREG-SUV</v>
      </c>
      <c r="C459" s="2">
        <f>IFERROR(__xludf.DUMMYFUNCTION("""COMPUTED_VALUE"""),241.0)</f>
        <v>241</v>
      </c>
      <c r="D459" s="2">
        <f>IFERROR(__xludf.DUMMYFUNCTION("""COMPUTED_VALUE"""),0.0)</f>
        <v>0</v>
      </c>
      <c r="E459" s="2">
        <f>IFERROR(__xludf.DUMMYFUNCTION("""COMPUTED_VALUE"""),0.0)</f>
        <v>0</v>
      </c>
      <c r="F459" s="2">
        <f>IFERROR(__xludf.DUMMYFUNCTION("""COMPUTED_VALUE"""),0.0)</f>
        <v>0</v>
      </c>
      <c r="G459" s="2">
        <f>IFERROR(__xludf.DUMMYFUNCTION("""COMPUTED_VALUE"""),1.0)</f>
        <v>1</v>
      </c>
      <c r="H459" s="2">
        <f>IFERROR(__xludf.DUMMYFUNCTION("""COMPUTED_VALUE"""),240.0)</f>
        <v>240</v>
      </c>
    </row>
    <row r="460" ht="22.5" customHeight="1">
      <c r="A460" s="2" t="str">
        <f>IFERROR(__xludf.DUMMYFUNCTION("""COMPUTED_VALUE"""),"2026-03")</f>
        <v>2026-03</v>
      </c>
      <c r="B460" s="2" t="str">
        <f>IFERROR(__xludf.DUMMYFUNCTION("""COMPUTED_VALUE"""),"WINREG-SUV")</f>
        <v>WINREG-SUV</v>
      </c>
      <c r="C460" s="2">
        <f>IFERROR(__xludf.DUMMYFUNCTION("""COMPUTED_VALUE"""),240.0)</f>
        <v>240</v>
      </c>
      <c r="D460" s="2">
        <f>IFERROR(__xludf.DUMMYFUNCTION("""COMPUTED_VALUE"""),0.0)</f>
        <v>0</v>
      </c>
      <c r="E460" s="2">
        <f>IFERROR(__xludf.DUMMYFUNCTION("""COMPUTED_VALUE"""),0.0)</f>
        <v>0</v>
      </c>
      <c r="F460" s="2">
        <f>IFERROR(__xludf.DUMMYFUNCTION("""COMPUTED_VALUE"""),0.0)</f>
        <v>0</v>
      </c>
      <c r="G460" s="2">
        <f>IFERROR(__xludf.DUMMYFUNCTION("""COMPUTED_VALUE"""),0.0)</f>
        <v>0</v>
      </c>
      <c r="H460" s="2">
        <f>IFERROR(__xludf.DUMMYFUNCTION("""COMPUTED_VALUE"""),240.0)</f>
        <v>240</v>
      </c>
    </row>
    <row r="461" ht="22.5" customHeight="1">
      <c r="A461" s="2" t="str">
        <f>IFERROR(__xludf.DUMMYFUNCTION("""COMPUTED_VALUE"""),"2026-04")</f>
        <v>2026-04</v>
      </c>
      <c r="B461" s="2" t="str">
        <f>IFERROR(__xludf.DUMMYFUNCTION("""COMPUTED_VALUE"""),"WINREG-SUV")</f>
        <v>WINREG-SUV</v>
      </c>
      <c r="C461" s="2">
        <f>IFERROR(__xludf.DUMMYFUNCTION("""COMPUTED_VALUE"""),240.0)</f>
        <v>240</v>
      </c>
      <c r="D461" s="2">
        <f>IFERROR(__xludf.DUMMYFUNCTION("""COMPUTED_VALUE"""),0.0)</f>
        <v>0</v>
      </c>
      <c r="E461" s="2">
        <f>IFERROR(__xludf.DUMMYFUNCTION("""COMPUTED_VALUE"""),0.0)</f>
        <v>0</v>
      </c>
      <c r="F461" s="2">
        <f>IFERROR(__xludf.DUMMYFUNCTION("""COMPUTED_VALUE"""),0.0)</f>
        <v>0</v>
      </c>
      <c r="G461" s="2">
        <f>IFERROR(__xludf.DUMMYFUNCTION("""COMPUTED_VALUE"""),0.0)</f>
        <v>0</v>
      </c>
      <c r="H461" s="2">
        <f>IFERROR(__xludf.DUMMYFUNCTION("""COMPUTED_VALUE"""),240.0)</f>
        <v>240</v>
      </c>
    </row>
    <row r="462" ht="22.5" customHeight="1">
      <c r="A462" s="2" t="str">
        <f>IFERROR(__xludf.DUMMYFUNCTION("""COMPUTED_VALUE"""),"2026-05")</f>
        <v>2026-05</v>
      </c>
      <c r="B462" s="2" t="str">
        <f>IFERROR(__xludf.DUMMYFUNCTION("""COMPUTED_VALUE"""),"WINREG-SUV")</f>
        <v>WINREG-SUV</v>
      </c>
      <c r="C462" s="2">
        <f>IFERROR(__xludf.DUMMYFUNCTION("""COMPUTED_VALUE"""),240.0)</f>
        <v>240</v>
      </c>
      <c r="D462" s="2">
        <f>IFERROR(__xludf.DUMMYFUNCTION("""COMPUTED_VALUE"""),0.0)</f>
        <v>0</v>
      </c>
      <c r="E462" s="2">
        <f>IFERROR(__xludf.DUMMYFUNCTION("""COMPUTED_VALUE"""),0.0)</f>
        <v>0</v>
      </c>
      <c r="F462" s="2">
        <f>IFERROR(__xludf.DUMMYFUNCTION("""COMPUTED_VALUE"""),0.0)</f>
        <v>0</v>
      </c>
      <c r="G462" s="2">
        <f>IFERROR(__xludf.DUMMYFUNCTION("""COMPUTED_VALUE"""),0.0)</f>
        <v>0</v>
      </c>
      <c r="H462" s="2">
        <f>IFERROR(__xludf.DUMMYFUNCTION("""COMPUTED_VALUE"""),240.0)</f>
        <v>240</v>
      </c>
    </row>
    <row r="463" ht="22.5" customHeight="1">
      <c r="A463" s="2" t="str">
        <f>IFERROR(__xludf.DUMMYFUNCTION("""COMPUTED_VALUE"""),"2026-06")</f>
        <v>2026-06</v>
      </c>
      <c r="B463" s="2" t="str">
        <f>IFERROR(__xludf.DUMMYFUNCTION("""COMPUTED_VALUE"""),"WINREG-SUV")</f>
        <v>WINREG-SUV</v>
      </c>
      <c r="C463" s="2">
        <f>IFERROR(__xludf.DUMMYFUNCTION("""COMPUTED_VALUE"""),240.0)</f>
        <v>240</v>
      </c>
      <c r="D463" s="2">
        <f>IFERROR(__xludf.DUMMYFUNCTION("""COMPUTED_VALUE"""),0.0)</f>
        <v>0</v>
      </c>
      <c r="E463" s="2">
        <f>IFERROR(__xludf.DUMMYFUNCTION("""COMPUTED_VALUE"""),0.0)</f>
        <v>0</v>
      </c>
      <c r="F463" s="2">
        <f>IFERROR(__xludf.DUMMYFUNCTION("""COMPUTED_VALUE"""),0.0)</f>
        <v>0</v>
      </c>
      <c r="G463" s="2">
        <f>IFERROR(__xludf.DUMMYFUNCTION("""COMPUTED_VALUE"""),0.0)</f>
        <v>0</v>
      </c>
      <c r="H463" s="2">
        <f>IFERROR(__xludf.DUMMYFUNCTION("""COMPUTED_VALUE"""),240.0)</f>
        <v>240</v>
      </c>
    </row>
    <row r="464" ht="22.5" customHeight="1">
      <c r="A464" s="2" t="str">
        <f>IFERROR(__xludf.DUMMYFUNCTION("""COMPUTED_VALUE"""),"2026-07")</f>
        <v>2026-07</v>
      </c>
      <c r="B464" s="2" t="str">
        <f>IFERROR(__xludf.DUMMYFUNCTION("""COMPUTED_VALUE"""),"WINREG-SUV")</f>
        <v>WINREG-SUV</v>
      </c>
      <c r="C464" s="2">
        <f>IFERROR(__xludf.DUMMYFUNCTION("""COMPUTED_VALUE"""),240.0)</f>
        <v>240</v>
      </c>
      <c r="D464" s="2">
        <f>IFERROR(__xludf.DUMMYFUNCTION("""COMPUTED_VALUE"""),0.0)</f>
        <v>0</v>
      </c>
      <c r="E464" s="2">
        <f>IFERROR(__xludf.DUMMYFUNCTION("""COMPUTED_VALUE"""),0.0)</f>
        <v>0</v>
      </c>
      <c r="F464" s="2">
        <f>IFERROR(__xludf.DUMMYFUNCTION("""COMPUTED_VALUE"""),0.0)</f>
        <v>0</v>
      </c>
      <c r="G464" s="2">
        <f>IFERROR(__xludf.DUMMYFUNCTION("""COMPUTED_VALUE"""),0.0)</f>
        <v>0</v>
      </c>
      <c r="H464" s="2">
        <f>IFERROR(__xludf.DUMMYFUNCTION("""COMPUTED_VALUE"""),240.0)</f>
        <v>240</v>
      </c>
    </row>
    <row r="465" ht="22.5" customHeight="1">
      <c r="A465" s="2" t="str">
        <f>IFERROR(__xludf.DUMMYFUNCTION("""COMPUTED_VALUE"""),"2026-08")</f>
        <v>2026-08</v>
      </c>
      <c r="B465" s="2" t="str">
        <f>IFERROR(__xludf.DUMMYFUNCTION("""COMPUTED_VALUE"""),"WINREG-SUV")</f>
        <v>WINREG-SUV</v>
      </c>
      <c r="C465" s="2">
        <f>IFERROR(__xludf.DUMMYFUNCTION("""COMPUTED_VALUE"""),240.0)</f>
        <v>240</v>
      </c>
      <c r="D465" s="2">
        <f>IFERROR(__xludf.DUMMYFUNCTION("""COMPUTED_VALUE"""),0.0)</f>
        <v>0</v>
      </c>
      <c r="E465" s="2">
        <f>IFERROR(__xludf.DUMMYFUNCTION("""COMPUTED_VALUE"""),0.0)</f>
        <v>0</v>
      </c>
      <c r="F465" s="2">
        <f>IFERROR(__xludf.DUMMYFUNCTION("""COMPUTED_VALUE"""),0.0)</f>
        <v>0</v>
      </c>
      <c r="G465" s="2">
        <f>IFERROR(__xludf.DUMMYFUNCTION("""COMPUTED_VALUE"""),0.0)</f>
        <v>0</v>
      </c>
      <c r="H465" s="2">
        <f>IFERROR(__xludf.DUMMYFUNCTION("""COMPUTED_VALUE"""),240.0)</f>
        <v>240</v>
      </c>
    </row>
    <row r="466" ht="22.5" customHeight="1">
      <c r="A466" s="2" t="str">
        <f>IFERROR(__xludf.DUMMYFUNCTION("""COMPUTED_VALUE"""),"2026-09")</f>
        <v>2026-09</v>
      </c>
      <c r="B466" s="2" t="str">
        <f>IFERROR(__xludf.DUMMYFUNCTION("""COMPUTED_VALUE"""),"WINREG-SUV")</f>
        <v>WINREG-SUV</v>
      </c>
      <c r="C466" s="2">
        <f>IFERROR(__xludf.DUMMYFUNCTION("""COMPUTED_VALUE"""),240.0)</f>
        <v>240</v>
      </c>
      <c r="D466" s="2">
        <f>IFERROR(__xludf.DUMMYFUNCTION("""COMPUTED_VALUE"""),0.0)</f>
        <v>0</v>
      </c>
      <c r="E466" s="2">
        <f>IFERROR(__xludf.DUMMYFUNCTION("""COMPUTED_VALUE"""),0.0)</f>
        <v>0</v>
      </c>
      <c r="F466" s="2">
        <f>IFERROR(__xludf.DUMMYFUNCTION("""COMPUTED_VALUE"""),0.0)</f>
        <v>0</v>
      </c>
      <c r="G466" s="2">
        <f>IFERROR(__xludf.DUMMYFUNCTION("""COMPUTED_VALUE"""),0.0)</f>
        <v>0</v>
      </c>
      <c r="H466" s="2">
        <f>IFERROR(__xludf.DUMMYFUNCTION("""COMPUTED_VALUE"""),240.0)</f>
        <v>240</v>
      </c>
    </row>
    <row r="467" ht="22.5" customHeight="1">
      <c r="A467" s="2" t="str">
        <f>IFERROR(__xludf.DUMMYFUNCTION("""COMPUTED_VALUE"""),"2026-10")</f>
        <v>2026-10</v>
      </c>
      <c r="B467" s="2" t="str">
        <f>IFERROR(__xludf.DUMMYFUNCTION("""COMPUTED_VALUE"""),"WINREG-SUV")</f>
        <v>WINREG-SUV</v>
      </c>
      <c r="C467" s="2">
        <f>IFERROR(__xludf.DUMMYFUNCTION("""COMPUTED_VALUE"""),240.0)</f>
        <v>240</v>
      </c>
      <c r="D467" s="2">
        <f>IFERROR(__xludf.DUMMYFUNCTION("""COMPUTED_VALUE"""),0.0)</f>
        <v>0</v>
      </c>
      <c r="E467" s="2">
        <f>IFERROR(__xludf.DUMMYFUNCTION("""COMPUTED_VALUE"""),0.0)</f>
        <v>0</v>
      </c>
      <c r="F467" s="2">
        <f>IFERROR(__xludf.DUMMYFUNCTION("""COMPUTED_VALUE"""),0.0)</f>
        <v>0</v>
      </c>
      <c r="G467" s="2">
        <f>IFERROR(__xludf.DUMMYFUNCTION("""COMPUTED_VALUE"""),0.0)</f>
        <v>0</v>
      </c>
      <c r="H467" s="2">
        <f>IFERROR(__xludf.DUMMYFUNCTION("""COMPUTED_VALUE"""),240.0)</f>
        <v>240</v>
      </c>
    </row>
    <row r="468" ht="22.5" customHeight="1">
      <c r="A468" s="2" t="str">
        <f>IFERROR(__xludf.DUMMYFUNCTION("""COMPUTED_VALUE"""),"2026-11")</f>
        <v>2026-11</v>
      </c>
      <c r="B468" s="2" t="str">
        <f>IFERROR(__xludf.DUMMYFUNCTION("""COMPUTED_VALUE"""),"WINREG-SUV")</f>
        <v>WINREG-SUV</v>
      </c>
      <c r="C468" s="2">
        <f>IFERROR(__xludf.DUMMYFUNCTION("""COMPUTED_VALUE"""),240.0)</f>
        <v>240</v>
      </c>
      <c r="D468" s="2">
        <f>IFERROR(__xludf.DUMMYFUNCTION("""COMPUTED_VALUE"""),0.0)</f>
        <v>0</v>
      </c>
      <c r="E468" s="2">
        <f>IFERROR(__xludf.DUMMYFUNCTION("""COMPUTED_VALUE"""),0.0)</f>
        <v>0</v>
      </c>
      <c r="F468" s="2">
        <f>IFERROR(__xludf.DUMMYFUNCTION("""COMPUTED_VALUE"""),0.0)</f>
        <v>0</v>
      </c>
      <c r="G468" s="2">
        <f>IFERROR(__xludf.DUMMYFUNCTION("""COMPUTED_VALUE"""),0.0)</f>
        <v>0</v>
      </c>
      <c r="H468" s="2">
        <f>IFERROR(__xludf.DUMMYFUNCTION("""COMPUTED_VALUE"""),240.0)</f>
        <v>240</v>
      </c>
    </row>
    <row r="469" ht="22.5" customHeight="1">
      <c r="A469" s="2" t="str">
        <f>IFERROR(__xludf.DUMMYFUNCTION("""COMPUTED_VALUE"""),"2026-12")</f>
        <v>2026-12</v>
      </c>
      <c r="B469" s="2" t="str">
        <f>IFERROR(__xludf.DUMMYFUNCTION("""COMPUTED_VALUE"""),"WINREG-SUV")</f>
        <v>WINREG-SUV</v>
      </c>
      <c r="C469" s="2">
        <f>IFERROR(__xludf.DUMMYFUNCTION("""COMPUTED_VALUE"""),240.0)</f>
        <v>240</v>
      </c>
      <c r="D469" s="2">
        <f>IFERROR(__xludf.DUMMYFUNCTION("""COMPUTED_VALUE"""),0.0)</f>
        <v>0</v>
      </c>
      <c r="E469" s="2">
        <f>IFERROR(__xludf.DUMMYFUNCTION("""COMPUTED_VALUE"""),0.0)</f>
        <v>0</v>
      </c>
      <c r="F469" s="2">
        <f>IFERROR(__xludf.DUMMYFUNCTION("""COMPUTED_VALUE"""),0.0)</f>
        <v>0</v>
      </c>
      <c r="G469" s="2">
        <f>IFERROR(__xludf.DUMMYFUNCTION("""COMPUTED_VALUE"""),0.0)</f>
        <v>0</v>
      </c>
      <c r="H469" s="2">
        <f>IFERROR(__xludf.DUMMYFUNCTION("""COMPUTED_VALUE"""),240.0)</f>
        <v>240</v>
      </c>
    </row>
    <row r="470" ht="22.5" customHeight="1">
      <c r="A470" s="2" t="str">
        <f>IFERROR(__xludf.DUMMYFUNCTION("""COMPUTED_VALUE"""),"2026-01")</f>
        <v>2026-01</v>
      </c>
      <c r="B470" s="2" t="str">
        <f>IFERROR(__xludf.DUMMYFUNCTION("""COMPUTED_VALUE"""),"WINREG-SUV - LX")</f>
        <v>WINREG-SUV - LX</v>
      </c>
      <c r="C470" s="2">
        <f>IFERROR(__xludf.DUMMYFUNCTION("""COMPUTED_VALUE"""),423.0)</f>
        <v>423</v>
      </c>
      <c r="D470" s="2">
        <f>IFERROR(__xludf.DUMMYFUNCTION("""COMPUTED_VALUE"""),0.0)</f>
        <v>0</v>
      </c>
      <c r="E470" s="2">
        <f>IFERROR(__xludf.DUMMYFUNCTION("""COMPUTED_VALUE"""),0.0)</f>
        <v>0</v>
      </c>
      <c r="F470" s="2">
        <f>IFERROR(__xludf.DUMMYFUNCTION("""COMPUTED_VALUE"""),0.0)</f>
        <v>0</v>
      </c>
      <c r="G470" s="2">
        <f>IFERROR(__xludf.DUMMYFUNCTION("""COMPUTED_VALUE"""),194.0)</f>
        <v>194</v>
      </c>
      <c r="H470" s="2">
        <f>IFERROR(__xludf.DUMMYFUNCTION("""COMPUTED_VALUE"""),229.0)</f>
        <v>229</v>
      </c>
    </row>
    <row r="471" ht="22.5" customHeight="1">
      <c r="A471" s="2" t="str">
        <f>IFERROR(__xludf.DUMMYFUNCTION("""COMPUTED_VALUE"""),"2026-02")</f>
        <v>2026-02</v>
      </c>
      <c r="B471" s="2" t="str">
        <f>IFERROR(__xludf.DUMMYFUNCTION("""COMPUTED_VALUE"""),"WINREG-SUV - LX")</f>
        <v>WINREG-SUV - LX</v>
      </c>
      <c r="C471" s="2">
        <f>IFERROR(__xludf.DUMMYFUNCTION("""COMPUTED_VALUE"""),229.0)</f>
        <v>229</v>
      </c>
      <c r="D471" s="2">
        <f>IFERROR(__xludf.DUMMYFUNCTION("""COMPUTED_VALUE"""),0.0)</f>
        <v>0</v>
      </c>
      <c r="E471" s="2">
        <f>IFERROR(__xludf.DUMMYFUNCTION("""COMPUTED_VALUE"""),0.0)</f>
        <v>0</v>
      </c>
      <c r="F471" s="2">
        <f>IFERROR(__xludf.DUMMYFUNCTION("""COMPUTED_VALUE"""),0.0)</f>
        <v>0</v>
      </c>
      <c r="G471" s="2">
        <f>IFERROR(__xludf.DUMMYFUNCTION("""COMPUTED_VALUE"""),224.0)</f>
        <v>224</v>
      </c>
      <c r="H471" s="2">
        <f>IFERROR(__xludf.DUMMYFUNCTION("""COMPUTED_VALUE"""),5.0)</f>
        <v>5</v>
      </c>
    </row>
    <row r="472" ht="22.5" customHeight="1">
      <c r="A472" s="2" t="str">
        <f>IFERROR(__xludf.DUMMYFUNCTION("""COMPUTED_VALUE"""),"2026-03")</f>
        <v>2026-03</v>
      </c>
      <c r="B472" s="2" t="str">
        <f>IFERROR(__xludf.DUMMYFUNCTION("""COMPUTED_VALUE"""),"WINREG-SUV - LX")</f>
        <v>WINREG-SUV - LX</v>
      </c>
      <c r="C472" s="2">
        <f>IFERROR(__xludf.DUMMYFUNCTION("""COMPUTED_VALUE"""),5.0)</f>
        <v>5</v>
      </c>
      <c r="D472" s="2">
        <f>IFERROR(__xludf.DUMMYFUNCTION("""COMPUTED_VALUE"""),0.0)</f>
        <v>0</v>
      </c>
      <c r="E472" s="2">
        <f>IFERROR(__xludf.DUMMYFUNCTION("""COMPUTED_VALUE"""),0.0)</f>
        <v>0</v>
      </c>
      <c r="F472" s="2">
        <f>IFERROR(__xludf.DUMMYFUNCTION("""COMPUTED_VALUE"""),0.0)</f>
        <v>0</v>
      </c>
      <c r="G472" s="2">
        <f>IFERROR(__xludf.DUMMYFUNCTION("""COMPUTED_VALUE"""),0.0)</f>
        <v>0</v>
      </c>
      <c r="H472" s="2">
        <f>IFERROR(__xludf.DUMMYFUNCTION("""COMPUTED_VALUE"""),5.0)</f>
        <v>5</v>
      </c>
    </row>
    <row r="473" ht="22.5" customHeight="1">
      <c r="A473" s="2" t="str">
        <f>IFERROR(__xludf.DUMMYFUNCTION("""COMPUTED_VALUE"""),"2026-04")</f>
        <v>2026-04</v>
      </c>
      <c r="B473" s="2" t="str">
        <f>IFERROR(__xludf.DUMMYFUNCTION("""COMPUTED_VALUE"""),"WINREG-SUV - LX")</f>
        <v>WINREG-SUV - LX</v>
      </c>
      <c r="C473" s="2">
        <f>IFERROR(__xludf.DUMMYFUNCTION("""COMPUTED_VALUE"""),5.0)</f>
        <v>5</v>
      </c>
      <c r="D473" s="2">
        <f>IFERROR(__xludf.DUMMYFUNCTION("""COMPUTED_VALUE"""),0.0)</f>
        <v>0</v>
      </c>
      <c r="E473" s="2">
        <f>IFERROR(__xludf.DUMMYFUNCTION("""COMPUTED_VALUE"""),0.0)</f>
        <v>0</v>
      </c>
      <c r="F473" s="2">
        <f>IFERROR(__xludf.DUMMYFUNCTION("""COMPUTED_VALUE"""),0.0)</f>
        <v>0</v>
      </c>
      <c r="G473" s="2">
        <f>IFERROR(__xludf.DUMMYFUNCTION("""COMPUTED_VALUE"""),0.0)</f>
        <v>0</v>
      </c>
      <c r="H473" s="2">
        <f>IFERROR(__xludf.DUMMYFUNCTION("""COMPUTED_VALUE"""),5.0)</f>
        <v>5</v>
      </c>
    </row>
    <row r="474" ht="22.5" customHeight="1">
      <c r="A474" s="2" t="str">
        <f>IFERROR(__xludf.DUMMYFUNCTION("""COMPUTED_VALUE"""),"2026-05")</f>
        <v>2026-05</v>
      </c>
      <c r="B474" s="2" t="str">
        <f>IFERROR(__xludf.DUMMYFUNCTION("""COMPUTED_VALUE"""),"WINREG-SUV - LX")</f>
        <v>WINREG-SUV - LX</v>
      </c>
      <c r="C474" s="2">
        <f>IFERROR(__xludf.DUMMYFUNCTION("""COMPUTED_VALUE"""),5.0)</f>
        <v>5</v>
      </c>
      <c r="D474" s="2">
        <f>IFERROR(__xludf.DUMMYFUNCTION("""COMPUTED_VALUE"""),0.0)</f>
        <v>0</v>
      </c>
      <c r="E474" s="2">
        <f>IFERROR(__xludf.DUMMYFUNCTION("""COMPUTED_VALUE"""),0.0)</f>
        <v>0</v>
      </c>
      <c r="F474" s="2">
        <f>IFERROR(__xludf.DUMMYFUNCTION("""COMPUTED_VALUE"""),0.0)</f>
        <v>0</v>
      </c>
      <c r="G474" s="2">
        <f>IFERROR(__xludf.DUMMYFUNCTION("""COMPUTED_VALUE"""),0.0)</f>
        <v>0</v>
      </c>
      <c r="H474" s="2">
        <f>IFERROR(__xludf.DUMMYFUNCTION("""COMPUTED_VALUE"""),5.0)</f>
        <v>5</v>
      </c>
    </row>
    <row r="475" ht="22.5" customHeight="1">
      <c r="A475" s="2" t="str">
        <f>IFERROR(__xludf.DUMMYFUNCTION("""COMPUTED_VALUE"""),"2026-06")</f>
        <v>2026-06</v>
      </c>
      <c r="B475" s="2" t="str">
        <f>IFERROR(__xludf.DUMMYFUNCTION("""COMPUTED_VALUE"""),"WINREG-SUV - LX")</f>
        <v>WINREG-SUV - LX</v>
      </c>
      <c r="C475" s="2">
        <f>IFERROR(__xludf.DUMMYFUNCTION("""COMPUTED_VALUE"""),5.0)</f>
        <v>5</v>
      </c>
      <c r="D475" s="2">
        <f>IFERROR(__xludf.DUMMYFUNCTION("""COMPUTED_VALUE"""),0.0)</f>
        <v>0</v>
      </c>
      <c r="E475" s="2">
        <f>IFERROR(__xludf.DUMMYFUNCTION("""COMPUTED_VALUE"""),0.0)</f>
        <v>0</v>
      </c>
      <c r="F475" s="2">
        <f>IFERROR(__xludf.DUMMYFUNCTION("""COMPUTED_VALUE"""),0.0)</f>
        <v>0</v>
      </c>
      <c r="G475" s="2">
        <f>IFERROR(__xludf.DUMMYFUNCTION("""COMPUTED_VALUE"""),0.0)</f>
        <v>0</v>
      </c>
      <c r="H475" s="2">
        <f>IFERROR(__xludf.DUMMYFUNCTION("""COMPUTED_VALUE"""),5.0)</f>
        <v>5</v>
      </c>
    </row>
    <row r="476" ht="22.5" customHeight="1">
      <c r="A476" s="2" t="str">
        <f>IFERROR(__xludf.DUMMYFUNCTION("""COMPUTED_VALUE"""),"2026-07")</f>
        <v>2026-07</v>
      </c>
      <c r="B476" s="2" t="str">
        <f>IFERROR(__xludf.DUMMYFUNCTION("""COMPUTED_VALUE"""),"WINREG-SUV - LX")</f>
        <v>WINREG-SUV - LX</v>
      </c>
      <c r="C476" s="2">
        <f>IFERROR(__xludf.DUMMYFUNCTION("""COMPUTED_VALUE"""),5.0)</f>
        <v>5</v>
      </c>
      <c r="D476" s="2">
        <f>IFERROR(__xludf.DUMMYFUNCTION("""COMPUTED_VALUE"""),0.0)</f>
        <v>0</v>
      </c>
      <c r="E476" s="2">
        <f>IFERROR(__xludf.DUMMYFUNCTION("""COMPUTED_VALUE"""),0.0)</f>
        <v>0</v>
      </c>
      <c r="F476" s="2">
        <f>IFERROR(__xludf.DUMMYFUNCTION("""COMPUTED_VALUE"""),0.0)</f>
        <v>0</v>
      </c>
      <c r="G476" s="2">
        <f>IFERROR(__xludf.DUMMYFUNCTION("""COMPUTED_VALUE"""),0.0)</f>
        <v>0</v>
      </c>
      <c r="H476" s="2">
        <f>IFERROR(__xludf.DUMMYFUNCTION("""COMPUTED_VALUE"""),5.0)</f>
        <v>5</v>
      </c>
    </row>
    <row r="477" ht="22.5" customHeight="1">
      <c r="A477" s="2" t="str">
        <f>IFERROR(__xludf.DUMMYFUNCTION("""COMPUTED_VALUE"""),"2026-08")</f>
        <v>2026-08</v>
      </c>
      <c r="B477" s="2" t="str">
        <f>IFERROR(__xludf.DUMMYFUNCTION("""COMPUTED_VALUE"""),"WINREG-SUV - LX")</f>
        <v>WINREG-SUV - LX</v>
      </c>
      <c r="C477" s="2">
        <f>IFERROR(__xludf.DUMMYFUNCTION("""COMPUTED_VALUE"""),5.0)</f>
        <v>5</v>
      </c>
      <c r="D477" s="2">
        <f>IFERROR(__xludf.DUMMYFUNCTION("""COMPUTED_VALUE"""),0.0)</f>
        <v>0</v>
      </c>
      <c r="E477" s="2">
        <f>IFERROR(__xludf.DUMMYFUNCTION("""COMPUTED_VALUE"""),0.0)</f>
        <v>0</v>
      </c>
      <c r="F477" s="2">
        <f>IFERROR(__xludf.DUMMYFUNCTION("""COMPUTED_VALUE"""),0.0)</f>
        <v>0</v>
      </c>
      <c r="G477" s="2">
        <f>IFERROR(__xludf.DUMMYFUNCTION("""COMPUTED_VALUE"""),0.0)</f>
        <v>0</v>
      </c>
      <c r="H477" s="2">
        <f>IFERROR(__xludf.DUMMYFUNCTION("""COMPUTED_VALUE"""),5.0)</f>
        <v>5</v>
      </c>
    </row>
    <row r="478" ht="22.5" customHeight="1">
      <c r="A478" s="2" t="str">
        <f>IFERROR(__xludf.DUMMYFUNCTION("""COMPUTED_VALUE"""),"2026-09")</f>
        <v>2026-09</v>
      </c>
      <c r="B478" s="2" t="str">
        <f>IFERROR(__xludf.DUMMYFUNCTION("""COMPUTED_VALUE"""),"WINREG-SUV - LX")</f>
        <v>WINREG-SUV - LX</v>
      </c>
      <c r="C478" s="2">
        <f>IFERROR(__xludf.DUMMYFUNCTION("""COMPUTED_VALUE"""),5.0)</f>
        <v>5</v>
      </c>
      <c r="D478" s="2">
        <f>IFERROR(__xludf.DUMMYFUNCTION("""COMPUTED_VALUE"""),0.0)</f>
        <v>0</v>
      </c>
      <c r="E478" s="2">
        <f>IFERROR(__xludf.DUMMYFUNCTION("""COMPUTED_VALUE"""),0.0)</f>
        <v>0</v>
      </c>
      <c r="F478" s="2">
        <f>IFERROR(__xludf.DUMMYFUNCTION("""COMPUTED_VALUE"""),0.0)</f>
        <v>0</v>
      </c>
      <c r="G478" s="2">
        <f>IFERROR(__xludf.DUMMYFUNCTION("""COMPUTED_VALUE"""),0.0)</f>
        <v>0</v>
      </c>
      <c r="H478" s="2">
        <f>IFERROR(__xludf.DUMMYFUNCTION("""COMPUTED_VALUE"""),5.0)</f>
        <v>5</v>
      </c>
    </row>
    <row r="479" ht="22.5" customHeight="1">
      <c r="A479" s="2" t="str">
        <f>IFERROR(__xludf.DUMMYFUNCTION("""COMPUTED_VALUE"""),"2026-10")</f>
        <v>2026-10</v>
      </c>
      <c r="B479" s="2" t="str">
        <f>IFERROR(__xludf.DUMMYFUNCTION("""COMPUTED_VALUE"""),"WINREG-SUV - LX")</f>
        <v>WINREG-SUV - LX</v>
      </c>
      <c r="C479" s="2">
        <f>IFERROR(__xludf.DUMMYFUNCTION("""COMPUTED_VALUE"""),5.0)</f>
        <v>5</v>
      </c>
      <c r="D479" s="2">
        <f>IFERROR(__xludf.DUMMYFUNCTION("""COMPUTED_VALUE"""),0.0)</f>
        <v>0</v>
      </c>
      <c r="E479" s="2">
        <f>IFERROR(__xludf.DUMMYFUNCTION("""COMPUTED_VALUE"""),0.0)</f>
        <v>0</v>
      </c>
      <c r="F479" s="2">
        <f>IFERROR(__xludf.DUMMYFUNCTION("""COMPUTED_VALUE"""),0.0)</f>
        <v>0</v>
      </c>
      <c r="G479" s="2">
        <f>IFERROR(__xludf.DUMMYFUNCTION("""COMPUTED_VALUE"""),0.0)</f>
        <v>0</v>
      </c>
      <c r="H479" s="2">
        <f>IFERROR(__xludf.DUMMYFUNCTION("""COMPUTED_VALUE"""),5.0)</f>
        <v>5</v>
      </c>
    </row>
    <row r="480" ht="22.5" customHeight="1">
      <c r="A480" s="2" t="str">
        <f>IFERROR(__xludf.DUMMYFUNCTION("""COMPUTED_VALUE"""),"2026-11")</f>
        <v>2026-11</v>
      </c>
      <c r="B480" s="2" t="str">
        <f>IFERROR(__xludf.DUMMYFUNCTION("""COMPUTED_VALUE"""),"WINREG-SUV - LX")</f>
        <v>WINREG-SUV - LX</v>
      </c>
      <c r="C480" s="2">
        <f>IFERROR(__xludf.DUMMYFUNCTION("""COMPUTED_VALUE"""),5.0)</f>
        <v>5</v>
      </c>
      <c r="D480" s="2">
        <f>IFERROR(__xludf.DUMMYFUNCTION("""COMPUTED_VALUE"""),0.0)</f>
        <v>0</v>
      </c>
      <c r="E480" s="2">
        <f>IFERROR(__xludf.DUMMYFUNCTION("""COMPUTED_VALUE"""),0.0)</f>
        <v>0</v>
      </c>
      <c r="F480" s="2">
        <f>IFERROR(__xludf.DUMMYFUNCTION("""COMPUTED_VALUE"""),0.0)</f>
        <v>0</v>
      </c>
      <c r="G480" s="2">
        <f>IFERROR(__xludf.DUMMYFUNCTION("""COMPUTED_VALUE"""),0.0)</f>
        <v>0</v>
      </c>
      <c r="H480" s="2">
        <f>IFERROR(__xludf.DUMMYFUNCTION("""COMPUTED_VALUE"""),5.0)</f>
        <v>5</v>
      </c>
    </row>
    <row r="481" ht="22.5" customHeight="1">
      <c r="A481" s="2" t="str">
        <f>IFERROR(__xludf.DUMMYFUNCTION("""COMPUTED_VALUE"""),"2026-12")</f>
        <v>2026-12</v>
      </c>
      <c r="B481" s="2" t="str">
        <f>IFERROR(__xludf.DUMMYFUNCTION("""COMPUTED_VALUE"""),"WINREG-SUV - LX")</f>
        <v>WINREG-SUV - LX</v>
      </c>
      <c r="C481" s="2">
        <f>IFERROR(__xludf.DUMMYFUNCTION("""COMPUTED_VALUE"""),5.0)</f>
        <v>5</v>
      </c>
      <c r="D481" s="2">
        <f>IFERROR(__xludf.DUMMYFUNCTION("""COMPUTED_VALUE"""),0.0)</f>
        <v>0</v>
      </c>
      <c r="E481" s="2">
        <f>IFERROR(__xludf.DUMMYFUNCTION("""COMPUTED_VALUE"""),0.0)</f>
        <v>0</v>
      </c>
      <c r="F481" s="2">
        <f>IFERROR(__xludf.DUMMYFUNCTION("""COMPUTED_VALUE"""),0.0)</f>
        <v>0</v>
      </c>
      <c r="G481" s="2">
        <f>IFERROR(__xludf.DUMMYFUNCTION("""COMPUTED_VALUE"""),0.0)</f>
        <v>0</v>
      </c>
      <c r="H481" s="2">
        <f>IFERROR(__xludf.DUMMYFUNCTION("""COMPUTED_VALUE"""),5.0)</f>
        <v>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7.63"/>
    <col customWidth="1" min="3" max="3" width="15.75"/>
    <col customWidth="1" min="4" max="4" width="20.38"/>
    <col customWidth="1" min="5" max="5" width="15.0"/>
    <col customWidth="1" min="6" max="6" width="20.63"/>
    <col customWidth="1" min="7" max="7" width="19.63"/>
  </cols>
  <sheetData>
    <row r="1" ht="22.5" customHeight="1">
      <c r="A1" s="3" t="s">
        <v>0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9</v>
      </c>
    </row>
    <row r="2" ht="22.5" customHeight="1">
      <c r="A2" s="2" t="str">
        <f>IFERROR(__xludf.DUMMYFUNCTION("IMPORTRANGE(""https://docs.google.com/spreadsheets/d/1cuUEDJt1Vm931IMxiPU4Nr4m2KtD68iuWoRbEMiJusk/edit?usp=sharing"",""COST_SUMMARY!A2:Z10000"")"),"2026-01")</f>
        <v>2026-01</v>
      </c>
      <c r="B2" s="4">
        <f>IFERROR(__xludf.DUMMYFUNCTION("""COMPUTED_VALUE"""),2.832305868E7)</f>
        <v>28323058.68</v>
      </c>
      <c r="C2" s="4">
        <f>IFERROR(__xludf.DUMMYFUNCTION("""COMPUTED_VALUE"""),1058482.0)</f>
        <v>1058482</v>
      </c>
      <c r="D2" s="4">
        <f>IFERROR(__xludf.DUMMYFUNCTION("""COMPUTED_VALUE"""),3.73929733321672E7)</f>
        <v>37392973.33</v>
      </c>
      <c r="E2" s="4">
        <f>IFERROR(__xludf.DUMMYFUNCTION("""COMPUTED_VALUE"""),622474.0673333333)</f>
        <v>622474.0673</v>
      </c>
      <c r="F2" s="4">
        <f>IFERROR(__xludf.DUMMYFUNCTION("""COMPUTED_VALUE"""),3.8015447399500534E7)</f>
        <v>38015447.4</v>
      </c>
      <c r="G2" s="5">
        <f>IFERROR(__xludf.DUMMYFUNCTION("""COMPUTED_VALUE"""),361.0)</f>
        <v>361</v>
      </c>
    </row>
    <row r="3" ht="22.5" customHeight="1">
      <c r="A3" s="2" t="str">
        <f>IFERROR(__xludf.DUMMYFUNCTION("""COMPUTED_VALUE"""),"2026-02")</f>
        <v>2026-02</v>
      </c>
      <c r="B3" s="4">
        <f>IFERROR(__xludf.DUMMYFUNCTION("""COMPUTED_VALUE"""),5.508272254E7)</f>
        <v>55082722.54</v>
      </c>
      <c r="C3" s="4">
        <f>IFERROR(__xludf.DUMMYFUNCTION("""COMPUTED_VALUE"""),1966943.0)</f>
        <v>1966943</v>
      </c>
      <c r="D3" s="4">
        <f>IFERROR(__xludf.DUMMYFUNCTION("""COMPUTED_VALUE"""),7.23090538522352E7)</f>
        <v>72309053.85</v>
      </c>
      <c r="E3" s="4">
        <f>IFERROR(__xludf.DUMMYFUNCTION("""COMPUTED_VALUE"""),359434.30899999995)</f>
        <v>359434.309</v>
      </c>
      <c r="F3" s="4">
        <f>IFERROR(__xludf.DUMMYFUNCTION("""COMPUTED_VALUE"""),7.26684881612352E7)</f>
        <v>72668488.16</v>
      </c>
      <c r="G3" s="5">
        <f>IFERROR(__xludf.DUMMYFUNCTION("""COMPUTED_VALUE"""),683.0)</f>
        <v>683</v>
      </c>
    </row>
    <row r="4" ht="22.5" customHeight="1">
      <c r="A4" s="2" t="str">
        <f>IFERROR(__xludf.DUMMYFUNCTION("""COMPUTED_VALUE"""),"2026-03")</f>
        <v>2026-03</v>
      </c>
      <c r="B4" s="4">
        <f>IFERROR(__xludf.DUMMYFUNCTION("""COMPUTED_VALUE"""),6.768205797E7)</f>
        <v>67682057.97</v>
      </c>
      <c r="C4" s="4">
        <f>IFERROR(__xludf.DUMMYFUNCTION("""COMPUTED_VALUE"""),2021680.0)</f>
        <v>2021680</v>
      </c>
      <c r="D4" s="4">
        <f>IFERROR(__xludf.DUMMYFUNCTION("""COMPUTED_VALUE"""),8.80733647197448E7)</f>
        <v>88073364.72</v>
      </c>
      <c r="E4" s="4">
        <f>IFERROR(__xludf.DUMMYFUNCTION("""COMPUTED_VALUE"""),325344.02116666664)</f>
        <v>325344.0212</v>
      </c>
      <c r="F4" s="4">
        <f>IFERROR(__xludf.DUMMYFUNCTION("""COMPUTED_VALUE"""),8.839870874091147E7)</f>
        <v>88398708.74</v>
      </c>
      <c r="G4" s="5">
        <f>IFERROR(__xludf.DUMMYFUNCTION("""COMPUTED_VALUE"""),719.0)</f>
        <v>719</v>
      </c>
    </row>
    <row r="5" ht="22.5" customHeight="1">
      <c r="A5" s="2" t="str">
        <f>IFERROR(__xludf.DUMMYFUNCTION("""COMPUTED_VALUE"""),"2026-04")</f>
        <v>2026-04</v>
      </c>
      <c r="B5" s="4">
        <f>IFERROR(__xludf.DUMMYFUNCTION("""COMPUTED_VALUE"""),6.986176574E7)</f>
        <v>69861765.74</v>
      </c>
      <c r="C5" s="4">
        <f>IFERROR(__xludf.DUMMYFUNCTION("""COMPUTED_VALUE"""),2145888.0)</f>
        <v>2145888</v>
      </c>
      <c r="D5" s="4">
        <f>IFERROR(__xludf.DUMMYFUNCTION("""COMPUTED_VALUE"""),9.10140603252496E7)</f>
        <v>91014060.33</v>
      </c>
      <c r="E5" s="4">
        <f>IFERROR(__xludf.DUMMYFUNCTION("""COMPUTED_VALUE"""),327922.3871666666)</f>
        <v>327922.3872</v>
      </c>
      <c r="F5" s="4">
        <f>IFERROR(__xludf.DUMMYFUNCTION("""COMPUTED_VALUE"""),9.134198271241626E7)</f>
        <v>91341982.71</v>
      </c>
      <c r="G5" s="5">
        <f>IFERROR(__xludf.DUMMYFUNCTION("""COMPUTED_VALUE"""),737.0)</f>
        <v>737</v>
      </c>
    </row>
    <row r="6" ht="22.5" customHeight="1">
      <c r="A6" s="2" t="str">
        <f>IFERROR(__xludf.DUMMYFUNCTION("""COMPUTED_VALUE"""),"2026-05")</f>
        <v>2026-05</v>
      </c>
      <c r="B6" s="4">
        <f>IFERROR(__xludf.DUMMYFUNCTION("""COMPUTED_VALUE"""),6.975152462E7)</f>
        <v>69751524.62</v>
      </c>
      <c r="C6" s="4">
        <f>IFERROR(__xludf.DUMMYFUNCTION("""COMPUTED_VALUE"""),2170548.0)</f>
        <v>2170548</v>
      </c>
      <c r="D6" s="4">
        <f>IFERROR(__xludf.DUMMYFUNCTION("""COMPUTED_VALUE"""),9.08997563702624E7)</f>
        <v>90899756.37</v>
      </c>
      <c r="E6" s="4">
        <f>IFERROR(__xludf.DUMMYFUNCTION("""COMPUTED_VALUE"""),328663.40116666665)</f>
        <v>328663.4012</v>
      </c>
      <c r="F6" s="4">
        <f>IFERROR(__xludf.DUMMYFUNCTION("""COMPUTED_VALUE"""),9.122841977142906E7)</f>
        <v>91228419.77</v>
      </c>
      <c r="G6" s="5">
        <f>IFERROR(__xludf.DUMMYFUNCTION("""COMPUTED_VALUE"""),736.0)</f>
        <v>736</v>
      </c>
    </row>
    <row r="7" ht="22.5" customHeight="1">
      <c r="A7" s="2" t="str">
        <f>IFERROR(__xludf.DUMMYFUNCTION("""COMPUTED_VALUE"""),"2026-06")</f>
        <v>2026-06</v>
      </c>
      <c r="B7" s="4">
        <f>IFERROR(__xludf.DUMMYFUNCTION("""COMPUTED_VALUE"""),6.95576335E7)</f>
        <v>69557633.5</v>
      </c>
      <c r="C7" s="4">
        <f>IFERROR(__xludf.DUMMYFUNCTION("""COMPUTED_VALUE"""),2212977.0)</f>
        <v>2212977</v>
      </c>
      <c r="D7" s="4">
        <f>IFERROR(__xludf.DUMMYFUNCTION("""COMPUTED_VALUE"""),9.070091828892161E7)</f>
        <v>90700918.29</v>
      </c>
      <c r="E7" s="4">
        <f>IFERROR(__xludf.DUMMYFUNCTION("""COMPUTED_VALUE"""),326172.8965)</f>
        <v>326172.8965</v>
      </c>
      <c r="F7" s="4">
        <f>IFERROR(__xludf.DUMMYFUNCTION("""COMPUTED_VALUE"""),9.10270911854216E7)</f>
        <v>91027091.19</v>
      </c>
      <c r="G7" s="5">
        <f>IFERROR(__xludf.DUMMYFUNCTION("""COMPUTED_VALUE"""),733.0)</f>
        <v>733</v>
      </c>
    </row>
    <row r="8" ht="22.5" customHeight="1">
      <c r="A8" s="2" t="str">
        <f>IFERROR(__xludf.DUMMYFUNCTION("""COMPUTED_VALUE"""),"2026-07")</f>
        <v>2026-07</v>
      </c>
      <c r="B8" s="4">
        <f>IFERROR(__xludf.DUMMYFUNCTION("""COMPUTED_VALUE"""),7.083747347E7)</f>
        <v>70837473.47</v>
      </c>
      <c r="C8" s="4">
        <f>IFERROR(__xludf.DUMMYFUNCTION("""COMPUTED_VALUE"""),2346650.0)</f>
        <v>2346650</v>
      </c>
      <c r="D8" s="4">
        <f>IFERROR(__xludf.DUMMYFUNCTION("""COMPUTED_VALUE"""),9.25707729043416E7)</f>
        <v>92570772.9</v>
      </c>
      <c r="E8" s="4">
        <f>IFERROR(__xludf.DUMMYFUNCTION("""COMPUTED_VALUE"""),345013.05799999996)</f>
        <v>345013.058</v>
      </c>
      <c r="F8" s="4">
        <f>IFERROR(__xludf.DUMMYFUNCTION("""COMPUTED_VALUE"""),9.29157859623416E7)</f>
        <v>92915785.96</v>
      </c>
      <c r="G8" s="5">
        <f>IFERROR(__xludf.DUMMYFUNCTION("""COMPUTED_VALUE"""),753.0)</f>
        <v>753</v>
      </c>
    </row>
    <row r="9" ht="22.5" customHeight="1">
      <c r="A9" s="2" t="str">
        <f>IFERROR(__xludf.DUMMYFUNCTION("""COMPUTED_VALUE"""),"2026-08")</f>
        <v>2026-08</v>
      </c>
      <c r="B9" s="4">
        <f>IFERROR(__xludf.DUMMYFUNCTION("""COMPUTED_VALUE"""),6.860780234E7)</f>
        <v>68607802.34</v>
      </c>
      <c r="C9" s="4">
        <f>IFERROR(__xludf.DUMMYFUNCTION("""COMPUTED_VALUE"""),2258312.0)</f>
        <v>2258312</v>
      </c>
      <c r="D9" s="4">
        <f>IFERROR(__xludf.DUMMYFUNCTION("""COMPUTED_VALUE"""),8.95042146532336E7)</f>
        <v>89504214.65</v>
      </c>
      <c r="E9" s="4">
        <f>IFERROR(__xludf.DUMMYFUNCTION("""COMPUTED_VALUE"""),326692.034)</f>
        <v>326692.034</v>
      </c>
      <c r="F9" s="4">
        <f>IFERROR(__xludf.DUMMYFUNCTION("""COMPUTED_VALUE"""),8.98309066872336E7)</f>
        <v>89830906.69</v>
      </c>
      <c r="G9" s="5">
        <f>IFERROR(__xludf.DUMMYFUNCTION("""COMPUTED_VALUE"""),726.0)</f>
        <v>726</v>
      </c>
    </row>
    <row r="10" ht="22.5" customHeight="1">
      <c r="A10" s="2" t="str">
        <f>IFERROR(__xludf.DUMMYFUNCTION("""COMPUTED_VALUE"""),"2026-09")</f>
        <v>2026-09</v>
      </c>
      <c r="B10" s="4">
        <f>IFERROR(__xludf.DUMMYFUNCTION("""COMPUTED_VALUE"""),6.926291917E7)</f>
        <v>69262919.17</v>
      </c>
      <c r="C10" s="4">
        <f>IFERROR(__xludf.DUMMYFUNCTION("""COMPUTED_VALUE"""),2173020.0)</f>
        <v>2173020</v>
      </c>
      <c r="D10" s="4">
        <f>IFERROR(__xludf.DUMMYFUNCTION("""COMPUTED_VALUE"""),9.02578877663848E7)</f>
        <v>90257887.77</v>
      </c>
      <c r="E10" s="4">
        <f>IFERROR(__xludf.DUMMYFUNCTION("""COMPUTED_VALUE"""),319289.6238333333)</f>
        <v>319289.6238</v>
      </c>
      <c r="F10" s="4">
        <f>IFERROR(__xludf.DUMMYFUNCTION("""COMPUTED_VALUE"""),9.057717739021812E7)</f>
        <v>90577177.39</v>
      </c>
      <c r="G10" s="5">
        <f>IFERROR(__xludf.DUMMYFUNCTION("""COMPUTED_VALUE"""),730.0)</f>
        <v>730</v>
      </c>
    </row>
    <row r="11" ht="22.5" customHeight="1">
      <c r="A11" s="2" t="str">
        <f>IFERROR(__xludf.DUMMYFUNCTION("""COMPUTED_VALUE"""),"2026-10")</f>
        <v>2026-10</v>
      </c>
      <c r="B11" s="4">
        <f>IFERROR(__xludf.DUMMYFUNCTION("""COMPUTED_VALUE"""),6.92895225E7)</f>
        <v>69289522.5</v>
      </c>
      <c r="C11" s="4">
        <f>IFERROR(__xludf.DUMMYFUNCTION("""COMPUTED_VALUE"""),2185258.0)</f>
        <v>2185258</v>
      </c>
      <c r="D11" s="4">
        <f>IFERROR(__xludf.DUMMYFUNCTION("""COMPUTED_VALUE"""),9.0309260863096E7)</f>
        <v>90309260.86</v>
      </c>
      <c r="E11" s="4">
        <f>IFERROR(__xludf.DUMMYFUNCTION("""COMPUTED_VALUE"""),312330.6025)</f>
        <v>312330.6025</v>
      </c>
      <c r="F11" s="4">
        <f>IFERROR(__xludf.DUMMYFUNCTION("""COMPUTED_VALUE"""),9.0621591465596E7)</f>
        <v>90621591.47</v>
      </c>
      <c r="G11" s="5">
        <f>IFERROR(__xludf.DUMMYFUNCTION("""COMPUTED_VALUE"""),731.0)</f>
        <v>731</v>
      </c>
    </row>
    <row r="12" ht="22.5" customHeight="1">
      <c r="A12" s="2" t="str">
        <f>IFERROR(__xludf.DUMMYFUNCTION("""COMPUTED_VALUE"""),"2026-11")</f>
        <v>2026-11</v>
      </c>
      <c r="B12" s="4">
        <f>IFERROR(__xludf.DUMMYFUNCTION("""COMPUTED_VALUE"""),6.970087301E7)</f>
        <v>69700873.01</v>
      </c>
      <c r="C12" s="4">
        <f>IFERROR(__xludf.DUMMYFUNCTION("""COMPUTED_VALUE"""),2363454.0)</f>
        <v>2363454</v>
      </c>
      <c r="D12" s="4">
        <f>IFERROR(__xludf.DUMMYFUNCTION("""COMPUTED_VALUE"""),9.10863520374632E7)</f>
        <v>91086352.04</v>
      </c>
      <c r="E12" s="4">
        <f>IFERROR(__xludf.DUMMYFUNCTION("""COMPUTED_VALUE"""),312227.42299999995)</f>
        <v>312227.423</v>
      </c>
      <c r="F12" s="4">
        <f>IFERROR(__xludf.DUMMYFUNCTION("""COMPUTED_VALUE"""),9.13985794604632E7)</f>
        <v>91398579.46</v>
      </c>
      <c r="G12" s="5">
        <f>IFERROR(__xludf.DUMMYFUNCTION("""COMPUTED_VALUE"""),742.0)</f>
        <v>742</v>
      </c>
    </row>
    <row r="13" ht="22.5" customHeight="1">
      <c r="A13" s="2" t="str">
        <f>IFERROR(__xludf.DUMMYFUNCTION("""COMPUTED_VALUE"""),"2026-12")</f>
        <v>2026-12</v>
      </c>
      <c r="B13" s="4">
        <f>IFERROR(__xludf.DUMMYFUNCTION("""COMPUTED_VALUE"""),6.911078525E7)</f>
        <v>69110785.25</v>
      </c>
      <c r="C13" s="4">
        <f>IFERROR(__xludf.DUMMYFUNCTION("""COMPUTED_VALUE"""),2463256.0)</f>
        <v>2463256</v>
      </c>
      <c r="D13" s="4">
        <f>IFERROR(__xludf.DUMMYFUNCTION("""COMPUTED_VALUE"""),9.044321372309521E7)</f>
        <v>90443213.72</v>
      </c>
      <c r="E13" s="4">
        <f>IFERROR(__xludf.DUMMYFUNCTION("""COMPUTED_VALUE"""),302289.44750000007)</f>
        <v>302289.4475</v>
      </c>
      <c r="F13" s="4">
        <f>IFERROR(__xludf.DUMMYFUNCTION("""COMPUTED_VALUE"""),9.07455031705952E7)</f>
        <v>90745503.17</v>
      </c>
      <c r="G13" s="5">
        <f>IFERROR(__xludf.DUMMYFUNCTION("""COMPUTED_VALUE"""),728.0)</f>
        <v>728</v>
      </c>
    </row>
    <row r="14" ht="22.5" customHeight="1">
      <c r="A14" s="6" t="s">
        <v>23</v>
      </c>
      <c r="B14" s="7">
        <f t="shared" ref="B14:G14" si="1">SUM(B2:B13)</f>
        <v>777068138.8</v>
      </c>
      <c r="C14" s="7">
        <f t="shared" si="1"/>
        <v>25366468</v>
      </c>
      <c r="D14" s="7">
        <f t="shared" si="1"/>
        <v>1014561829</v>
      </c>
      <c r="E14" s="7">
        <f t="shared" si="1"/>
        <v>4207853.271</v>
      </c>
      <c r="F14" s="8">
        <f t="shared" si="1"/>
        <v>1018769682</v>
      </c>
      <c r="G14" s="5">
        <f t="shared" si="1"/>
        <v>8379</v>
      </c>
    </row>
  </sheetData>
  <dataValidations>
    <dataValidation type="custom" allowBlank="1" showDropDown="1" sqref="B2:B1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0.25"/>
    <col customWidth="1" min="3" max="3" width="18.5"/>
    <col customWidth="1" min="4" max="4" width="11.13"/>
    <col customWidth="1" min="5" max="5" width="19.63"/>
    <col customWidth="1" min="6" max="6" width="17.63"/>
    <col customWidth="1" min="7" max="7" width="15.75"/>
    <col customWidth="1" min="8" max="8" width="15.5"/>
    <col customWidth="1" min="9" max="9" width="20.38"/>
    <col customWidth="1" min="10" max="10" width="15.0"/>
    <col customWidth="1" min="11" max="11" width="17.75"/>
  </cols>
  <sheetData>
    <row r="1" ht="22.5" customHeight="1">
      <c r="A1" s="3" t="s">
        <v>24</v>
      </c>
      <c r="B1" s="3" t="s">
        <v>0</v>
      </c>
      <c r="C1" s="3" t="s">
        <v>25</v>
      </c>
      <c r="D1" s="3" t="s">
        <v>8</v>
      </c>
      <c r="E1" s="3" t="s">
        <v>9</v>
      </c>
      <c r="F1" s="3" t="s">
        <v>18</v>
      </c>
      <c r="G1" s="3" t="s">
        <v>19</v>
      </c>
      <c r="H1" s="3" t="s">
        <v>26</v>
      </c>
      <c r="I1" s="3" t="s">
        <v>20</v>
      </c>
      <c r="J1" s="3" t="s">
        <v>21</v>
      </c>
      <c r="K1" s="3" t="s">
        <v>22</v>
      </c>
    </row>
    <row r="2" ht="22.5" customHeight="1">
      <c r="A2" s="2" t="str">
        <f>IFERROR(__xludf.DUMMYFUNCTION("IMPORTRANGE(""https://docs.google.com/spreadsheets/d/1cuUEDJt1Vm931IMxiPU4Nr4m2KtD68iuWoRbEMiJusk/edit?usp=sharing"",""COST_DETAIL!A2:Z10000"")"),"L1")</f>
        <v>L1</v>
      </c>
      <c r="B2" s="2" t="str">
        <f>IFERROR(__xludf.DUMMYFUNCTION("""COMPUTED_VALUE"""),"2026-01")</f>
        <v>2026-01</v>
      </c>
      <c r="C2" s="2" t="str">
        <f>IFERROR(__xludf.DUMMYFUNCTION("""COMPUTED_VALUE"""),"LSCBDSD0004")</f>
        <v>LSCBDSD0004</v>
      </c>
      <c r="D2" s="2">
        <f>IFERROR(__xludf.DUMMYFUNCTION("""COMPUTED_VALUE"""),0.0)</f>
        <v>0</v>
      </c>
      <c r="E2" s="2">
        <f>IFERROR(__xludf.DUMMYFUNCTION("""COMPUTED_VALUE"""),0.0)</f>
        <v>0</v>
      </c>
      <c r="F2" s="4">
        <f>IFERROR(__xludf.DUMMYFUNCTION("""COMPUTED_VALUE"""),0.0)</f>
        <v>0</v>
      </c>
      <c r="G2" s="4">
        <f>IFERROR(__xludf.DUMMYFUNCTION("""COMPUTED_VALUE"""),0.0)</f>
        <v>0</v>
      </c>
      <c r="H2" s="9">
        <f>IFERROR(__xludf.DUMMYFUNCTION("""COMPUTED_VALUE"""),1.32264)</f>
        <v>1.32264</v>
      </c>
      <c r="I2" s="4">
        <f>IFERROR(__xludf.DUMMYFUNCTION("""COMPUTED_VALUE"""),0.0)</f>
        <v>0</v>
      </c>
      <c r="J2" s="4">
        <f>IFERROR(__xludf.DUMMYFUNCTION("""COMPUTED_VALUE"""),134.93633333333332)</f>
        <v>134.9363333</v>
      </c>
      <c r="K2" s="4">
        <f>IFERROR(__xludf.DUMMYFUNCTION("""COMPUTED_VALUE"""),134.93633333333332)</f>
        <v>134.9363333</v>
      </c>
    </row>
    <row r="3" ht="22.5" customHeight="1">
      <c r="A3" s="2" t="str">
        <f>IFERROR(__xludf.DUMMYFUNCTION("""COMPUTED_VALUE"""),"L1")</f>
        <v>L1</v>
      </c>
      <c r="B3" s="2" t="str">
        <f>IFERROR(__xludf.DUMMYFUNCTION("""COMPUTED_VALUE"""),"2026-02")</f>
        <v>2026-02</v>
      </c>
      <c r="C3" s="2" t="str">
        <f>IFERROR(__xludf.DUMMYFUNCTION("""COMPUTED_VALUE"""),"LSCBDSD0004")</f>
        <v>LSCBDSD0004</v>
      </c>
      <c r="D3" s="2">
        <f>IFERROR(__xludf.DUMMYFUNCTION("""COMPUTED_VALUE"""),0.0)</f>
        <v>0</v>
      </c>
      <c r="E3" s="2">
        <f>IFERROR(__xludf.DUMMYFUNCTION("""COMPUTED_VALUE"""),0.0)</f>
        <v>0</v>
      </c>
      <c r="F3" s="4">
        <f>IFERROR(__xludf.DUMMYFUNCTION("""COMPUTED_VALUE"""),0.0)</f>
        <v>0</v>
      </c>
      <c r="G3" s="4">
        <f>IFERROR(__xludf.DUMMYFUNCTION("""COMPUTED_VALUE"""),0.0)</f>
        <v>0</v>
      </c>
      <c r="H3" s="9">
        <f>IFERROR(__xludf.DUMMYFUNCTION("""COMPUTED_VALUE"""),1.32264)</f>
        <v>1.32264</v>
      </c>
      <c r="I3" s="4">
        <f>IFERROR(__xludf.DUMMYFUNCTION("""COMPUTED_VALUE"""),0.0)</f>
        <v>0</v>
      </c>
      <c r="J3" s="4">
        <f>IFERROR(__xludf.DUMMYFUNCTION("""COMPUTED_VALUE"""),6072.134999999999)</f>
        <v>6072.135</v>
      </c>
      <c r="K3" s="4">
        <f>IFERROR(__xludf.DUMMYFUNCTION("""COMPUTED_VALUE"""),6072.134999999999)</f>
        <v>6072.135</v>
      </c>
    </row>
    <row r="4" ht="22.5" customHeight="1">
      <c r="A4" s="2" t="str">
        <f>IFERROR(__xludf.DUMMYFUNCTION("""COMPUTED_VALUE"""),"L1")</f>
        <v>L1</v>
      </c>
      <c r="B4" s="2" t="str">
        <f>IFERROR(__xludf.DUMMYFUNCTION("""COMPUTED_VALUE"""),"2026-03")</f>
        <v>2026-03</v>
      </c>
      <c r="C4" s="2" t="str">
        <f>IFERROR(__xludf.DUMMYFUNCTION("""COMPUTED_VALUE"""),"LSCBDSD0004")</f>
        <v>LSCBDSD0004</v>
      </c>
      <c r="D4" s="2">
        <f>IFERROR(__xludf.DUMMYFUNCTION("""COMPUTED_VALUE"""),660.0)</f>
        <v>660</v>
      </c>
      <c r="E4" s="2">
        <f>IFERROR(__xludf.DUMMYFUNCTION("""COMPUTED_VALUE"""),44.0)</f>
        <v>44</v>
      </c>
      <c r="F4" s="4">
        <f>IFERROR(__xludf.DUMMYFUNCTION("""COMPUTED_VALUE"""),2671739.4)</f>
        <v>2671739.4</v>
      </c>
      <c r="G4" s="4">
        <f>IFERROR(__xludf.DUMMYFUNCTION("""COMPUTED_VALUE"""),141680.0)</f>
        <v>141680</v>
      </c>
      <c r="H4" s="9">
        <f>IFERROR(__xludf.DUMMYFUNCTION("""COMPUTED_VALUE"""),1.32264)</f>
        <v>1.32264</v>
      </c>
      <c r="I4" s="4">
        <f>IFERROR(__xludf.DUMMYFUNCTION("""COMPUTED_VALUE"""),3721141.035216)</f>
        <v>3721141.035</v>
      </c>
      <c r="J4" s="4">
        <f>IFERROR(__xludf.DUMMYFUNCTION("""COMPUTED_VALUE"""),0.0)</f>
        <v>0</v>
      </c>
      <c r="K4" s="4">
        <f>IFERROR(__xludf.DUMMYFUNCTION("""COMPUTED_VALUE"""),3721141.035216)</f>
        <v>3721141.035</v>
      </c>
    </row>
    <row r="5" ht="22.5" customHeight="1">
      <c r="A5" s="2" t="str">
        <f>IFERROR(__xludf.DUMMYFUNCTION("""COMPUTED_VALUE"""),"L1")</f>
        <v>L1</v>
      </c>
      <c r="B5" s="2" t="str">
        <f>IFERROR(__xludf.DUMMYFUNCTION("""COMPUTED_VALUE"""),"2026-04")</f>
        <v>2026-04</v>
      </c>
      <c r="C5" s="2" t="str">
        <f>IFERROR(__xludf.DUMMYFUNCTION("""COMPUTED_VALUE"""),"LSCBDSD0004")</f>
        <v>LSCBDSD0004</v>
      </c>
      <c r="D5" s="2">
        <f>IFERROR(__xludf.DUMMYFUNCTION("""COMPUTED_VALUE"""),750.0)</f>
        <v>750</v>
      </c>
      <c r="E5" s="2">
        <f>IFERROR(__xludf.DUMMYFUNCTION("""COMPUTED_VALUE"""),50.0)</f>
        <v>50</v>
      </c>
      <c r="F5" s="4">
        <f>IFERROR(__xludf.DUMMYFUNCTION("""COMPUTED_VALUE"""),3036067.5)</f>
        <v>3036067.5</v>
      </c>
      <c r="G5" s="4">
        <f>IFERROR(__xludf.DUMMYFUNCTION("""COMPUTED_VALUE"""),166200.0)</f>
        <v>166200</v>
      </c>
      <c r="H5" s="9">
        <f>IFERROR(__xludf.DUMMYFUNCTION("""COMPUTED_VALUE"""),1.32264)</f>
        <v>1.32264</v>
      </c>
      <c r="I5" s="4">
        <f>IFERROR(__xludf.DUMMYFUNCTION("""COMPUTED_VALUE"""),4235447.0862)</f>
        <v>4235447.086</v>
      </c>
      <c r="J5" s="4">
        <f>IFERROR(__xludf.DUMMYFUNCTION("""COMPUTED_VALUE"""),0.0)</f>
        <v>0</v>
      </c>
      <c r="K5" s="4">
        <f>IFERROR(__xludf.DUMMYFUNCTION("""COMPUTED_VALUE"""),4235447.0862)</f>
        <v>4235447.086</v>
      </c>
    </row>
    <row r="6" ht="22.5" customHeight="1">
      <c r="A6" s="2" t="str">
        <f>IFERROR(__xludf.DUMMYFUNCTION("""COMPUTED_VALUE"""),"L1")</f>
        <v>L1</v>
      </c>
      <c r="B6" s="2" t="str">
        <f>IFERROR(__xludf.DUMMYFUNCTION("""COMPUTED_VALUE"""),"2026-05")</f>
        <v>2026-05</v>
      </c>
      <c r="C6" s="2" t="str">
        <f>IFERROR(__xludf.DUMMYFUNCTION("""COMPUTED_VALUE"""),"LSCBDSD0004")</f>
        <v>LSCBDSD0004</v>
      </c>
      <c r="D6" s="2">
        <f>IFERROR(__xludf.DUMMYFUNCTION("""COMPUTED_VALUE"""),750.0)</f>
        <v>750</v>
      </c>
      <c r="E6" s="2">
        <f>IFERROR(__xludf.DUMMYFUNCTION("""COMPUTED_VALUE"""),50.0)</f>
        <v>50</v>
      </c>
      <c r="F6" s="4">
        <f>IFERROR(__xludf.DUMMYFUNCTION("""COMPUTED_VALUE"""),3036067.5)</f>
        <v>3036067.5</v>
      </c>
      <c r="G6" s="4">
        <f>IFERROR(__xludf.DUMMYFUNCTION("""COMPUTED_VALUE"""),168400.0)</f>
        <v>168400</v>
      </c>
      <c r="H6" s="9">
        <f>IFERROR(__xludf.DUMMYFUNCTION("""COMPUTED_VALUE"""),1.32264)</f>
        <v>1.32264</v>
      </c>
      <c r="I6" s="4">
        <f>IFERROR(__xludf.DUMMYFUNCTION("""COMPUTED_VALUE"""),4238356.8942)</f>
        <v>4238356.894</v>
      </c>
      <c r="J6" s="4">
        <f>IFERROR(__xludf.DUMMYFUNCTION("""COMPUTED_VALUE"""),0.0)</f>
        <v>0</v>
      </c>
      <c r="K6" s="4">
        <f>IFERROR(__xludf.DUMMYFUNCTION("""COMPUTED_VALUE"""),4238356.8942)</f>
        <v>4238356.894</v>
      </c>
    </row>
    <row r="7" ht="22.5" customHeight="1">
      <c r="A7" s="2" t="str">
        <f>IFERROR(__xludf.DUMMYFUNCTION("""COMPUTED_VALUE"""),"L1")</f>
        <v>L1</v>
      </c>
      <c r="B7" s="2" t="str">
        <f>IFERROR(__xludf.DUMMYFUNCTION("""COMPUTED_VALUE"""),"2026-06")</f>
        <v>2026-06</v>
      </c>
      <c r="C7" s="2" t="str">
        <f>IFERROR(__xludf.DUMMYFUNCTION("""COMPUTED_VALUE"""),"LSCBDSD0004")</f>
        <v>LSCBDSD0004</v>
      </c>
      <c r="D7" s="2">
        <f>IFERROR(__xludf.DUMMYFUNCTION("""COMPUTED_VALUE"""),750.0)</f>
        <v>750</v>
      </c>
      <c r="E7" s="2">
        <f>IFERROR(__xludf.DUMMYFUNCTION("""COMPUTED_VALUE"""),50.0)</f>
        <v>50</v>
      </c>
      <c r="F7" s="4">
        <f>IFERROR(__xludf.DUMMYFUNCTION("""COMPUTED_VALUE"""),3036067.5)</f>
        <v>3036067.5</v>
      </c>
      <c r="G7" s="4">
        <f>IFERROR(__xludf.DUMMYFUNCTION("""COMPUTED_VALUE"""),172800.0)</f>
        <v>172800</v>
      </c>
      <c r="H7" s="9">
        <f>IFERROR(__xludf.DUMMYFUNCTION("""COMPUTED_VALUE"""),1.32264)</f>
        <v>1.32264</v>
      </c>
      <c r="I7" s="4">
        <f>IFERROR(__xludf.DUMMYFUNCTION("""COMPUTED_VALUE"""),4244176.5102)</f>
        <v>4244176.51</v>
      </c>
      <c r="J7" s="4">
        <f>IFERROR(__xludf.DUMMYFUNCTION("""COMPUTED_VALUE"""),0.0)</f>
        <v>0</v>
      </c>
      <c r="K7" s="4">
        <f>IFERROR(__xludf.DUMMYFUNCTION("""COMPUTED_VALUE"""),4244176.5102)</f>
        <v>4244176.51</v>
      </c>
    </row>
    <row r="8" ht="22.5" customHeight="1">
      <c r="A8" s="2" t="str">
        <f>IFERROR(__xludf.DUMMYFUNCTION("""COMPUTED_VALUE"""),"L1")</f>
        <v>L1</v>
      </c>
      <c r="B8" s="2" t="str">
        <f>IFERROR(__xludf.DUMMYFUNCTION("""COMPUTED_VALUE"""),"2026-07")</f>
        <v>2026-07</v>
      </c>
      <c r="C8" s="2" t="str">
        <f>IFERROR(__xludf.DUMMYFUNCTION("""COMPUTED_VALUE"""),"LSCBDSD0004")</f>
        <v>LSCBDSD0004</v>
      </c>
      <c r="D8" s="2">
        <f>IFERROR(__xludf.DUMMYFUNCTION("""COMPUTED_VALUE"""),750.0)</f>
        <v>750</v>
      </c>
      <c r="E8" s="2">
        <f>IFERROR(__xludf.DUMMYFUNCTION("""COMPUTED_VALUE"""),50.0)</f>
        <v>50</v>
      </c>
      <c r="F8" s="4">
        <f>IFERROR(__xludf.DUMMYFUNCTION("""COMPUTED_VALUE"""),3036067.5)</f>
        <v>3036067.5</v>
      </c>
      <c r="G8" s="4">
        <f>IFERROR(__xludf.DUMMYFUNCTION("""COMPUTED_VALUE"""),177500.0)</f>
        <v>177500</v>
      </c>
      <c r="H8" s="9">
        <f>IFERROR(__xludf.DUMMYFUNCTION("""COMPUTED_VALUE"""),1.32264)</f>
        <v>1.32264</v>
      </c>
      <c r="I8" s="4">
        <f>IFERROR(__xludf.DUMMYFUNCTION("""COMPUTED_VALUE"""),4250392.9182)</f>
        <v>4250392.918</v>
      </c>
      <c r="J8" s="4">
        <f>IFERROR(__xludf.DUMMYFUNCTION("""COMPUTED_VALUE"""),0.0)</f>
        <v>0</v>
      </c>
      <c r="K8" s="4">
        <f>IFERROR(__xludf.DUMMYFUNCTION("""COMPUTED_VALUE"""),4250392.9182)</f>
        <v>4250392.918</v>
      </c>
    </row>
    <row r="9" ht="22.5" customHeight="1">
      <c r="A9" s="2" t="str">
        <f>IFERROR(__xludf.DUMMYFUNCTION("""COMPUTED_VALUE"""),"L1")</f>
        <v>L1</v>
      </c>
      <c r="B9" s="2" t="str">
        <f>IFERROR(__xludf.DUMMYFUNCTION("""COMPUTED_VALUE"""),"2026-08")</f>
        <v>2026-08</v>
      </c>
      <c r="C9" s="2" t="str">
        <f>IFERROR(__xludf.DUMMYFUNCTION("""COMPUTED_VALUE"""),"LSCBDSD0004")</f>
        <v>LSCBDSD0004</v>
      </c>
      <c r="D9" s="2">
        <f>IFERROR(__xludf.DUMMYFUNCTION("""COMPUTED_VALUE"""),750.0)</f>
        <v>750</v>
      </c>
      <c r="E9" s="2">
        <f>IFERROR(__xludf.DUMMYFUNCTION("""COMPUTED_VALUE"""),50.0)</f>
        <v>50</v>
      </c>
      <c r="F9" s="4">
        <f>IFERROR(__xludf.DUMMYFUNCTION("""COMPUTED_VALUE"""),3036067.5)</f>
        <v>3036067.5</v>
      </c>
      <c r="G9" s="4">
        <f>IFERROR(__xludf.DUMMYFUNCTION("""COMPUTED_VALUE"""),178100.0)</f>
        <v>178100</v>
      </c>
      <c r="H9" s="9">
        <f>IFERROR(__xludf.DUMMYFUNCTION("""COMPUTED_VALUE"""),1.32264)</f>
        <v>1.32264</v>
      </c>
      <c r="I9" s="4">
        <f>IFERROR(__xludf.DUMMYFUNCTION("""COMPUTED_VALUE"""),4251186.5022)</f>
        <v>4251186.502</v>
      </c>
      <c r="J9" s="4">
        <f>IFERROR(__xludf.DUMMYFUNCTION("""COMPUTED_VALUE"""),0.0)</f>
        <v>0</v>
      </c>
      <c r="K9" s="4">
        <f>IFERROR(__xludf.DUMMYFUNCTION("""COMPUTED_VALUE"""),4251186.5022)</f>
        <v>4251186.502</v>
      </c>
    </row>
    <row r="10" ht="22.5" customHeight="1">
      <c r="A10" s="2" t="str">
        <f>IFERROR(__xludf.DUMMYFUNCTION("""COMPUTED_VALUE"""),"L1")</f>
        <v>L1</v>
      </c>
      <c r="B10" s="2" t="str">
        <f>IFERROR(__xludf.DUMMYFUNCTION("""COMPUTED_VALUE"""),"2026-09")</f>
        <v>2026-09</v>
      </c>
      <c r="C10" s="2" t="str">
        <f>IFERROR(__xludf.DUMMYFUNCTION("""COMPUTED_VALUE"""),"LSCBDSD0004")</f>
        <v>LSCBDSD0004</v>
      </c>
      <c r="D10" s="2">
        <f>IFERROR(__xludf.DUMMYFUNCTION("""COMPUTED_VALUE"""),750.0)</f>
        <v>750</v>
      </c>
      <c r="E10" s="2">
        <f>IFERROR(__xludf.DUMMYFUNCTION("""COMPUTED_VALUE"""),50.0)</f>
        <v>50</v>
      </c>
      <c r="F10" s="4">
        <f>IFERROR(__xludf.DUMMYFUNCTION("""COMPUTED_VALUE"""),3036067.5)</f>
        <v>3036067.5</v>
      </c>
      <c r="G10" s="4">
        <f>IFERROR(__xludf.DUMMYFUNCTION("""COMPUTED_VALUE"""),170200.0)</f>
        <v>170200</v>
      </c>
      <c r="H10" s="9">
        <f>IFERROR(__xludf.DUMMYFUNCTION("""COMPUTED_VALUE"""),1.32264)</f>
        <v>1.32264</v>
      </c>
      <c r="I10" s="4">
        <f>IFERROR(__xludf.DUMMYFUNCTION("""COMPUTED_VALUE"""),4240737.6462)</f>
        <v>4240737.646</v>
      </c>
      <c r="J10" s="4">
        <f>IFERROR(__xludf.DUMMYFUNCTION("""COMPUTED_VALUE"""),0.0)</f>
        <v>0</v>
      </c>
      <c r="K10" s="4">
        <f>IFERROR(__xludf.DUMMYFUNCTION("""COMPUTED_VALUE"""),4240737.6462)</f>
        <v>4240737.646</v>
      </c>
    </row>
    <row r="11" ht="22.5" customHeight="1">
      <c r="A11" s="2" t="str">
        <f>IFERROR(__xludf.DUMMYFUNCTION("""COMPUTED_VALUE"""),"L1")</f>
        <v>L1</v>
      </c>
      <c r="B11" s="2" t="str">
        <f>IFERROR(__xludf.DUMMYFUNCTION("""COMPUTED_VALUE"""),"2026-10")</f>
        <v>2026-10</v>
      </c>
      <c r="C11" s="2" t="str">
        <f>IFERROR(__xludf.DUMMYFUNCTION("""COMPUTED_VALUE"""),"LSCBDSD0004")</f>
        <v>LSCBDSD0004</v>
      </c>
      <c r="D11" s="2">
        <f>IFERROR(__xludf.DUMMYFUNCTION("""COMPUTED_VALUE"""),750.0)</f>
        <v>750</v>
      </c>
      <c r="E11" s="2">
        <f>IFERROR(__xludf.DUMMYFUNCTION("""COMPUTED_VALUE"""),50.0)</f>
        <v>50</v>
      </c>
      <c r="F11" s="4">
        <f>IFERROR(__xludf.DUMMYFUNCTION("""COMPUTED_VALUE"""),3036067.5)</f>
        <v>3036067.5</v>
      </c>
      <c r="G11" s="4">
        <f>IFERROR(__xludf.DUMMYFUNCTION("""COMPUTED_VALUE"""),170900.0)</f>
        <v>170900</v>
      </c>
      <c r="H11" s="9">
        <f>IFERROR(__xludf.DUMMYFUNCTION("""COMPUTED_VALUE"""),1.32264)</f>
        <v>1.32264</v>
      </c>
      <c r="I11" s="4">
        <f>IFERROR(__xludf.DUMMYFUNCTION("""COMPUTED_VALUE"""),4241663.494200001)</f>
        <v>4241663.494</v>
      </c>
      <c r="J11" s="4">
        <f>IFERROR(__xludf.DUMMYFUNCTION("""COMPUTED_VALUE"""),0.0)</f>
        <v>0</v>
      </c>
      <c r="K11" s="4">
        <f>IFERROR(__xludf.DUMMYFUNCTION("""COMPUTED_VALUE"""),4241663.494200001)</f>
        <v>4241663.494</v>
      </c>
    </row>
    <row r="12" ht="22.5" customHeight="1">
      <c r="A12" s="2" t="str">
        <f>IFERROR(__xludf.DUMMYFUNCTION("""COMPUTED_VALUE"""),"L1")</f>
        <v>L1</v>
      </c>
      <c r="B12" s="2" t="str">
        <f>IFERROR(__xludf.DUMMYFUNCTION("""COMPUTED_VALUE"""),"2026-11")</f>
        <v>2026-11</v>
      </c>
      <c r="C12" s="2" t="str">
        <f>IFERROR(__xludf.DUMMYFUNCTION("""COMPUTED_VALUE"""),"LSCBDSD0004")</f>
        <v>LSCBDSD0004</v>
      </c>
      <c r="D12" s="2">
        <f>IFERROR(__xludf.DUMMYFUNCTION("""COMPUTED_VALUE"""),750.0)</f>
        <v>750</v>
      </c>
      <c r="E12" s="2">
        <f>IFERROR(__xludf.DUMMYFUNCTION("""COMPUTED_VALUE"""),50.0)</f>
        <v>50</v>
      </c>
      <c r="F12" s="4">
        <f>IFERROR(__xludf.DUMMYFUNCTION("""COMPUTED_VALUE"""),3036067.5)</f>
        <v>3036067.5</v>
      </c>
      <c r="G12" s="4">
        <f>IFERROR(__xludf.DUMMYFUNCTION("""COMPUTED_VALUE"""),181850.0)</f>
        <v>181850</v>
      </c>
      <c r="H12" s="9">
        <f>IFERROR(__xludf.DUMMYFUNCTION("""COMPUTED_VALUE"""),1.32264)</f>
        <v>1.32264</v>
      </c>
      <c r="I12" s="4">
        <f>IFERROR(__xludf.DUMMYFUNCTION("""COMPUTED_VALUE"""),4256146.4022)</f>
        <v>4256146.402</v>
      </c>
      <c r="J12" s="4">
        <f>IFERROR(__xludf.DUMMYFUNCTION("""COMPUTED_VALUE"""),0.0)</f>
        <v>0</v>
      </c>
      <c r="K12" s="4">
        <f>IFERROR(__xludf.DUMMYFUNCTION("""COMPUTED_VALUE"""),4256146.4022)</f>
        <v>4256146.402</v>
      </c>
    </row>
    <row r="13" ht="22.5" customHeight="1">
      <c r="A13" s="2" t="str">
        <f>IFERROR(__xludf.DUMMYFUNCTION("""COMPUTED_VALUE"""),"L1")</f>
        <v>L1</v>
      </c>
      <c r="B13" s="2" t="str">
        <f>IFERROR(__xludf.DUMMYFUNCTION("""COMPUTED_VALUE"""),"2026-12")</f>
        <v>2026-12</v>
      </c>
      <c r="C13" s="2" t="str">
        <f>IFERROR(__xludf.DUMMYFUNCTION("""COMPUTED_VALUE"""),"LSCBDSD0004")</f>
        <v>LSCBDSD0004</v>
      </c>
      <c r="D13" s="2">
        <f>IFERROR(__xludf.DUMMYFUNCTION("""COMPUTED_VALUE"""),750.0)</f>
        <v>750</v>
      </c>
      <c r="E13" s="2">
        <f>IFERROR(__xludf.DUMMYFUNCTION("""COMPUTED_VALUE"""),50.0)</f>
        <v>50</v>
      </c>
      <c r="F13" s="4">
        <f>IFERROR(__xludf.DUMMYFUNCTION("""COMPUTED_VALUE"""),3036067.5)</f>
        <v>3036067.5</v>
      </c>
      <c r="G13" s="4">
        <f>IFERROR(__xludf.DUMMYFUNCTION("""COMPUTED_VALUE"""),193850.0)</f>
        <v>193850</v>
      </c>
      <c r="H13" s="9">
        <f>IFERROR(__xludf.DUMMYFUNCTION("""COMPUTED_VALUE"""),1.32264)</f>
        <v>1.32264</v>
      </c>
      <c r="I13" s="4">
        <f>IFERROR(__xludf.DUMMYFUNCTION("""COMPUTED_VALUE"""),4272018.0822)</f>
        <v>4272018.082</v>
      </c>
      <c r="J13" s="4">
        <f>IFERROR(__xludf.DUMMYFUNCTION("""COMPUTED_VALUE"""),6.159525976538E-11)</f>
        <v>0</v>
      </c>
      <c r="K13" s="4">
        <f>IFERROR(__xludf.DUMMYFUNCTION("""COMPUTED_VALUE"""),4272018.0822)</f>
        <v>4272018.082</v>
      </c>
    </row>
    <row r="14" ht="22.5" customHeight="1">
      <c r="A14" s="2" t="str">
        <f>IFERROR(__xludf.DUMMYFUNCTION("""COMPUTED_VALUE"""),"L1")</f>
        <v>L1</v>
      </c>
      <c r="B14" s="2" t="str">
        <f>IFERROR(__xludf.DUMMYFUNCTION("""COMPUTED_VALUE"""),"2026-01")</f>
        <v>2026-01</v>
      </c>
      <c r="C14" s="2" t="str">
        <f>IFERROR(__xludf.DUMMYFUNCTION("""COMPUTED_VALUE"""),"LSCBDSD0004-LX")</f>
        <v>LSCBDSD0004-LX</v>
      </c>
      <c r="D14" s="2">
        <f>IFERROR(__xludf.DUMMYFUNCTION("""COMPUTED_VALUE"""),316.0)</f>
        <v>316</v>
      </c>
      <c r="E14" s="2">
        <f>IFERROR(__xludf.DUMMYFUNCTION("""COMPUTED_VALUE"""),32.0)</f>
        <v>32</v>
      </c>
      <c r="F14" s="4">
        <f>IFERROR(__xludf.DUMMYFUNCTION("""COMPUTED_VALUE"""),3484051.6799999997)</f>
        <v>3484051.68</v>
      </c>
      <c r="G14" s="4">
        <f>IFERROR(__xludf.DUMMYFUNCTION("""COMPUTED_VALUE"""),101504.0)</f>
        <v>101504</v>
      </c>
      <c r="H14" s="9">
        <f>IFERROR(__xludf.DUMMYFUNCTION("""COMPUTED_VALUE"""),1.32264)</f>
        <v>1.32264</v>
      </c>
      <c r="I14" s="4">
        <f>IFERROR(__xludf.DUMMYFUNCTION("""COMPUTED_VALUE"""),4742399.3645952)</f>
        <v>4742399.365</v>
      </c>
      <c r="J14" s="4">
        <f>IFERROR(__xludf.DUMMYFUNCTION("""COMPUTED_VALUE"""),735.0319999999999)</f>
        <v>735.032</v>
      </c>
      <c r="K14" s="4">
        <f>IFERROR(__xludf.DUMMYFUNCTION("""COMPUTED_VALUE"""),4743134.3965952)</f>
        <v>4743134.397</v>
      </c>
    </row>
    <row r="15" ht="22.5" customHeight="1">
      <c r="A15" s="2" t="str">
        <f>IFERROR(__xludf.DUMMYFUNCTION("""COMPUTED_VALUE"""),"L1")</f>
        <v>L1</v>
      </c>
      <c r="B15" s="2" t="str">
        <f>IFERROR(__xludf.DUMMYFUNCTION("""COMPUTED_VALUE"""),"2026-02")</f>
        <v>2026-02</v>
      </c>
      <c r="C15" s="2" t="str">
        <f>IFERROR(__xludf.DUMMYFUNCTION("""COMPUTED_VALUE"""),"LSCBDSD0004-LX")</f>
        <v>LSCBDSD0004-LX</v>
      </c>
      <c r="D15" s="2">
        <f>IFERROR(__xludf.DUMMYFUNCTION("""COMPUTED_VALUE"""),451.0)</f>
        <v>451</v>
      </c>
      <c r="E15" s="2">
        <f>IFERROR(__xludf.DUMMYFUNCTION("""COMPUTED_VALUE"""),46.0)</f>
        <v>46</v>
      </c>
      <c r="F15" s="4">
        <f>IFERROR(__xludf.DUMMYFUNCTION("""COMPUTED_VALUE"""),4972491.4799999995)</f>
        <v>4972491.48</v>
      </c>
      <c r="G15" s="4">
        <f>IFERROR(__xludf.DUMMYFUNCTION("""COMPUTED_VALUE"""),148534.0)</f>
        <v>148534</v>
      </c>
      <c r="H15" s="9">
        <f>IFERROR(__xludf.DUMMYFUNCTION("""COMPUTED_VALUE"""),1.32264)</f>
        <v>1.32264</v>
      </c>
      <c r="I15" s="4">
        <f>IFERROR(__xludf.DUMMYFUNCTION("""COMPUTED_VALUE"""),6773273.1408672)</f>
        <v>6773273.141</v>
      </c>
      <c r="J15" s="4">
        <f>IFERROR(__xludf.DUMMYFUNCTION("""COMPUTED_VALUE"""),183.75799999999998)</f>
        <v>183.758</v>
      </c>
      <c r="K15" s="4">
        <f>IFERROR(__xludf.DUMMYFUNCTION("""COMPUTED_VALUE"""),6773456.8988672)</f>
        <v>6773456.899</v>
      </c>
    </row>
    <row r="16" ht="22.5" customHeight="1">
      <c r="A16" s="2" t="str">
        <f>IFERROR(__xludf.DUMMYFUNCTION("""COMPUTED_VALUE"""),"L1")</f>
        <v>L1</v>
      </c>
      <c r="B16" s="2" t="str">
        <f>IFERROR(__xludf.DUMMYFUNCTION("""COMPUTED_VALUE"""),"2026-03")</f>
        <v>2026-03</v>
      </c>
      <c r="C16" s="2" t="str">
        <f>IFERROR(__xludf.DUMMYFUNCTION("""COMPUTED_VALUE"""),"LSCBDSD0004-LX")</f>
        <v>LSCBDSD0004-LX</v>
      </c>
      <c r="D16" s="2">
        <f>IFERROR(__xludf.DUMMYFUNCTION("""COMPUTED_VALUE"""),500.0)</f>
        <v>500</v>
      </c>
      <c r="E16" s="2">
        <f>IFERROR(__xludf.DUMMYFUNCTION("""COMPUTED_VALUE"""),50.0)</f>
        <v>50</v>
      </c>
      <c r="F16" s="4">
        <f>IFERROR(__xludf.DUMMYFUNCTION("""COMPUTED_VALUE"""),5512740.0)</f>
        <v>5512740</v>
      </c>
      <c r="G16" s="4">
        <f>IFERROR(__xludf.DUMMYFUNCTION("""COMPUTED_VALUE"""),161000.0)</f>
        <v>161000</v>
      </c>
      <c r="H16" s="9">
        <f>IFERROR(__xludf.DUMMYFUNCTION("""COMPUTED_VALUE"""),1.32264)</f>
        <v>1.32264</v>
      </c>
      <c r="I16" s="4">
        <f>IFERROR(__xludf.DUMMYFUNCTION("""COMPUTED_VALUE"""),7504315.4736)</f>
        <v>7504315.474</v>
      </c>
      <c r="J16" s="4">
        <f>IFERROR(__xludf.DUMMYFUNCTION("""COMPUTED_VALUE"""),367.51599999999996)</f>
        <v>367.516</v>
      </c>
      <c r="K16" s="4">
        <f>IFERROR(__xludf.DUMMYFUNCTION("""COMPUTED_VALUE"""),7504682.9896)</f>
        <v>7504682.99</v>
      </c>
    </row>
    <row r="17" ht="22.5" customHeight="1">
      <c r="A17" s="2" t="str">
        <f>IFERROR(__xludf.DUMMYFUNCTION("""COMPUTED_VALUE"""),"L1")</f>
        <v>L1</v>
      </c>
      <c r="B17" s="2" t="str">
        <f>IFERROR(__xludf.DUMMYFUNCTION("""COMPUTED_VALUE"""),"2026-04")</f>
        <v>2026-04</v>
      </c>
      <c r="C17" s="2" t="str">
        <f>IFERROR(__xludf.DUMMYFUNCTION("""COMPUTED_VALUE"""),"LSCBDSD0004-LX")</f>
        <v>LSCBDSD0004-LX</v>
      </c>
      <c r="D17" s="2">
        <f>IFERROR(__xludf.DUMMYFUNCTION("""COMPUTED_VALUE"""),498.0)</f>
        <v>498</v>
      </c>
      <c r="E17" s="2">
        <f>IFERROR(__xludf.DUMMYFUNCTION("""COMPUTED_VALUE"""),50.0)</f>
        <v>50</v>
      </c>
      <c r="F17" s="4">
        <f>IFERROR(__xludf.DUMMYFUNCTION("""COMPUTED_VALUE"""),5490689.04)</f>
        <v>5490689.04</v>
      </c>
      <c r="G17" s="4">
        <f>IFERROR(__xludf.DUMMYFUNCTION("""COMPUTED_VALUE"""),166200.0)</f>
        <v>166200</v>
      </c>
      <c r="H17" s="9">
        <f>IFERROR(__xludf.DUMMYFUNCTION("""COMPUTED_VALUE"""),1.32264)</f>
        <v>1.32264</v>
      </c>
      <c r="I17" s="4">
        <f>IFERROR(__xludf.DUMMYFUNCTION("""COMPUTED_VALUE"""),7482027.719865601)</f>
        <v>7482027.72</v>
      </c>
      <c r="J17" s="4">
        <f>IFERROR(__xludf.DUMMYFUNCTION("""COMPUTED_VALUE"""),183.75799999999998)</f>
        <v>183.758</v>
      </c>
      <c r="K17" s="4">
        <f>IFERROR(__xludf.DUMMYFUNCTION("""COMPUTED_VALUE"""),7482211.477865601)</f>
        <v>7482211.478</v>
      </c>
    </row>
    <row r="18" ht="22.5" customHeight="1">
      <c r="A18" s="2" t="str">
        <f>IFERROR(__xludf.DUMMYFUNCTION("""COMPUTED_VALUE"""),"L1")</f>
        <v>L1</v>
      </c>
      <c r="B18" s="2" t="str">
        <f>IFERROR(__xludf.DUMMYFUNCTION("""COMPUTED_VALUE"""),"2026-05")</f>
        <v>2026-05</v>
      </c>
      <c r="C18" s="2" t="str">
        <f>IFERROR(__xludf.DUMMYFUNCTION("""COMPUTED_VALUE"""),"LSCBDSD0004-LX")</f>
        <v>LSCBDSD0004-LX</v>
      </c>
      <c r="D18" s="2">
        <f>IFERROR(__xludf.DUMMYFUNCTION("""COMPUTED_VALUE"""),498.0)</f>
        <v>498</v>
      </c>
      <c r="E18" s="2">
        <f>IFERROR(__xludf.DUMMYFUNCTION("""COMPUTED_VALUE"""),50.0)</f>
        <v>50</v>
      </c>
      <c r="F18" s="4">
        <f>IFERROR(__xludf.DUMMYFUNCTION("""COMPUTED_VALUE"""),5490689.04)</f>
        <v>5490689.04</v>
      </c>
      <c r="G18" s="4">
        <f>IFERROR(__xludf.DUMMYFUNCTION("""COMPUTED_VALUE"""),168400.0)</f>
        <v>168400</v>
      </c>
      <c r="H18" s="9">
        <f>IFERROR(__xludf.DUMMYFUNCTION("""COMPUTED_VALUE"""),1.32264)</f>
        <v>1.32264</v>
      </c>
      <c r="I18" s="4">
        <f>IFERROR(__xludf.DUMMYFUNCTION("""COMPUTED_VALUE"""),7484937.5278656)</f>
        <v>7484937.528</v>
      </c>
      <c r="J18" s="4">
        <f>IFERROR(__xludf.DUMMYFUNCTION("""COMPUTED_VALUE"""),0.0)</f>
        <v>0</v>
      </c>
      <c r="K18" s="4">
        <f>IFERROR(__xludf.DUMMYFUNCTION("""COMPUTED_VALUE"""),7484937.5278656)</f>
        <v>7484937.528</v>
      </c>
    </row>
    <row r="19" ht="22.5" customHeight="1">
      <c r="A19" s="2" t="str">
        <f>IFERROR(__xludf.DUMMYFUNCTION("""COMPUTED_VALUE"""),"L1")</f>
        <v>L1</v>
      </c>
      <c r="B19" s="2" t="str">
        <f>IFERROR(__xludf.DUMMYFUNCTION("""COMPUTED_VALUE"""),"2026-06")</f>
        <v>2026-06</v>
      </c>
      <c r="C19" s="2" t="str">
        <f>IFERROR(__xludf.DUMMYFUNCTION("""COMPUTED_VALUE"""),"LSCBDSD0004-LX")</f>
        <v>LSCBDSD0004-LX</v>
      </c>
      <c r="D19" s="2">
        <f>IFERROR(__xludf.DUMMYFUNCTION("""COMPUTED_VALUE"""),499.0)</f>
        <v>499</v>
      </c>
      <c r="E19" s="2">
        <f>IFERROR(__xludf.DUMMYFUNCTION("""COMPUTED_VALUE"""),50.0)</f>
        <v>50</v>
      </c>
      <c r="F19" s="4">
        <f>IFERROR(__xludf.DUMMYFUNCTION("""COMPUTED_VALUE"""),5501714.52)</f>
        <v>5501714.52</v>
      </c>
      <c r="G19" s="4">
        <f>IFERROR(__xludf.DUMMYFUNCTION("""COMPUTED_VALUE"""),172800.0)</f>
        <v>172800</v>
      </c>
      <c r="H19" s="9">
        <f>IFERROR(__xludf.DUMMYFUNCTION("""COMPUTED_VALUE"""),1.32264)</f>
        <v>1.32264</v>
      </c>
      <c r="I19" s="4">
        <f>IFERROR(__xludf.DUMMYFUNCTION("""COMPUTED_VALUE"""),7505339.8847328)</f>
        <v>7505339.885</v>
      </c>
      <c r="J19" s="4">
        <f>IFERROR(__xludf.DUMMYFUNCTION("""COMPUTED_VALUE"""),0.0)</f>
        <v>0</v>
      </c>
      <c r="K19" s="4">
        <f>IFERROR(__xludf.DUMMYFUNCTION("""COMPUTED_VALUE"""),7505339.8847328)</f>
        <v>7505339.885</v>
      </c>
    </row>
    <row r="20" ht="22.5" customHeight="1">
      <c r="A20" s="2" t="str">
        <f>IFERROR(__xludf.DUMMYFUNCTION("""COMPUTED_VALUE"""),"L1")</f>
        <v>L1</v>
      </c>
      <c r="B20" s="2" t="str">
        <f>IFERROR(__xludf.DUMMYFUNCTION("""COMPUTED_VALUE"""),"2026-07")</f>
        <v>2026-07</v>
      </c>
      <c r="C20" s="2" t="str">
        <f>IFERROR(__xludf.DUMMYFUNCTION("""COMPUTED_VALUE"""),"LSCBDSD0004-LX")</f>
        <v>LSCBDSD0004-LX</v>
      </c>
      <c r="D20" s="2">
        <f>IFERROR(__xludf.DUMMYFUNCTION("""COMPUTED_VALUE"""),499.0)</f>
        <v>499</v>
      </c>
      <c r="E20" s="2">
        <f>IFERROR(__xludf.DUMMYFUNCTION("""COMPUTED_VALUE"""),50.0)</f>
        <v>50</v>
      </c>
      <c r="F20" s="4">
        <f>IFERROR(__xludf.DUMMYFUNCTION("""COMPUTED_VALUE"""),5501714.52)</f>
        <v>5501714.52</v>
      </c>
      <c r="G20" s="4">
        <f>IFERROR(__xludf.DUMMYFUNCTION("""COMPUTED_VALUE"""),177500.0)</f>
        <v>177500</v>
      </c>
      <c r="H20" s="9">
        <f>IFERROR(__xludf.DUMMYFUNCTION("""COMPUTED_VALUE"""),1.32264)</f>
        <v>1.32264</v>
      </c>
      <c r="I20" s="4">
        <f>IFERROR(__xludf.DUMMYFUNCTION("""COMPUTED_VALUE"""),7511556.292732799)</f>
        <v>7511556.293</v>
      </c>
      <c r="J20" s="4">
        <f>IFERROR(__xludf.DUMMYFUNCTION("""COMPUTED_VALUE"""),0.0)</f>
        <v>0</v>
      </c>
      <c r="K20" s="4">
        <f>IFERROR(__xludf.DUMMYFUNCTION("""COMPUTED_VALUE"""),7511556.292732799)</f>
        <v>7511556.293</v>
      </c>
    </row>
    <row r="21" ht="22.5" customHeight="1">
      <c r="A21" s="2" t="str">
        <f>IFERROR(__xludf.DUMMYFUNCTION("""COMPUTED_VALUE"""),"L1")</f>
        <v>L1</v>
      </c>
      <c r="B21" s="2" t="str">
        <f>IFERROR(__xludf.DUMMYFUNCTION("""COMPUTED_VALUE"""),"2026-08")</f>
        <v>2026-08</v>
      </c>
      <c r="C21" s="2" t="str">
        <f>IFERROR(__xludf.DUMMYFUNCTION("""COMPUTED_VALUE"""),"LSCBDSD0004-LX")</f>
        <v>LSCBDSD0004-LX</v>
      </c>
      <c r="D21" s="2">
        <f>IFERROR(__xludf.DUMMYFUNCTION("""COMPUTED_VALUE"""),499.0)</f>
        <v>499</v>
      </c>
      <c r="E21" s="2">
        <f>IFERROR(__xludf.DUMMYFUNCTION("""COMPUTED_VALUE"""),50.0)</f>
        <v>50</v>
      </c>
      <c r="F21" s="4">
        <f>IFERROR(__xludf.DUMMYFUNCTION("""COMPUTED_VALUE"""),5501714.52)</f>
        <v>5501714.52</v>
      </c>
      <c r="G21" s="4">
        <f>IFERROR(__xludf.DUMMYFUNCTION("""COMPUTED_VALUE"""),178100.0)</f>
        <v>178100</v>
      </c>
      <c r="H21" s="9">
        <f>IFERROR(__xludf.DUMMYFUNCTION("""COMPUTED_VALUE"""),1.32264)</f>
        <v>1.32264</v>
      </c>
      <c r="I21" s="4">
        <f>IFERROR(__xludf.DUMMYFUNCTION("""COMPUTED_VALUE"""),7512349.876732799)</f>
        <v>7512349.877</v>
      </c>
      <c r="J21" s="4">
        <f>IFERROR(__xludf.DUMMYFUNCTION("""COMPUTED_VALUE"""),0.0)</f>
        <v>0</v>
      </c>
      <c r="K21" s="4">
        <f>IFERROR(__xludf.DUMMYFUNCTION("""COMPUTED_VALUE"""),7512349.876732799)</f>
        <v>7512349.877</v>
      </c>
    </row>
    <row r="22" ht="22.5" customHeight="1">
      <c r="A22" s="2" t="str">
        <f>IFERROR(__xludf.DUMMYFUNCTION("""COMPUTED_VALUE"""),"L1")</f>
        <v>L1</v>
      </c>
      <c r="B22" s="2" t="str">
        <f>IFERROR(__xludf.DUMMYFUNCTION("""COMPUTED_VALUE"""),"2026-09")</f>
        <v>2026-09</v>
      </c>
      <c r="C22" s="2" t="str">
        <f>IFERROR(__xludf.DUMMYFUNCTION("""COMPUTED_VALUE"""),"LSCBDSD0004-LX")</f>
        <v>LSCBDSD0004-LX</v>
      </c>
      <c r="D22" s="2">
        <f>IFERROR(__xludf.DUMMYFUNCTION("""COMPUTED_VALUE"""),499.0)</f>
        <v>499</v>
      </c>
      <c r="E22" s="2">
        <f>IFERROR(__xludf.DUMMYFUNCTION("""COMPUTED_VALUE"""),50.0)</f>
        <v>50</v>
      </c>
      <c r="F22" s="4">
        <f>IFERROR(__xludf.DUMMYFUNCTION("""COMPUTED_VALUE"""),5501714.52)</f>
        <v>5501714.52</v>
      </c>
      <c r="G22" s="4">
        <f>IFERROR(__xludf.DUMMYFUNCTION("""COMPUTED_VALUE"""),170200.0)</f>
        <v>170200</v>
      </c>
      <c r="H22" s="9">
        <f>IFERROR(__xludf.DUMMYFUNCTION("""COMPUTED_VALUE"""),1.32264)</f>
        <v>1.32264</v>
      </c>
      <c r="I22" s="4">
        <f>IFERROR(__xludf.DUMMYFUNCTION("""COMPUTED_VALUE"""),7501901.0207328)</f>
        <v>7501901.021</v>
      </c>
      <c r="J22" s="4">
        <f>IFERROR(__xludf.DUMMYFUNCTION("""COMPUTED_VALUE"""),0.0)</f>
        <v>0</v>
      </c>
      <c r="K22" s="4">
        <f>IFERROR(__xludf.DUMMYFUNCTION("""COMPUTED_VALUE"""),7501901.0207328)</f>
        <v>7501901.021</v>
      </c>
    </row>
    <row r="23" ht="22.5" customHeight="1">
      <c r="A23" s="2" t="str">
        <f>IFERROR(__xludf.DUMMYFUNCTION("""COMPUTED_VALUE"""),"L1")</f>
        <v>L1</v>
      </c>
      <c r="B23" s="2" t="str">
        <f>IFERROR(__xludf.DUMMYFUNCTION("""COMPUTED_VALUE"""),"2026-10")</f>
        <v>2026-10</v>
      </c>
      <c r="C23" s="2" t="str">
        <f>IFERROR(__xludf.DUMMYFUNCTION("""COMPUTED_VALUE"""),"LSCBDSD0004-LX")</f>
        <v>LSCBDSD0004-LX</v>
      </c>
      <c r="D23" s="2">
        <f>IFERROR(__xludf.DUMMYFUNCTION("""COMPUTED_VALUE"""),507.0)</f>
        <v>507</v>
      </c>
      <c r="E23" s="2">
        <f>IFERROR(__xludf.DUMMYFUNCTION("""COMPUTED_VALUE"""),51.0)</f>
        <v>51</v>
      </c>
      <c r="F23" s="4">
        <f>IFERROR(__xludf.DUMMYFUNCTION("""COMPUTED_VALUE"""),5589918.359999999)</f>
        <v>5589918.36</v>
      </c>
      <c r="G23" s="4">
        <f>IFERROR(__xludf.DUMMYFUNCTION("""COMPUTED_VALUE"""),174318.0)</f>
        <v>174318</v>
      </c>
      <c r="H23" s="9">
        <f>IFERROR(__xludf.DUMMYFUNCTION("""COMPUTED_VALUE"""),1.32264)</f>
        <v>1.32264</v>
      </c>
      <c r="I23" s="4">
        <f>IFERROR(__xludf.DUMMYFUNCTION("""COMPUTED_VALUE"""),7624009.5791903995)</f>
        <v>7624009.579</v>
      </c>
      <c r="J23" s="4">
        <f>IFERROR(__xludf.DUMMYFUNCTION("""COMPUTED_VALUE"""),1470.0639999999999)</f>
        <v>1470.064</v>
      </c>
      <c r="K23" s="4">
        <f>IFERROR(__xludf.DUMMYFUNCTION("""COMPUTED_VALUE"""),7625479.6431904)</f>
        <v>7625479.643</v>
      </c>
    </row>
    <row r="24" ht="22.5" customHeight="1">
      <c r="A24" s="2" t="str">
        <f>IFERROR(__xludf.DUMMYFUNCTION("""COMPUTED_VALUE"""),"L1")</f>
        <v>L1</v>
      </c>
      <c r="B24" s="2" t="str">
        <f>IFERROR(__xludf.DUMMYFUNCTION("""COMPUTED_VALUE"""),"2026-11")</f>
        <v>2026-11</v>
      </c>
      <c r="C24" s="2" t="str">
        <f>IFERROR(__xludf.DUMMYFUNCTION("""COMPUTED_VALUE"""),"LSCBDSD0004-LX")</f>
        <v>LSCBDSD0004-LX</v>
      </c>
      <c r="D24" s="2">
        <f>IFERROR(__xludf.DUMMYFUNCTION("""COMPUTED_VALUE"""),500.0)</f>
        <v>500</v>
      </c>
      <c r="E24" s="2">
        <f>IFERROR(__xludf.DUMMYFUNCTION("""COMPUTED_VALUE"""),50.0)</f>
        <v>50</v>
      </c>
      <c r="F24" s="4">
        <f>IFERROR(__xludf.DUMMYFUNCTION("""COMPUTED_VALUE"""),5512740.0)</f>
        <v>5512740</v>
      </c>
      <c r="G24" s="4">
        <f>IFERROR(__xludf.DUMMYFUNCTION("""COMPUTED_VALUE"""),181850.0)</f>
        <v>181850</v>
      </c>
      <c r="H24" s="9">
        <f>IFERROR(__xludf.DUMMYFUNCTION("""COMPUTED_VALUE"""),1.32264)</f>
        <v>1.32264</v>
      </c>
      <c r="I24" s="4">
        <f>IFERROR(__xludf.DUMMYFUNCTION("""COMPUTED_VALUE"""),7531892.5176)</f>
        <v>7531892.518</v>
      </c>
      <c r="J24" s="4">
        <f>IFERROR(__xludf.DUMMYFUNCTION("""COMPUTED_VALUE"""),1653.822)</f>
        <v>1653.822</v>
      </c>
      <c r="K24" s="4">
        <f>IFERROR(__xludf.DUMMYFUNCTION("""COMPUTED_VALUE"""),7533546.3396)</f>
        <v>7533546.34</v>
      </c>
    </row>
    <row r="25" ht="22.5" customHeight="1">
      <c r="A25" s="2" t="str">
        <f>IFERROR(__xludf.DUMMYFUNCTION("""COMPUTED_VALUE"""),"L1")</f>
        <v>L1</v>
      </c>
      <c r="B25" s="2" t="str">
        <f>IFERROR(__xludf.DUMMYFUNCTION("""COMPUTED_VALUE"""),"2026-12")</f>
        <v>2026-12</v>
      </c>
      <c r="C25" s="2" t="str">
        <f>IFERROR(__xludf.DUMMYFUNCTION("""COMPUTED_VALUE"""),"LSCBDSD0004-LX")</f>
        <v>LSCBDSD0004-LX</v>
      </c>
      <c r="D25" s="2">
        <f>IFERROR(__xludf.DUMMYFUNCTION("""COMPUTED_VALUE"""),490.0)</f>
        <v>490</v>
      </c>
      <c r="E25" s="2">
        <f>IFERROR(__xludf.DUMMYFUNCTION("""COMPUTED_VALUE"""),49.0)</f>
        <v>49</v>
      </c>
      <c r="F25" s="4">
        <f>IFERROR(__xludf.DUMMYFUNCTION("""COMPUTED_VALUE"""),5402485.2)</f>
        <v>5402485.2</v>
      </c>
      <c r="G25" s="4">
        <f>IFERROR(__xludf.DUMMYFUNCTION("""COMPUTED_VALUE"""),189973.0)</f>
        <v>189973</v>
      </c>
      <c r="H25" s="9">
        <f>IFERROR(__xludf.DUMMYFUNCTION("""COMPUTED_VALUE"""),1.32264)</f>
        <v>1.32264</v>
      </c>
      <c r="I25" s="4">
        <f>IFERROR(__xludf.DUMMYFUNCTION("""COMPUTED_VALUE"""),7396808.913648001)</f>
        <v>7396808.914</v>
      </c>
      <c r="J25" s="4">
        <f>IFERROR(__xludf.DUMMYFUNCTION("""COMPUTED_VALUE"""),0.0)</f>
        <v>0</v>
      </c>
      <c r="K25" s="4">
        <f>IFERROR(__xludf.DUMMYFUNCTION("""COMPUTED_VALUE"""),7396808.913648001)</f>
        <v>7396808.914</v>
      </c>
    </row>
    <row r="26" ht="22.5" customHeight="1">
      <c r="A26" s="2" t="str">
        <f>IFERROR(__xludf.DUMMYFUNCTION("""COMPUTED_VALUE"""),"L1")</f>
        <v>L1</v>
      </c>
      <c r="B26" s="2" t="str">
        <f>IFERROR(__xludf.DUMMYFUNCTION("""COMPUTED_VALUE"""),"2026-01")</f>
        <v>2026-01</v>
      </c>
      <c r="C26" s="2" t="str">
        <f>IFERROR(__xludf.DUMMYFUNCTION("""COMPUTED_VALUE"""),"LSCBDSV0009")</f>
        <v>LSCBDSV0009</v>
      </c>
      <c r="D26" s="2">
        <f>IFERROR(__xludf.DUMMYFUNCTION("""COMPUTED_VALUE"""),409.0)</f>
        <v>409</v>
      </c>
      <c r="E26" s="2">
        <f>IFERROR(__xludf.DUMMYFUNCTION("""COMPUTED_VALUE"""),28.0)</f>
        <v>28</v>
      </c>
      <c r="F26" s="4">
        <f>IFERROR(__xludf.DUMMYFUNCTION("""COMPUTED_VALUE"""),2281144.33)</f>
        <v>2281144.33</v>
      </c>
      <c r="G26" s="4">
        <f>IFERROR(__xludf.DUMMYFUNCTION("""COMPUTED_VALUE"""),88816.0)</f>
        <v>88816</v>
      </c>
      <c r="H26" s="9">
        <f>IFERROR(__xludf.DUMMYFUNCTION("""COMPUTED_VALUE"""),1.32264)</f>
        <v>1.32264</v>
      </c>
      <c r="I26" s="4">
        <f>IFERROR(__xludf.DUMMYFUNCTION("""COMPUTED_VALUE"""),3134604.3308712)</f>
        <v>3134604.331</v>
      </c>
      <c r="J26" s="4">
        <f>IFERROR(__xludf.DUMMYFUNCTION("""COMPUTED_VALUE"""),2509.8165)</f>
        <v>2509.8165</v>
      </c>
      <c r="K26" s="4">
        <f>IFERROR(__xludf.DUMMYFUNCTION("""COMPUTED_VALUE"""),3137114.1473712004)</f>
        <v>3137114.147</v>
      </c>
    </row>
    <row r="27" ht="22.5" customHeight="1">
      <c r="A27" s="2" t="str">
        <f>IFERROR(__xludf.DUMMYFUNCTION("""COMPUTED_VALUE"""),"L1")</f>
        <v>L1</v>
      </c>
      <c r="B27" s="2" t="str">
        <f>IFERROR(__xludf.DUMMYFUNCTION("""COMPUTED_VALUE"""),"2026-02")</f>
        <v>2026-02</v>
      </c>
      <c r="C27" s="2" t="str">
        <f>IFERROR(__xludf.DUMMYFUNCTION("""COMPUTED_VALUE"""),"LSCBDSV0009")</f>
        <v>LSCBDSV0009</v>
      </c>
      <c r="D27" s="2">
        <f>IFERROR(__xludf.DUMMYFUNCTION("""COMPUTED_VALUE"""),764.0)</f>
        <v>764</v>
      </c>
      <c r="E27" s="2">
        <f>IFERROR(__xludf.DUMMYFUNCTION("""COMPUTED_VALUE"""),51.0)</f>
        <v>51</v>
      </c>
      <c r="F27" s="4">
        <f>IFERROR(__xludf.DUMMYFUNCTION("""COMPUTED_VALUE"""),4261110.68)</f>
        <v>4261110.68</v>
      </c>
      <c r="G27" s="4">
        <f>IFERROR(__xludf.DUMMYFUNCTION("""COMPUTED_VALUE"""),164679.0)</f>
        <v>164679</v>
      </c>
      <c r="H27" s="9">
        <f>IFERROR(__xludf.DUMMYFUNCTION("""COMPUTED_VALUE"""),1.32264)</f>
        <v>1.32264</v>
      </c>
      <c r="I27" s="4">
        <f>IFERROR(__xludf.DUMMYFUNCTION("""COMPUTED_VALUE"""),5853726.4623552)</f>
        <v>5853726.462</v>
      </c>
      <c r="J27" s="4">
        <f>IFERROR(__xludf.DUMMYFUNCTION("""COMPUTED_VALUE"""),4833.720666666666)</f>
        <v>4833.720667</v>
      </c>
      <c r="K27" s="4">
        <f>IFERROR(__xludf.DUMMYFUNCTION("""COMPUTED_VALUE"""),5858560.183021867)</f>
        <v>5858560.183</v>
      </c>
    </row>
    <row r="28" ht="22.5" customHeight="1">
      <c r="A28" s="2" t="str">
        <f>IFERROR(__xludf.DUMMYFUNCTION("""COMPUTED_VALUE"""),"L1")</f>
        <v>L1</v>
      </c>
      <c r="B28" s="2" t="str">
        <f>IFERROR(__xludf.DUMMYFUNCTION("""COMPUTED_VALUE"""),"2026-03")</f>
        <v>2026-03</v>
      </c>
      <c r="C28" s="2" t="str">
        <f>IFERROR(__xludf.DUMMYFUNCTION("""COMPUTED_VALUE"""),"LSCBDSV0009")</f>
        <v>LSCBDSV0009</v>
      </c>
      <c r="D28" s="2">
        <f>IFERROR(__xludf.DUMMYFUNCTION("""COMPUTED_VALUE"""),735.0)</f>
        <v>735</v>
      </c>
      <c r="E28" s="2">
        <f>IFERROR(__xludf.DUMMYFUNCTION("""COMPUTED_VALUE"""),49.0)</f>
        <v>49</v>
      </c>
      <c r="F28" s="4">
        <f>IFERROR(__xludf.DUMMYFUNCTION("""COMPUTED_VALUE"""),4099366.9499999997)</f>
        <v>4099366.95</v>
      </c>
      <c r="G28" s="4">
        <f>IFERROR(__xludf.DUMMYFUNCTION("""COMPUTED_VALUE"""),157780.0)</f>
        <v>157780</v>
      </c>
      <c r="H28" s="9">
        <f>IFERROR(__xludf.DUMMYFUNCTION("""COMPUTED_VALUE"""),1.32264)</f>
        <v>1.32264</v>
      </c>
      <c r="I28" s="4">
        <f>IFERROR(__xludf.DUMMYFUNCTION("""COMPUTED_VALUE"""),5630672.841947999)</f>
        <v>5630672.842</v>
      </c>
      <c r="J28" s="4">
        <f>IFERROR(__xludf.DUMMYFUNCTION("""COMPUTED_VALUE"""),4368.939833333333)</f>
        <v>4368.939833</v>
      </c>
      <c r="K28" s="4">
        <f>IFERROR(__xludf.DUMMYFUNCTION("""COMPUTED_VALUE"""),5635041.781781333)</f>
        <v>5635041.782</v>
      </c>
    </row>
    <row r="29" ht="22.5" customHeight="1">
      <c r="A29" s="2" t="str">
        <f>IFERROR(__xludf.DUMMYFUNCTION("""COMPUTED_VALUE"""),"L1")</f>
        <v>L1</v>
      </c>
      <c r="B29" s="2" t="str">
        <f>IFERROR(__xludf.DUMMYFUNCTION("""COMPUTED_VALUE"""),"2026-04")</f>
        <v>2026-04</v>
      </c>
      <c r="C29" s="2" t="str">
        <f>IFERROR(__xludf.DUMMYFUNCTION("""COMPUTED_VALUE"""),"LSCBDSV0009")</f>
        <v>LSCBDSV0009</v>
      </c>
      <c r="D29" s="2">
        <f>IFERROR(__xludf.DUMMYFUNCTION("""COMPUTED_VALUE"""),719.0)</f>
        <v>719</v>
      </c>
      <c r="E29" s="2">
        <f>IFERROR(__xludf.DUMMYFUNCTION("""COMPUTED_VALUE"""),48.0)</f>
        <v>48</v>
      </c>
      <c r="F29" s="4">
        <f>IFERROR(__xludf.DUMMYFUNCTION("""COMPUTED_VALUE"""),4010129.03)</f>
        <v>4010129.03</v>
      </c>
      <c r="G29" s="4">
        <f>IFERROR(__xludf.DUMMYFUNCTION("""COMPUTED_VALUE"""),159552.0)</f>
        <v>159552</v>
      </c>
      <c r="H29" s="9">
        <f>IFERROR(__xludf.DUMMYFUNCTION("""COMPUTED_VALUE"""),1.32264)</f>
        <v>1.32264</v>
      </c>
      <c r="I29" s="4">
        <f>IFERROR(__xludf.DUMMYFUNCTION("""COMPUTED_VALUE"""),5514986.9175192)</f>
        <v>5514986.918</v>
      </c>
      <c r="J29" s="4">
        <f>IFERROR(__xludf.DUMMYFUNCTION("""COMPUTED_VALUE"""),2416.860333333333)</f>
        <v>2416.860333</v>
      </c>
      <c r="K29" s="4">
        <f>IFERROR(__xludf.DUMMYFUNCTION("""COMPUTED_VALUE"""),5517403.777852533)</f>
        <v>5517403.778</v>
      </c>
    </row>
    <row r="30" ht="22.5" customHeight="1">
      <c r="A30" s="2" t="str">
        <f>IFERROR(__xludf.DUMMYFUNCTION("""COMPUTED_VALUE"""),"L1")</f>
        <v>L1</v>
      </c>
      <c r="B30" s="2" t="str">
        <f>IFERROR(__xludf.DUMMYFUNCTION("""COMPUTED_VALUE"""),"2026-05")</f>
        <v>2026-05</v>
      </c>
      <c r="C30" s="2" t="str">
        <f>IFERROR(__xludf.DUMMYFUNCTION("""COMPUTED_VALUE"""),"LSCBDSV0009")</f>
        <v>LSCBDSV0009</v>
      </c>
      <c r="D30" s="2">
        <f>IFERROR(__xludf.DUMMYFUNCTION("""COMPUTED_VALUE"""),734.0)</f>
        <v>734</v>
      </c>
      <c r="E30" s="2">
        <f>IFERROR(__xludf.DUMMYFUNCTION("""COMPUTED_VALUE"""),49.0)</f>
        <v>49</v>
      </c>
      <c r="F30" s="4">
        <f>IFERROR(__xludf.DUMMYFUNCTION("""COMPUTED_VALUE"""),4093789.58)</f>
        <v>4093789.58</v>
      </c>
      <c r="G30" s="4">
        <f>IFERROR(__xludf.DUMMYFUNCTION("""COMPUTED_VALUE"""),165032.0)</f>
        <v>165032</v>
      </c>
      <c r="H30" s="9">
        <f>IFERROR(__xludf.DUMMYFUNCTION("""COMPUTED_VALUE"""),1.32264)</f>
        <v>1.32264</v>
      </c>
      <c r="I30" s="4">
        <f>IFERROR(__xludf.DUMMYFUNCTION("""COMPUTED_VALUE"""),5632887.7745712)</f>
        <v>5632887.775</v>
      </c>
      <c r="J30" s="4">
        <f>IFERROR(__xludf.DUMMYFUNCTION("""COMPUTED_VALUE"""),1859.1233333333332)</f>
        <v>1859.123333</v>
      </c>
      <c r="K30" s="4">
        <f>IFERROR(__xludf.DUMMYFUNCTION("""COMPUTED_VALUE"""),5634746.897904533)</f>
        <v>5634746.898</v>
      </c>
    </row>
    <row r="31" ht="22.5" customHeight="1">
      <c r="A31" s="2" t="str">
        <f>IFERROR(__xludf.DUMMYFUNCTION("""COMPUTED_VALUE"""),"L1")</f>
        <v>L1</v>
      </c>
      <c r="B31" s="2" t="str">
        <f>IFERROR(__xludf.DUMMYFUNCTION("""COMPUTED_VALUE"""),"2026-06")</f>
        <v>2026-06</v>
      </c>
      <c r="C31" s="2" t="str">
        <f>IFERROR(__xludf.DUMMYFUNCTION("""COMPUTED_VALUE"""),"LSCBDSV0009")</f>
        <v>LSCBDSV0009</v>
      </c>
      <c r="D31" s="2">
        <f>IFERROR(__xludf.DUMMYFUNCTION("""COMPUTED_VALUE"""),735.0)</f>
        <v>735</v>
      </c>
      <c r="E31" s="2">
        <f>IFERROR(__xludf.DUMMYFUNCTION("""COMPUTED_VALUE"""),49.0)</f>
        <v>49</v>
      </c>
      <c r="F31" s="4">
        <f>IFERROR(__xludf.DUMMYFUNCTION("""COMPUTED_VALUE"""),4099366.9499999997)</f>
        <v>4099366.95</v>
      </c>
      <c r="G31" s="4">
        <f>IFERROR(__xludf.DUMMYFUNCTION("""COMPUTED_VALUE"""),169344.0)</f>
        <v>169344</v>
      </c>
      <c r="H31" s="9">
        <f>IFERROR(__xludf.DUMMYFUNCTION("""COMPUTED_VALUE"""),1.32264)</f>
        <v>1.32264</v>
      </c>
      <c r="I31" s="4">
        <f>IFERROR(__xludf.DUMMYFUNCTION("""COMPUTED_VALUE"""),5645967.850907999)</f>
        <v>5645967.851</v>
      </c>
      <c r="J31" s="4">
        <f>IFERROR(__xludf.DUMMYFUNCTION("""COMPUTED_VALUE"""),1394.3425)</f>
        <v>1394.3425</v>
      </c>
      <c r="K31" s="4">
        <f>IFERROR(__xludf.DUMMYFUNCTION("""COMPUTED_VALUE"""),5647362.193407999)</f>
        <v>5647362.193</v>
      </c>
    </row>
    <row r="32" ht="22.5" customHeight="1">
      <c r="A32" s="2" t="str">
        <f>IFERROR(__xludf.DUMMYFUNCTION("""COMPUTED_VALUE"""),"L1")</f>
        <v>L1</v>
      </c>
      <c r="B32" s="2" t="str">
        <f>IFERROR(__xludf.DUMMYFUNCTION("""COMPUTED_VALUE"""),"2026-07")</f>
        <v>2026-07</v>
      </c>
      <c r="C32" s="2" t="str">
        <f>IFERROR(__xludf.DUMMYFUNCTION("""COMPUTED_VALUE"""),"LSCBDSV0009")</f>
        <v>LSCBDSV0009</v>
      </c>
      <c r="D32" s="2">
        <f>IFERROR(__xludf.DUMMYFUNCTION("""COMPUTED_VALUE"""),735.0)</f>
        <v>735</v>
      </c>
      <c r="E32" s="2">
        <f>IFERROR(__xludf.DUMMYFUNCTION("""COMPUTED_VALUE"""),49.0)</f>
        <v>49</v>
      </c>
      <c r="F32" s="4">
        <f>IFERROR(__xludf.DUMMYFUNCTION("""COMPUTED_VALUE"""),4099366.9499999997)</f>
        <v>4099366.95</v>
      </c>
      <c r="G32" s="4">
        <f>IFERROR(__xludf.DUMMYFUNCTION("""COMPUTED_VALUE"""),173950.0)</f>
        <v>173950</v>
      </c>
      <c r="H32" s="9">
        <f>IFERROR(__xludf.DUMMYFUNCTION("""COMPUTED_VALUE"""),1.32264)</f>
        <v>1.32264</v>
      </c>
      <c r="I32" s="4">
        <f>IFERROR(__xludf.DUMMYFUNCTION("""COMPUTED_VALUE"""),5652059.930747999)</f>
        <v>5652059.931</v>
      </c>
      <c r="J32" s="4">
        <f>IFERROR(__xludf.DUMMYFUNCTION("""COMPUTED_VALUE"""),929.5616666666666)</f>
        <v>929.5616667</v>
      </c>
      <c r="K32" s="4">
        <f>IFERROR(__xludf.DUMMYFUNCTION("""COMPUTED_VALUE"""),5652989.492414665)</f>
        <v>5652989.492</v>
      </c>
    </row>
    <row r="33" ht="22.5" customHeight="1">
      <c r="A33" s="2" t="str">
        <f>IFERROR(__xludf.DUMMYFUNCTION("""COMPUTED_VALUE"""),"L1")</f>
        <v>L1</v>
      </c>
      <c r="B33" s="2" t="str">
        <f>IFERROR(__xludf.DUMMYFUNCTION("""COMPUTED_VALUE"""),"2026-08")</f>
        <v>2026-08</v>
      </c>
      <c r="C33" s="2" t="str">
        <f>IFERROR(__xludf.DUMMYFUNCTION("""COMPUTED_VALUE"""),"LSCBDSV0009")</f>
        <v>LSCBDSV0009</v>
      </c>
      <c r="D33" s="2">
        <f>IFERROR(__xludf.DUMMYFUNCTION("""COMPUTED_VALUE"""),735.0)</f>
        <v>735</v>
      </c>
      <c r="E33" s="2">
        <f>IFERROR(__xludf.DUMMYFUNCTION("""COMPUTED_VALUE"""),49.0)</f>
        <v>49</v>
      </c>
      <c r="F33" s="4">
        <f>IFERROR(__xludf.DUMMYFUNCTION("""COMPUTED_VALUE"""),4099366.9499999997)</f>
        <v>4099366.95</v>
      </c>
      <c r="G33" s="4">
        <f>IFERROR(__xludf.DUMMYFUNCTION("""COMPUTED_VALUE"""),174538.0)</f>
        <v>174538</v>
      </c>
      <c r="H33" s="9">
        <f>IFERROR(__xludf.DUMMYFUNCTION("""COMPUTED_VALUE"""),1.32264)</f>
        <v>1.32264</v>
      </c>
      <c r="I33" s="4">
        <f>IFERROR(__xludf.DUMMYFUNCTION("""COMPUTED_VALUE"""),5652837.643067999)</f>
        <v>5652837.643</v>
      </c>
      <c r="J33" s="4">
        <f>IFERROR(__xludf.DUMMYFUNCTION("""COMPUTED_VALUE"""),464.7808333333333)</f>
        <v>464.7808333</v>
      </c>
      <c r="K33" s="4">
        <f>IFERROR(__xludf.DUMMYFUNCTION("""COMPUTED_VALUE"""),5653302.423901333)</f>
        <v>5653302.424</v>
      </c>
    </row>
    <row r="34" ht="22.5" customHeight="1">
      <c r="A34" s="2" t="str">
        <f>IFERROR(__xludf.DUMMYFUNCTION("""COMPUTED_VALUE"""),"L1")</f>
        <v>L1</v>
      </c>
      <c r="B34" s="2" t="str">
        <f>IFERROR(__xludf.DUMMYFUNCTION("""COMPUTED_VALUE"""),"2026-09")</f>
        <v>2026-09</v>
      </c>
      <c r="C34" s="2" t="str">
        <f>IFERROR(__xludf.DUMMYFUNCTION("""COMPUTED_VALUE"""),"LSCBDSV0009")</f>
        <v>LSCBDSV0009</v>
      </c>
      <c r="D34" s="2">
        <f>IFERROR(__xludf.DUMMYFUNCTION("""COMPUTED_VALUE"""),735.0)</f>
        <v>735</v>
      </c>
      <c r="E34" s="2">
        <f>IFERROR(__xludf.DUMMYFUNCTION("""COMPUTED_VALUE"""),49.0)</f>
        <v>49</v>
      </c>
      <c r="F34" s="4">
        <f>IFERROR(__xludf.DUMMYFUNCTION("""COMPUTED_VALUE"""),4099366.9499999997)</f>
        <v>4099366.95</v>
      </c>
      <c r="G34" s="4">
        <f>IFERROR(__xludf.DUMMYFUNCTION("""COMPUTED_VALUE"""),166796.0)</f>
        <v>166796</v>
      </c>
      <c r="H34" s="9">
        <f>IFERROR(__xludf.DUMMYFUNCTION("""COMPUTED_VALUE"""),1.32264)</f>
        <v>1.32264</v>
      </c>
      <c r="I34" s="4">
        <f>IFERROR(__xludf.DUMMYFUNCTION("""COMPUTED_VALUE"""),5642597.764187999)</f>
        <v>5642597.764</v>
      </c>
      <c r="J34" s="4">
        <f>IFERROR(__xludf.DUMMYFUNCTION("""COMPUTED_VALUE"""),0.0)</f>
        <v>0</v>
      </c>
      <c r="K34" s="4">
        <f>IFERROR(__xludf.DUMMYFUNCTION("""COMPUTED_VALUE"""),5642597.764187999)</f>
        <v>5642597.764</v>
      </c>
    </row>
    <row r="35" ht="22.5" customHeight="1">
      <c r="A35" s="2" t="str">
        <f>IFERROR(__xludf.DUMMYFUNCTION("""COMPUTED_VALUE"""),"L1")</f>
        <v>L1</v>
      </c>
      <c r="B35" s="2" t="str">
        <f>IFERROR(__xludf.DUMMYFUNCTION("""COMPUTED_VALUE"""),"2026-10")</f>
        <v>2026-10</v>
      </c>
      <c r="C35" s="2" t="str">
        <f>IFERROR(__xludf.DUMMYFUNCTION("""COMPUTED_VALUE"""),"LSCBDSV0009")</f>
        <v>LSCBDSV0009</v>
      </c>
      <c r="D35" s="2">
        <f>IFERROR(__xludf.DUMMYFUNCTION("""COMPUTED_VALUE"""),750.0)</f>
        <v>750</v>
      </c>
      <c r="E35" s="2">
        <f>IFERROR(__xludf.DUMMYFUNCTION("""COMPUTED_VALUE"""),50.0)</f>
        <v>50</v>
      </c>
      <c r="F35" s="4">
        <f>IFERROR(__xludf.DUMMYFUNCTION("""COMPUTED_VALUE"""),4183027.5)</f>
        <v>4183027.5</v>
      </c>
      <c r="G35" s="4">
        <f>IFERROR(__xludf.DUMMYFUNCTION("""COMPUTED_VALUE"""),170900.0)</f>
        <v>170900</v>
      </c>
      <c r="H35" s="9">
        <f>IFERROR(__xludf.DUMMYFUNCTION("""COMPUTED_VALUE"""),1.32264)</f>
        <v>1.32264</v>
      </c>
      <c r="I35" s="4">
        <f>IFERROR(__xludf.DUMMYFUNCTION("""COMPUTED_VALUE"""),5758678.6686)</f>
        <v>5758678.669</v>
      </c>
      <c r="J35" s="4">
        <f>IFERROR(__xludf.DUMMYFUNCTION("""COMPUTED_VALUE"""),929.5616666666666)</f>
        <v>929.5616667</v>
      </c>
      <c r="K35" s="4">
        <f>IFERROR(__xludf.DUMMYFUNCTION("""COMPUTED_VALUE"""),5759608.230266667)</f>
        <v>5759608.23</v>
      </c>
    </row>
    <row r="36" ht="22.5" customHeight="1">
      <c r="A36" s="2" t="str">
        <f>IFERROR(__xludf.DUMMYFUNCTION("""COMPUTED_VALUE"""),"L1")</f>
        <v>L1</v>
      </c>
      <c r="B36" s="2" t="str">
        <f>IFERROR(__xludf.DUMMYFUNCTION("""COMPUTED_VALUE"""),"2026-11")</f>
        <v>2026-11</v>
      </c>
      <c r="C36" s="2" t="str">
        <f>IFERROR(__xludf.DUMMYFUNCTION("""COMPUTED_VALUE"""),"LSCBDSV0009")</f>
        <v>LSCBDSV0009</v>
      </c>
      <c r="D36" s="2">
        <f>IFERROR(__xludf.DUMMYFUNCTION("""COMPUTED_VALUE"""),750.0)</f>
        <v>750</v>
      </c>
      <c r="E36" s="2">
        <f>IFERROR(__xludf.DUMMYFUNCTION("""COMPUTED_VALUE"""),50.0)</f>
        <v>50</v>
      </c>
      <c r="F36" s="4">
        <f>IFERROR(__xludf.DUMMYFUNCTION("""COMPUTED_VALUE"""),4183027.5)</f>
        <v>4183027.5</v>
      </c>
      <c r="G36" s="4">
        <f>IFERROR(__xludf.DUMMYFUNCTION("""COMPUTED_VALUE"""),181850.0)</f>
        <v>181850</v>
      </c>
      <c r="H36" s="9">
        <f>IFERROR(__xludf.DUMMYFUNCTION("""COMPUTED_VALUE"""),1.32264)</f>
        <v>1.32264</v>
      </c>
      <c r="I36" s="4">
        <f>IFERROR(__xludf.DUMMYFUNCTION("""COMPUTED_VALUE"""),5773161.5766)</f>
        <v>5773161.577</v>
      </c>
      <c r="J36" s="4">
        <f>IFERROR(__xludf.DUMMYFUNCTION("""COMPUTED_VALUE"""),1859.1233333333332)</f>
        <v>1859.123333</v>
      </c>
      <c r="K36" s="4">
        <f>IFERROR(__xludf.DUMMYFUNCTION("""COMPUTED_VALUE"""),5775020.699933333)</f>
        <v>5775020.7</v>
      </c>
    </row>
    <row r="37" ht="22.5" customHeight="1">
      <c r="A37" s="2" t="str">
        <f>IFERROR(__xludf.DUMMYFUNCTION("""COMPUTED_VALUE"""),"L1")</f>
        <v>L1</v>
      </c>
      <c r="B37" s="2" t="str">
        <f>IFERROR(__xludf.DUMMYFUNCTION("""COMPUTED_VALUE"""),"2026-12")</f>
        <v>2026-12</v>
      </c>
      <c r="C37" s="2" t="str">
        <f>IFERROR(__xludf.DUMMYFUNCTION("""COMPUTED_VALUE"""),"LSCBDSV0009")</f>
        <v>LSCBDSV0009</v>
      </c>
      <c r="D37" s="2">
        <f>IFERROR(__xludf.DUMMYFUNCTION("""COMPUTED_VALUE"""),720.0)</f>
        <v>720</v>
      </c>
      <c r="E37" s="2">
        <f>IFERROR(__xludf.DUMMYFUNCTION("""COMPUTED_VALUE"""),48.0)</f>
        <v>48</v>
      </c>
      <c r="F37" s="4">
        <f>IFERROR(__xludf.DUMMYFUNCTION("""COMPUTED_VALUE"""),4015706.4)</f>
        <v>4015706.4</v>
      </c>
      <c r="G37" s="4">
        <f>IFERROR(__xludf.DUMMYFUNCTION("""COMPUTED_VALUE"""),186096.0)</f>
        <v>186096</v>
      </c>
      <c r="H37" s="9">
        <f>IFERROR(__xludf.DUMMYFUNCTION("""COMPUTED_VALUE"""),1.32264)</f>
        <v>1.32264</v>
      </c>
      <c r="I37" s="4">
        <f>IFERROR(__xludf.DUMMYFUNCTION("""COMPUTED_VALUE"""),5557471.926336001)</f>
        <v>5557471.926</v>
      </c>
      <c r="J37" s="4">
        <f>IFERROR(__xludf.DUMMYFUNCTION("""COMPUTED_VALUE"""),0.0)</f>
        <v>0</v>
      </c>
      <c r="K37" s="4">
        <f>IFERROR(__xludf.DUMMYFUNCTION("""COMPUTED_VALUE"""),5557471.926336001)</f>
        <v>5557471.926</v>
      </c>
    </row>
    <row r="38" ht="22.5" customHeight="1">
      <c r="A38" s="2" t="str">
        <f>IFERROR(__xludf.DUMMYFUNCTION("""COMPUTED_VALUE"""),"L1")</f>
        <v>L1</v>
      </c>
      <c r="B38" s="2" t="str">
        <f>IFERROR(__xludf.DUMMYFUNCTION("""COMPUTED_VALUE"""),"2026-01")</f>
        <v>2026-01</v>
      </c>
      <c r="C38" s="2" t="str">
        <f>IFERROR(__xludf.DUMMYFUNCTION("""COMPUTED_VALUE"""),"LSCBDSV0009-LX")</f>
        <v>LSCBDSV0009-LX</v>
      </c>
      <c r="D38" s="2">
        <f>IFERROR(__xludf.DUMMYFUNCTION("""COMPUTED_VALUE"""),188.0)</f>
        <v>188</v>
      </c>
      <c r="E38" s="2">
        <f>IFERROR(__xludf.DUMMYFUNCTION("""COMPUTED_VALUE"""),19.0)</f>
        <v>19</v>
      </c>
      <c r="F38" s="4">
        <f>IFERROR(__xludf.DUMMYFUNCTION("""COMPUTED_VALUE"""),1625066.3599999999)</f>
        <v>1625066.36</v>
      </c>
      <c r="G38" s="4">
        <f>IFERROR(__xludf.DUMMYFUNCTION("""COMPUTED_VALUE"""),60268.0)</f>
        <v>60268</v>
      </c>
      <c r="H38" s="9">
        <f>IFERROR(__xludf.DUMMYFUNCTION("""COMPUTED_VALUE"""),1.32264)</f>
        <v>1.32264</v>
      </c>
      <c r="I38" s="4">
        <f>IFERROR(__xludf.DUMMYFUNCTION("""COMPUTED_VALUE"""),2229090.6379104)</f>
        <v>2229090.638</v>
      </c>
      <c r="J38" s="4">
        <f>IFERROR(__xludf.DUMMYFUNCTION("""COMPUTED_VALUE"""),288.1323333333333)</f>
        <v>288.1323333</v>
      </c>
      <c r="K38" s="4">
        <f>IFERROR(__xludf.DUMMYFUNCTION("""COMPUTED_VALUE"""),2229378.770243733)</f>
        <v>2229378.77</v>
      </c>
    </row>
    <row r="39" ht="22.5" customHeight="1">
      <c r="A39" s="2" t="str">
        <f>IFERROR(__xludf.DUMMYFUNCTION("""COMPUTED_VALUE"""),"L1")</f>
        <v>L1</v>
      </c>
      <c r="B39" s="2" t="str">
        <f>IFERROR(__xludf.DUMMYFUNCTION("""COMPUTED_VALUE"""),"2026-02")</f>
        <v>2026-02</v>
      </c>
      <c r="C39" s="2" t="str">
        <f>IFERROR(__xludf.DUMMYFUNCTION("""COMPUTED_VALUE"""),"LSCBDSV0009-LX")</f>
        <v>LSCBDSV0009-LX</v>
      </c>
      <c r="D39" s="2">
        <f>IFERROR(__xludf.DUMMYFUNCTION("""COMPUTED_VALUE"""),266.0)</f>
        <v>266</v>
      </c>
      <c r="E39" s="2">
        <f>IFERROR(__xludf.DUMMYFUNCTION("""COMPUTED_VALUE"""),27.0)</f>
        <v>27</v>
      </c>
      <c r="F39" s="4">
        <f>IFERROR(__xludf.DUMMYFUNCTION("""COMPUTED_VALUE"""),2299296.02)</f>
        <v>2299296.02</v>
      </c>
      <c r="G39" s="4">
        <f>IFERROR(__xludf.DUMMYFUNCTION("""COMPUTED_VALUE"""),87183.0)</f>
        <v>87183</v>
      </c>
      <c r="H39" s="9">
        <f>IFERROR(__xludf.DUMMYFUNCTION("""COMPUTED_VALUE"""),1.32264)</f>
        <v>1.32264</v>
      </c>
      <c r="I39" s="4">
        <f>IFERROR(__xludf.DUMMYFUNCTION("""COMPUTED_VALUE"""),3156452.6110128)</f>
        <v>3156452.611</v>
      </c>
      <c r="J39" s="4">
        <f>IFERROR(__xludf.DUMMYFUNCTION("""COMPUTED_VALUE"""),0.0)</f>
        <v>0</v>
      </c>
      <c r="K39" s="4">
        <f>IFERROR(__xludf.DUMMYFUNCTION("""COMPUTED_VALUE"""),3156452.6110128)</f>
        <v>3156452.611</v>
      </c>
    </row>
    <row r="40" ht="22.5" customHeight="1">
      <c r="A40" s="2" t="str">
        <f>IFERROR(__xludf.DUMMYFUNCTION("""COMPUTED_VALUE"""),"L1")</f>
        <v>L1</v>
      </c>
      <c r="B40" s="2" t="str">
        <f>IFERROR(__xludf.DUMMYFUNCTION("""COMPUTED_VALUE"""),"2026-03")</f>
        <v>2026-03</v>
      </c>
      <c r="C40" s="2" t="str">
        <f>IFERROR(__xludf.DUMMYFUNCTION("""COMPUTED_VALUE"""),"LSCBDSV0009-LX")</f>
        <v>LSCBDSV0009-LX</v>
      </c>
      <c r="D40" s="2">
        <f>IFERROR(__xludf.DUMMYFUNCTION("""COMPUTED_VALUE"""),500.0)</f>
        <v>500</v>
      </c>
      <c r="E40" s="2">
        <f>IFERROR(__xludf.DUMMYFUNCTION("""COMPUTED_VALUE"""),50.0)</f>
        <v>50</v>
      </c>
      <c r="F40" s="4">
        <f>IFERROR(__xludf.DUMMYFUNCTION("""COMPUTED_VALUE"""),4321985.0)</f>
        <v>4321985</v>
      </c>
      <c r="G40" s="4">
        <f>IFERROR(__xludf.DUMMYFUNCTION("""COMPUTED_VALUE"""),161000.0)</f>
        <v>161000</v>
      </c>
      <c r="H40" s="9">
        <f>IFERROR(__xludf.DUMMYFUNCTION("""COMPUTED_VALUE"""),1.32264)</f>
        <v>1.32264</v>
      </c>
      <c r="I40" s="4">
        <f>IFERROR(__xludf.DUMMYFUNCTION("""COMPUTED_VALUE"""),5929375.2804000005)</f>
        <v>5929375.28</v>
      </c>
      <c r="J40" s="4">
        <f>IFERROR(__xludf.DUMMYFUNCTION("""COMPUTED_VALUE"""),1152.5293333333332)</f>
        <v>1152.529333</v>
      </c>
      <c r="K40" s="4">
        <f>IFERROR(__xludf.DUMMYFUNCTION("""COMPUTED_VALUE"""),5930527.809733334)</f>
        <v>5930527.81</v>
      </c>
    </row>
    <row r="41" ht="22.5" customHeight="1">
      <c r="A41" s="2" t="str">
        <f>IFERROR(__xludf.DUMMYFUNCTION("""COMPUTED_VALUE"""),"L1")</f>
        <v>L1</v>
      </c>
      <c r="B41" s="2" t="str">
        <f>IFERROR(__xludf.DUMMYFUNCTION("""COMPUTED_VALUE"""),"2026-04")</f>
        <v>2026-04</v>
      </c>
      <c r="C41" s="2" t="str">
        <f>IFERROR(__xludf.DUMMYFUNCTION("""COMPUTED_VALUE"""),"LSCBDSV0009-LX")</f>
        <v>LSCBDSV0009-LX</v>
      </c>
      <c r="D41" s="2">
        <f>IFERROR(__xludf.DUMMYFUNCTION("""COMPUTED_VALUE"""),490.0)</f>
        <v>490</v>
      </c>
      <c r="E41" s="2">
        <f>IFERROR(__xludf.DUMMYFUNCTION("""COMPUTED_VALUE"""),49.0)</f>
        <v>49</v>
      </c>
      <c r="F41" s="4">
        <f>IFERROR(__xludf.DUMMYFUNCTION("""COMPUTED_VALUE"""),4235545.3)</f>
        <v>4235545.3</v>
      </c>
      <c r="G41" s="4">
        <f>IFERROR(__xludf.DUMMYFUNCTION("""COMPUTED_VALUE"""),162876.0)</f>
        <v>162876</v>
      </c>
      <c r="H41" s="9">
        <f>IFERROR(__xludf.DUMMYFUNCTION("""COMPUTED_VALUE"""),1.32264)</f>
        <v>1.32264</v>
      </c>
      <c r="I41" s="4">
        <f>IFERROR(__xludf.DUMMYFUNCTION("""COMPUTED_VALUE"""),5817527.948232)</f>
        <v>5817527.948</v>
      </c>
      <c r="J41" s="4">
        <f>IFERROR(__xludf.DUMMYFUNCTION("""COMPUTED_VALUE"""),864.3969999999999)</f>
        <v>864.397</v>
      </c>
      <c r="K41" s="4">
        <f>IFERROR(__xludf.DUMMYFUNCTION("""COMPUTED_VALUE"""),5818392.345232)</f>
        <v>5818392.345</v>
      </c>
    </row>
    <row r="42" ht="22.5" customHeight="1">
      <c r="A42" s="2" t="str">
        <f>IFERROR(__xludf.DUMMYFUNCTION("""COMPUTED_VALUE"""),"L1")</f>
        <v>L1</v>
      </c>
      <c r="B42" s="2" t="str">
        <f>IFERROR(__xludf.DUMMYFUNCTION("""COMPUTED_VALUE"""),"2026-05")</f>
        <v>2026-05</v>
      </c>
      <c r="C42" s="2" t="str">
        <f>IFERROR(__xludf.DUMMYFUNCTION("""COMPUTED_VALUE"""),"LSCBDSV0009-LX")</f>
        <v>LSCBDSV0009-LX</v>
      </c>
      <c r="D42" s="2">
        <f>IFERROR(__xludf.DUMMYFUNCTION("""COMPUTED_VALUE"""),490.0)</f>
        <v>490</v>
      </c>
      <c r="E42" s="2">
        <f>IFERROR(__xludf.DUMMYFUNCTION("""COMPUTED_VALUE"""),49.0)</f>
        <v>49</v>
      </c>
      <c r="F42" s="4">
        <f>IFERROR(__xludf.DUMMYFUNCTION("""COMPUTED_VALUE"""),4235545.3)</f>
        <v>4235545.3</v>
      </c>
      <c r="G42" s="4">
        <f>IFERROR(__xludf.DUMMYFUNCTION("""COMPUTED_VALUE"""),165032.0)</f>
        <v>165032</v>
      </c>
      <c r="H42" s="9">
        <f>IFERROR(__xludf.DUMMYFUNCTION("""COMPUTED_VALUE"""),1.32264)</f>
        <v>1.32264</v>
      </c>
      <c r="I42" s="4">
        <f>IFERROR(__xludf.DUMMYFUNCTION("""COMPUTED_VALUE"""),5820379.560072)</f>
        <v>5820379.56</v>
      </c>
      <c r="J42" s="4">
        <f>IFERROR(__xludf.DUMMYFUNCTION("""COMPUTED_VALUE"""),576.2646666666666)</f>
        <v>576.2646667</v>
      </c>
      <c r="K42" s="4">
        <f>IFERROR(__xludf.DUMMYFUNCTION("""COMPUTED_VALUE"""),5820955.824738666)</f>
        <v>5820955.825</v>
      </c>
    </row>
    <row r="43" ht="22.5" customHeight="1">
      <c r="A43" s="2" t="str">
        <f>IFERROR(__xludf.DUMMYFUNCTION("""COMPUTED_VALUE"""),"L1")</f>
        <v>L1</v>
      </c>
      <c r="B43" s="2" t="str">
        <f>IFERROR(__xludf.DUMMYFUNCTION("""COMPUTED_VALUE"""),"2026-06")</f>
        <v>2026-06</v>
      </c>
      <c r="C43" s="2" t="str">
        <f>IFERROR(__xludf.DUMMYFUNCTION("""COMPUTED_VALUE"""),"LSCBDSV0009-LX")</f>
        <v>LSCBDSV0009-LX</v>
      </c>
      <c r="D43" s="2">
        <f>IFERROR(__xludf.DUMMYFUNCTION("""COMPUTED_VALUE"""),490.0)</f>
        <v>490</v>
      </c>
      <c r="E43" s="2">
        <f>IFERROR(__xludf.DUMMYFUNCTION("""COMPUTED_VALUE"""),49.0)</f>
        <v>49</v>
      </c>
      <c r="F43" s="4">
        <f>IFERROR(__xludf.DUMMYFUNCTION("""COMPUTED_VALUE"""),4235545.3)</f>
        <v>4235545.3</v>
      </c>
      <c r="G43" s="4">
        <f>IFERROR(__xludf.DUMMYFUNCTION("""COMPUTED_VALUE"""),169344.0)</f>
        <v>169344</v>
      </c>
      <c r="H43" s="9">
        <f>IFERROR(__xludf.DUMMYFUNCTION("""COMPUTED_VALUE"""),1.32264)</f>
        <v>1.32264</v>
      </c>
      <c r="I43" s="4">
        <f>IFERROR(__xludf.DUMMYFUNCTION("""COMPUTED_VALUE"""),5826082.783752)</f>
        <v>5826082.784</v>
      </c>
      <c r="J43" s="4">
        <f>IFERROR(__xludf.DUMMYFUNCTION("""COMPUTED_VALUE"""),288.1323333333333)</f>
        <v>288.1323333</v>
      </c>
      <c r="K43" s="4">
        <f>IFERROR(__xludf.DUMMYFUNCTION("""COMPUTED_VALUE"""),5826370.916085334)</f>
        <v>5826370.916</v>
      </c>
    </row>
    <row r="44" ht="22.5" customHeight="1">
      <c r="A44" s="2" t="str">
        <f>IFERROR(__xludf.DUMMYFUNCTION("""COMPUTED_VALUE"""),"L1")</f>
        <v>L1</v>
      </c>
      <c r="B44" s="2" t="str">
        <f>IFERROR(__xludf.DUMMYFUNCTION("""COMPUTED_VALUE"""),"2026-07")</f>
        <v>2026-07</v>
      </c>
      <c r="C44" s="2" t="str">
        <f>IFERROR(__xludf.DUMMYFUNCTION("""COMPUTED_VALUE"""),"LSCBDSV0009-LX")</f>
        <v>LSCBDSV0009-LX</v>
      </c>
      <c r="D44" s="2">
        <f>IFERROR(__xludf.DUMMYFUNCTION("""COMPUTED_VALUE"""),610.0)</f>
        <v>610</v>
      </c>
      <c r="E44" s="2">
        <f>IFERROR(__xludf.DUMMYFUNCTION("""COMPUTED_VALUE"""),61.0)</f>
        <v>61</v>
      </c>
      <c r="F44" s="4">
        <f>IFERROR(__xludf.DUMMYFUNCTION("""COMPUTED_VALUE"""),5272821.699999999)</f>
        <v>5272821.7</v>
      </c>
      <c r="G44" s="4">
        <f>IFERROR(__xludf.DUMMYFUNCTION("""COMPUTED_VALUE"""),216550.0)</f>
        <v>216550</v>
      </c>
      <c r="H44" s="9">
        <f>IFERROR(__xludf.DUMMYFUNCTION("""COMPUTED_VALUE"""),1.32264)</f>
        <v>1.32264</v>
      </c>
      <c r="I44" s="4">
        <f>IFERROR(__xludf.DUMMYFUNCTION("""COMPUTED_VALUE"""),7260462.585287999)</f>
        <v>7260462.585</v>
      </c>
      <c r="J44" s="4">
        <f>IFERROR(__xludf.DUMMYFUNCTION("""COMPUTED_VALUE"""),17287.94)</f>
        <v>17287.94</v>
      </c>
      <c r="K44" s="4">
        <f>IFERROR(__xludf.DUMMYFUNCTION("""COMPUTED_VALUE"""),7277750.525288)</f>
        <v>7277750.525</v>
      </c>
    </row>
    <row r="45" ht="22.5" customHeight="1">
      <c r="A45" s="2" t="str">
        <f>IFERROR(__xludf.DUMMYFUNCTION("""COMPUTED_VALUE"""),"L1")</f>
        <v>L1</v>
      </c>
      <c r="B45" s="2" t="str">
        <f>IFERROR(__xludf.DUMMYFUNCTION("""COMPUTED_VALUE"""),"2026-08")</f>
        <v>2026-08</v>
      </c>
      <c r="C45" s="2" t="str">
        <f>IFERROR(__xludf.DUMMYFUNCTION("""COMPUTED_VALUE"""),"LSCBDSV0009-LX")</f>
        <v>LSCBDSV0009-LX</v>
      </c>
      <c r="D45" s="2">
        <f>IFERROR(__xludf.DUMMYFUNCTION("""COMPUTED_VALUE"""),470.0)</f>
        <v>470</v>
      </c>
      <c r="E45" s="2">
        <f>IFERROR(__xludf.DUMMYFUNCTION("""COMPUTED_VALUE"""),47.0)</f>
        <v>47</v>
      </c>
      <c r="F45" s="4">
        <f>IFERROR(__xludf.DUMMYFUNCTION("""COMPUTED_VALUE"""),4062665.9)</f>
        <v>4062665.9</v>
      </c>
      <c r="G45" s="4">
        <f>IFERROR(__xludf.DUMMYFUNCTION("""COMPUTED_VALUE"""),167414.0)</f>
        <v>167414</v>
      </c>
      <c r="H45" s="9">
        <f>IFERROR(__xludf.DUMMYFUNCTION("""COMPUTED_VALUE"""),1.32264)</f>
        <v>1.32264</v>
      </c>
      <c r="I45" s="4">
        <f>IFERROR(__xludf.DUMMYFUNCTION("""COMPUTED_VALUE"""),5594872.878936001)</f>
        <v>5594872.879</v>
      </c>
      <c r="J45" s="4">
        <f>IFERROR(__xludf.DUMMYFUNCTION("""COMPUTED_VALUE"""),14118.484333333332)</f>
        <v>14118.48433</v>
      </c>
      <c r="K45" s="4">
        <f>IFERROR(__xludf.DUMMYFUNCTION("""COMPUTED_VALUE"""),5608991.363269335)</f>
        <v>5608991.363</v>
      </c>
    </row>
    <row r="46" ht="22.5" customHeight="1">
      <c r="A46" s="2" t="str">
        <f>IFERROR(__xludf.DUMMYFUNCTION("""COMPUTED_VALUE"""),"L1")</f>
        <v>L1</v>
      </c>
      <c r="B46" s="2" t="str">
        <f>IFERROR(__xludf.DUMMYFUNCTION("""COMPUTED_VALUE"""),"2026-09")</f>
        <v>2026-09</v>
      </c>
      <c r="C46" s="2" t="str">
        <f>IFERROR(__xludf.DUMMYFUNCTION("""COMPUTED_VALUE"""),"LSCBDSV0009-LX")</f>
        <v>LSCBDSV0009-LX</v>
      </c>
      <c r="D46" s="2">
        <f>IFERROR(__xludf.DUMMYFUNCTION("""COMPUTED_VALUE"""),400.0)</f>
        <v>400</v>
      </c>
      <c r="E46" s="2">
        <f>IFERROR(__xludf.DUMMYFUNCTION("""COMPUTED_VALUE"""),40.0)</f>
        <v>40</v>
      </c>
      <c r="F46" s="4">
        <f>IFERROR(__xludf.DUMMYFUNCTION("""COMPUTED_VALUE"""),3457587.9999999995)</f>
        <v>3457588</v>
      </c>
      <c r="G46" s="4">
        <f>IFERROR(__xludf.DUMMYFUNCTION("""COMPUTED_VALUE"""),136160.0)</f>
        <v>136160</v>
      </c>
      <c r="H46" s="9">
        <f>IFERROR(__xludf.DUMMYFUNCTION("""COMPUTED_VALUE"""),1.32264)</f>
        <v>1.32264</v>
      </c>
      <c r="I46" s="4">
        <f>IFERROR(__xludf.DUMMYFUNCTION("""COMPUTED_VALUE"""),4753234.854719999)</f>
        <v>4753234.855</v>
      </c>
      <c r="J46" s="4">
        <f>IFERROR(__xludf.DUMMYFUNCTION("""COMPUTED_VALUE"""),864.3969999999999)</f>
        <v>864.397</v>
      </c>
      <c r="K46" s="4">
        <f>IFERROR(__xludf.DUMMYFUNCTION("""COMPUTED_VALUE"""),4754099.251719999)</f>
        <v>4754099.252</v>
      </c>
    </row>
    <row r="47" ht="22.5" customHeight="1">
      <c r="A47" s="2" t="str">
        <f>IFERROR(__xludf.DUMMYFUNCTION("""COMPUTED_VALUE"""),"L1")</f>
        <v>L1</v>
      </c>
      <c r="B47" s="2" t="str">
        <f>IFERROR(__xludf.DUMMYFUNCTION("""COMPUTED_VALUE"""),"2026-10")</f>
        <v>2026-10</v>
      </c>
      <c r="C47" s="2" t="str">
        <f>IFERROR(__xludf.DUMMYFUNCTION("""COMPUTED_VALUE"""),"LSCBDSV0009-LX")</f>
        <v>LSCBDSV0009-LX</v>
      </c>
      <c r="D47" s="2">
        <f>IFERROR(__xludf.DUMMYFUNCTION("""COMPUTED_VALUE"""),490.0)</f>
        <v>490</v>
      </c>
      <c r="E47" s="2">
        <f>IFERROR(__xludf.DUMMYFUNCTION("""COMPUTED_VALUE"""),49.0)</f>
        <v>49</v>
      </c>
      <c r="F47" s="4">
        <f>IFERROR(__xludf.DUMMYFUNCTION("""COMPUTED_VALUE"""),4235545.3)</f>
        <v>4235545.3</v>
      </c>
      <c r="G47" s="4">
        <f>IFERROR(__xludf.DUMMYFUNCTION("""COMPUTED_VALUE"""),167482.0)</f>
        <v>167482</v>
      </c>
      <c r="H47" s="9">
        <f>IFERROR(__xludf.DUMMYFUNCTION("""COMPUTED_VALUE"""),1.32264)</f>
        <v>1.32264</v>
      </c>
      <c r="I47" s="4">
        <f>IFERROR(__xludf.DUMMYFUNCTION("""COMPUTED_VALUE"""),5823620.028072)</f>
        <v>5823620.028</v>
      </c>
      <c r="J47" s="4">
        <f>IFERROR(__xludf.DUMMYFUNCTION("""COMPUTED_VALUE"""),576.2646666666666)</f>
        <v>576.2646667</v>
      </c>
      <c r="K47" s="4">
        <f>IFERROR(__xludf.DUMMYFUNCTION("""COMPUTED_VALUE"""),5824196.292738666)</f>
        <v>5824196.293</v>
      </c>
    </row>
    <row r="48" ht="22.5" customHeight="1">
      <c r="A48" s="2" t="str">
        <f>IFERROR(__xludf.DUMMYFUNCTION("""COMPUTED_VALUE"""),"L1")</f>
        <v>L1</v>
      </c>
      <c r="B48" s="2" t="str">
        <f>IFERROR(__xludf.DUMMYFUNCTION("""COMPUTED_VALUE"""),"2026-11")</f>
        <v>2026-11</v>
      </c>
      <c r="C48" s="2" t="str">
        <f>IFERROR(__xludf.DUMMYFUNCTION("""COMPUTED_VALUE"""),"LSCBDSV0009-LX")</f>
        <v>LSCBDSV0009-LX</v>
      </c>
      <c r="D48" s="2">
        <f>IFERROR(__xludf.DUMMYFUNCTION("""COMPUTED_VALUE"""),490.0)</f>
        <v>490</v>
      </c>
      <c r="E48" s="2">
        <f>IFERROR(__xludf.DUMMYFUNCTION("""COMPUTED_VALUE"""),49.0)</f>
        <v>49</v>
      </c>
      <c r="F48" s="4">
        <f>IFERROR(__xludf.DUMMYFUNCTION("""COMPUTED_VALUE"""),4235545.3)</f>
        <v>4235545.3</v>
      </c>
      <c r="G48" s="4">
        <f>IFERROR(__xludf.DUMMYFUNCTION("""COMPUTED_VALUE"""),178213.0)</f>
        <v>178213</v>
      </c>
      <c r="H48" s="9">
        <f>IFERROR(__xludf.DUMMYFUNCTION("""COMPUTED_VALUE"""),1.32264)</f>
        <v>1.32264</v>
      </c>
      <c r="I48" s="4">
        <f>IFERROR(__xludf.DUMMYFUNCTION("""COMPUTED_VALUE"""),5837813.277912)</f>
        <v>5837813.278</v>
      </c>
      <c r="J48" s="4">
        <f>IFERROR(__xludf.DUMMYFUNCTION("""COMPUTED_VALUE"""),288.1323333333333)</f>
        <v>288.1323333</v>
      </c>
      <c r="K48" s="4">
        <f>IFERROR(__xludf.DUMMYFUNCTION("""COMPUTED_VALUE"""),5838101.410245334)</f>
        <v>5838101.41</v>
      </c>
    </row>
    <row r="49" ht="22.5" customHeight="1">
      <c r="A49" s="2" t="str">
        <f>IFERROR(__xludf.DUMMYFUNCTION("""COMPUTED_VALUE"""),"L1")</f>
        <v>L1</v>
      </c>
      <c r="B49" s="2" t="str">
        <f>IFERROR(__xludf.DUMMYFUNCTION("""COMPUTED_VALUE"""),"2026-12")</f>
        <v>2026-12</v>
      </c>
      <c r="C49" s="2" t="str">
        <f>IFERROR(__xludf.DUMMYFUNCTION("""COMPUTED_VALUE"""),"LSCBDSV0009-LX")</f>
        <v>LSCBDSV0009-LX</v>
      </c>
      <c r="D49" s="2">
        <f>IFERROR(__xludf.DUMMYFUNCTION("""COMPUTED_VALUE"""),490.0)</f>
        <v>490</v>
      </c>
      <c r="E49" s="2">
        <f>IFERROR(__xludf.DUMMYFUNCTION("""COMPUTED_VALUE"""),49.0)</f>
        <v>49</v>
      </c>
      <c r="F49" s="4">
        <f>IFERROR(__xludf.DUMMYFUNCTION("""COMPUTED_VALUE"""),4235545.3)</f>
        <v>4235545.3</v>
      </c>
      <c r="G49" s="4">
        <f>IFERROR(__xludf.DUMMYFUNCTION("""COMPUTED_VALUE"""),189973.0)</f>
        <v>189973</v>
      </c>
      <c r="H49" s="9">
        <f>IFERROR(__xludf.DUMMYFUNCTION("""COMPUTED_VALUE"""),1.32264)</f>
        <v>1.32264</v>
      </c>
      <c r="I49" s="4">
        <f>IFERROR(__xludf.DUMMYFUNCTION("""COMPUTED_VALUE"""),5853367.524312)</f>
        <v>5853367.524</v>
      </c>
      <c r="J49" s="4">
        <f>IFERROR(__xludf.DUMMYFUNCTION("""COMPUTED_VALUE"""),0.0)</f>
        <v>0</v>
      </c>
      <c r="K49" s="4">
        <f>IFERROR(__xludf.DUMMYFUNCTION("""COMPUTED_VALUE"""),5853367.524312)</f>
        <v>5853367.524</v>
      </c>
    </row>
    <row r="50" ht="22.5" customHeight="1">
      <c r="A50" s="2" t="str">
        <f>IFERROR(__xludf.DUMMYFUNCTION("""COMPUTED_VALUE"""),"L1")</f>
        <v>L1</v>
      </c>
      <c r="B50" s="2" t="str">
        <f>IFERROR(__xludf.DUMMYFUNCTION("""COMPUTED_VALUE"""),"2026-01")</f>
        <v>2026-01</v>
      </c>
      <c r="C50" s="2" t="str">
        <f>IFERROR(__xludf.DUMMYFUNCTION("""COMPUTED_VALUE"""),"LSCCHSD0003")</f>
        <v>LSCCHSD0003</v>
      </c>
      <c r="D50" s="2">
        <f>IFERROR(__xludf.DUMMYFUNCTION("""COMPUTED_VALUE"""),0.0)</f>
        <v>0</v>
      </c>
      <c r="E50" s="2">
        <f>IFERROR(__xludf.DUMMYFUNCTION("""COMPUTED_VALUE"""),0.0)</f>
        <v>0</v>
      </c>
      <c r="F50" s="4">
        <f>IFERROR(__xludf.DUMMYFUNCTION("""COMPUTED_VALUE"""),0.0)</f>
        <v>0</v>
      </c>
      <c r="G50" s="4">
        <f>IFERROR(__xludf.DUMMYFUNCTION("""COMPUTED_VALUE"""),0.0)</f>
        <v>0</v>
      </c>
      <c r="H50" s="9">
        <f>IFERROR(__xludf.DUMMYFUNCTION("""COMPUTED_VALUE"""),1.32264)</f>
        <v>1.32264</v>
      </c>
      <c r="I50" s="4">
        <f>IFERROR(__xludf.DUMMYFUNCTION("""COMPUTED_VALUE"""),0.0)</f>
        <v>0</v>
      </c>
      <c r="J50" s="4">
        <f>IFERROR(__xludf.DUMMYFUNCTION("""COMPUTED_VALUE"""),0.0)</f>
        <v>0</v>
      </c>
      <c r="K50" s="4">
        <f>IFERROR(__xludf.DUMMYFUNCTION("""COMPUTED_VALUE"""),0.0)</f>
        <v>0</v>
      </c>
    </row>
    <row r="51" ht="22.5" customHeight="1">
      <c r="A51" s="2" t="str">
        <f>IFERROR(__xludf.DUMMYFUNCTION("""COMPUTED_VALUE"""),"L1")</f>
        <v>L1</v>
      </c>
      <c r="B51" s="2" t="str">
        <f>IFERROR(__xludf.DUMMYFUNCTION("""COMPUTED_VALUE"""),"2026-02")</f>
        <v>2026-02</v>
      </c>
      <c r="C51" s="2" t="str">
        <f>IFERROR(__xludf.DUMMYFUNCTION("""COMPUTED_VALUE"""),"LSCCHSD0003")</f>
        <v>LSCCHSD0003</v>
      </c>
      <c r="D51" s="2">
        <f>IFERROR(__xludf.DUMMYFUNCTION("""COMPUTED_VALUE"""),393.0)</f>
        <v>393</v>
      </c>
      <c r="E51" s="2">
        <f>IFERROR(__xludf.DUMMYFUNCTION("""COMPUTED_VALUE"""),20.0)</f>
        <v>20</v>
      </c>
      <c r="F51" s="4">
        <f>IFERROR(__xludf.DUMMYFUNCTION("""COMPUTED_VALUE"""),1590899.37)</f>
        <v>1590899.37</v>
      </c>
      <c r="G51" s="4">
        <f>IFERROR(__xludf.DUMMYFUNCTION("""COMPUTED_VALUE"""),64580.0)</f>
        <v>64580</v>
      </c>
      <c r="H51" s="9">
        <f>IFERROR(__xludf.DUMMYFUNCTION("""COMPUTED_VALUE"""),1.32264)</f>
        <v>1.32264</v>
      </c>
      <c r="I51" s="4">
        <f>IFERROR(__xludf.DUMMYFUNCTION("""COMPUTED_VALUE"""),2189603.2339368)</f>
        <v>2189603.234</v>
      </c>
      <c r="J51" s="4">
        <f>IFERROR(__xludf.DUMMYFUNCTION("""COMPUTED_VALUE"""),0.0)</f>
        <v>0</v>
      </c>
      <c r="K51" s="4">
        <f>IFERROR(__xludf.DUMMYFUNCTION("""COMPUTED_VALUE"""),2189603.2339368)</f>
        <v>2189603.234</v>
      </c>
    </row>
    <row r="52" ht="22.5" customHeight="1">
      <c r="A52" s="2" t="str">
        <f>IFERROR(__xludf.DUMMYFUNCTION("""COMPUTED_VALUE"""),"L1")</f>
        <v>L1</v>
      </c>
      <c r="B52" s="2" t="str">
        <f>IFERROR(__xludf.DUMMYFUNCTION("""COMPUTED_VALUE"""),"2026-03")</f>
        <v>2026-03</v>
      </c>
      <c r="C52" s="2" t="str">
        <f>IFERROR(__xludf.DUMMYFUNCTION("""COMPUTED_VALUE"""),"LSCCHSD0003")</f>
        <v>LSCCHSD0003</v>
      </c>
      <c r="D52" s="2">
        <f>IFERROR(__xludf.DUMMYFUNCTION("""COMPUTED_VALUE"""),760.0)</f>
        <v>760</v>
      </c>
      <c r="E52" s="2">
        <f>IFERROR(__xludf.DUMMYFUNCTION("""COMPUTED_VALUE"""),38.0)</f>
        <v>38</v>
      </c>
      <c r="F52" s="4">
        <f>IFERROR(__xludf.DUMMYFUNCTION("""COMPUTED_VALUE"""),3076548.4)</f>
        <v>3076548.4</v>
      </c>
      <c r="G52" s="4">
        <f>IFERROR(__xludf.DUMMYFUNCTION("""COMPUTED_VALUE"""),122360.0)</f>
        <v>122360</v>
      </c>
      <c r="H52" s="9">
        <f>IFERROR(__xludf.DUMMYFUNCTION("""COMPUTED_VALUE"""),1.32264)</f>
        <v>1.32264</v>
      </c>
      <c r="I52" s="4">
        <f>IFERROR(__xludf.DUMMYFUNCTION("""COMPUTED_VALUE"""),4231004.206176)</f>
        <v>4231004.206</v>
      </c>
      <c r="J52" s="4">
        <f>IFERROR(__xludf.DUMMYFUNCTION("""COMPUTED_VALUE"""),674.6816666666666)</f>
        <v>674.6816667</v>
      </c>
      <c r="K52" s="4">
        <f>IFERROR(__xludf.DUMMYFUNCTION("""COMPUTED_VALUE"""),4231678.887842666)</f>
        <v>4231678.888</v>
      </c>
    </row>
    <row r="53" ht="22.5" customHeight="1">
      <c r="A53" s="2" t="str">
        <f>IFERROR(__xludf.DUMMYFUNCTION("""COMPUTED_VALUE"""),"L1")</f>
        <v>L1</v>
      </c>
      <c r="B53" s="2" t="str">
        <f>IFERROR(__xludf.DUMMYFUNCTION("""COMPUTED_VALUE"""),"2026-04")</f>
        <v>2026-04</v>
      </c>
      <c r="C53" s="2" t="str">
        <f>IFERROR(__xludf.DUMMYFUNCTION("""COMPUTED_VALUE"""),"LSCCHSD0003")</f>
        <v>LSCCHSD0003</v>
      </c>
      <c r="D53" s="2">
        <f>IFERROR(__xludf.DUMMYFUNCTION("""COMPUTED_VALUE"""),740.0)</f>
        <v>740</v>
      </c>
      <c r="E53" s="2">
        <f>IFERROR(__xludf.DUMMYFUNCTION("""COMPUTED_VALUE"""),37.0)</f>
        <v>37</v>
      </c>
      <c r="F53" s="4">
        <f>IFERROR(__xludf.DUMMYFUNCTION("""COMPUTED_VALUE"""),2995586.6)</f>
        <v>2995586.6</v>
      </c>
      <c r="G53" s="4">
        <f>IFERROR(__xludf.DUMMYFUNCTION("""COMPUTED_VALUE"""),122988.0)</f>
        <v>122988</v>
      </c>
      <c r="H53" s="9">
        <f>IFERROR(__xludf.DUMMYFUNCTION("""COMPUTED_VALUE"""),1.32264)</f>
        <v>1.32264</v>
      </c>
      <c r="I53" s="4">
        <f>IFERROR(__xludf.DUMMYFUNCTION("""COMPUTED_VALUE"""),4124751.508944)</f>
        <v>4124751.509</v>
      </c>
      <c r="J53" s="4">
        <f>IFERROR(__xludf.DUMMYFUNCTION("""COMPUTED_VALUE"""),0.0)</f>
        <v>0</v>
      </c>
      <c r="K53" s="4">
        <f>IFERROR(__xludf.DUMMYFUNCTION("""COMPUTED_VALUE"""),4124751.508944)</f>
        <v>4124751.509</v>
      </c>
    </row>
    <row r="54" ht="22.5" customHeight="1">
      <c r="A54" s="2" t="str">
        <f>IFERROR(__xludf.DUMMYFUNCTION("""COMPUTED_VALUE"""),"L1")</f>
        <v>L1</v>
      </c>
      <c r="B54" s="2" t="str">
        <f>IFERROR(__xludf.DUMMYFUNCTION("""COMPUTED_VALUE"""),"2026-05")</f>
        <v>2026-05</v>
      </c>
      <c r="C54" s="2" t="str">
        <f>IFERROR(__xludf.DUMMYFUNCTION("""COMPUTED_VALUE"""),"LSCCHSD0003")</f>
        <v>LSCCHSD0003</v>
      </c>
      <c r="D54" s="2">
        <f>IFERROR(__xludf.DUMMYFUNCTION("""COMPUTED_VALUE"""),760.0)</f>
        <v>760</v>
      </c>
      <c r="E54" s="2">
        <f>IFERROR(__xludf.DUMMYFUNCTION("""COMPUTED_VALUE"""),38.0)</f>
        <v>38</v>
      </c>
      <c r="F54" s="4">
        <f>IFERROR(__xludf.DUMMYFUNCTION("""COMPUTED_VALUE"""),3076548.4)</f>
        <v>3076548.4</v>
      </c>
      <c r="G54" s="4">
        <f>IFERROR(__xludf.DUMMYFUNCTION("""COMPUTED_VALUE"""),127984.0)</f>
        <v>127984</v>
      </c>
      <c r="H54" s="9">
        <f>IFERROR(__xludf.DUMMYFUNCTION("""COMPUTED_VALUE"""),1.32264)</f>
        <v>1.32264</v>
      </c>
      <c r="I54" s="4">
        <f>IFERROR(__xludf.DUMMYFUNCTION("""COMPUTED_VALUE"""),4238442.733536)</f>
        <v>4238442.734</v>
      </c>
      <c r="J54" s="4">
        <f>IFERROR(__xludf.DUMMYFUNCTION("""COMPUTED_VALUE"""),674.6816666666666)</f>
        <v>674.6816667</v>
      </c>
      <c r="K54" s="4">
        <f>IFERROR(__xludf.DUMMYFUNCTION("""COMPUTED_VALUE"""),4239117.415202667)</f>
        <v>4239117.415</v>
      </c>
    </row>
    <row r="55" ht="22.5" customHeight="1">
      <c r="A55" s="2" t="str">
        <f>IFERROR(__xludf.DUMMYFUNCTION("""COMPUTED_VALUE"""),"L1")</f>
        <v>L1</v>
      </c>
      <c r="B55" s="2" t="str">
        <f>IFERROR(__xludf.DUMMYFUNCTION("""COMPUTED_VALUE"""),"2026-06")</f>
        <v>2026-06</v>
      </c>
      <c r="C55" s="2" t="str">
        <f>IFERROR(__xludf.DUMMYFUNCTION("""COMPUTED_VALUE"""),"LSCCHSD0003")</f>
        <v>LSCCHSD0003</v>
      </c>
      <c r="D55" s="2">
        <f>IFERROR(__xludf.DUMMYFUNCTION("""COMPUTED_VALUE"""),740.0)</f>
        <v>740</v>
      </c>
      <c r="E55" s="2">
        <f>IFERROR(__xludf.DUMMYFUNCTION("""COMPUTED_VALUE"""),37.0)</f>
        <v>37</v>
      </c>
      <c r="F55" s="4">
        <f>IFERROR(__xludf.DUMMYFUNCTION("""COMPUTED_VALUE"""),2995586.6)</f>
        <v>2995586.6</v>
      </c>
      <c r="G55" s="4">
        <f>IFERROR(__xludf.DUMMYFUNCTION("""COMPUTED_VALUE"""),127872.0)</f>
        <v>127872</v>
      </c>
      <c r="H55" s="9">
        <f>IFERROR(__xludf.DUMMYFUNCTION("""COMPUTED_VALUE"""),1.32264)</f>
        <v>1.32264</v>
      </c>
      <c r="I55" s="4">
        <f>IFERROR(__xludf.DUMMYFUNCTION("""COMPUTED_VALUE"""),4131211.2827040004)</f>
        <v>4131211.283</v>
      </c>
      <c r="J55" s="4">
        <f>IFERROR(__xludf.DUMMYFUNCTION("""COMPUTED_VALUE"""),0.0)</f>
        <v>0</v>
      </c>
      <c r="K55" s="4">
        <f>IFERROR(__xludf.DUMMYFUNCTION("""COMPUTED_VALUE"""),4131211.2827040004)</f>
        <v>4131211.283</v>
      </c>
    </row>
    <row r="56" ht="22.5" customHeight="1">
      <c r="A56" s="2" t="str">
        <f>IFERROR(__xludf.DUMMYFUNCTION("""COMPUTED_VALUE"""),"L1")</f>
        <v>L1</v>
      </c>
      <c r="B56" s="2" t="str">
        <f>IFERROR(__xludf.DUMMYFUNCTION("""COMPUTED_VALUE"""),"2026-07")</f>
        <v>2026-07</v>
      </c>
      <c r="C56" s="2" t="str">
        <f>IFERROR(__xludf.DUMMYFUNCTION("""COMPUTED_VALUE"""),"LSCCHSD0003")</f>
        <v>LSCCHSD0003</v>
      </c>
      <c r="D56" s="2">
        <f>IFERROR(__xludf.DUMMYFUNCTION("""COMPUTED_VALUE"""),760.0)</f>
        <v>760</v>
      </c>
      <c r="E56" s="2">
        <f>IFERROR(__xludf.DUMMYFUNCTION("""COMPUTED_VALUE"""),38.0)</f>
        <v>38</v>
      </c>
      <c r="F56" s="4">
        <f>IFERROR(__xludf.DUMMYFUNCTION("""COMPUTED_VALUE"""),3076548.4)</f>
        <v>3076548.4</v>
      </c>
      <c r="G56" s="4">
        <f>IFERROR(__xludf.DUMMYFUNCTION("""COMPUTED_VALUE"""),134900.0)</f>
        <v>134900</v>
      </c>
      <c r="H56" s="9">
        <f>IFERROR(__xludf.DUMMYFUNCTION("""COMPUTED_VALUE"""),1.32264)</f>
        <v>1.32264</v>
      </c>
      <c r="I56" s="4">
        <f>IFERROR(__xludf.DUMMYFUNCTION("""COMPUTED_VALUE"""),4247590.111776)</f>
        <v>4247590.112</v>
      </c>
      <c r="J56" s="4">
        <f>IFERROR(__xludf.DUMMYFUNCTION("""COMPUTED_VALUE"""),674.6816666666666)</f>
        <v>674.6816667</v>
      </c>
      <c r="K56" s="4">
        <f>IFERROR(__xludf.DUMMYFUNCTION("""COMPUTED_VALUE"""),4248264.7934426665)</f>
        <v>4248264.793</v>
      </c>
    </row>
    <row r="57" ht="22.5" customHeight="1">
      <c r="A57" s="2" t="str">
        <f>IFERROR(__xludf.DUMMYFUNCTION("""COMPUTED_VALUE"""),"L1")</f>
        <v>L1</v>
      </c>
      <c r="B57" s="2" t="str">
        <f>IFERROR(__xludf.DUMMYFUNCTION("""COMPUTED_VALUE"""),"2026-08")</f>
        <v>2026-08</v>
      </c>
      <c r="C57" s="2" t="str">
        <f>IFERROR(__xludf.DUMMYFUNCTION("""COMPUTED_VALUE"""),"LSCCHSD0003")</f>
        <v>LSCCHSD0003</v>
      </c>
      <c r="D57" s="2">
        <f>IFERROR(__xludf.DUMMYFUNCTION("""COMPUTED_VALUE"""),760.0)</f>
        <v>760</v>
      </c>
      <c r="E57" s="2">
        <f>IFERROR(__xludf.DUMMYFUNCTION("""COMPUTED_VALUE"""),38.0)</f>
        <v>38</v>
      </c>
      <c r="F57" s="4">
        <f>IFERROR(__xludf.DUMMYFUNCTION("""COMPUTED_VALUE"""),3076548.4)</f>
        <v>3076548.4</v>
      </c>
      <c r="G57" s="4">
        <f>IFERROR(__xludf.DUMMYFUNCTION("""COMPUTED_VALUE"""),135356.0)</f>
        <v>135356</v>
      </c>
      <c r="H57" s="9">
        <f>IFERROR(__xludf.DUMMYFUNCTION("""COMPUTED_VALUE"""),1.32264)</f>
        <v>1.32264</v>
      </c>
      <c r="I57" s="4">
        <f>IFERROR(__xludf.DUMMYFUNCTION("""COMPUTED_VALUE"""),4248193.235616)</f>
        <v>4248193.236</v>
      </c>
      <c r="J57" s="4">
        <f>IFERROR(__xludf.DUMMYFUNCTION("""COMPUTED_VALUE"""),1349.3633333333332)</f>
        <v>1349.363333</v>
      </c>
      <c r="K57" s="4">
        <f>IFERROR(__xludf.DUMMYFUNCTION("""COMPUTED_VALUE"""),4249542.598949334)</f>
        <v>4249542.599</v>
      </c>
    </row>
    <row r="58" ht="22.5" customHeight="1">
      <c r="A58" s="2" t="str">
        <f>IFERROR(__xludf.DUMMYFUNCTION("""COMPUTED_VALUE"""),"L1")</f>
        <v>L1</v>
      </c>
      <c r="B58" s="2" t="str">
        <f>IFERROR(__xludf.DUMMYFUNCTION("""COMPUTED_VALUE"""),"2026-09")</f>
        <v>2026-09</v>
      </c>
      <c r="C58" s="2" t="str">
        <f>IFERROR(__xludf.DUMMYFUNCTION("""COMPUTED_VALUE"""),"LSCCHSD0003")</f>
        <v>LSCCHSD0003</v>
      </c>
      <c r="D58" s="2">
        <f>IFERROR(__xludf.DUMMYFUNCTION("""COMPUTED_VALUE"""),760.0)</f>
        <v>760</v>
      </c>
      <c r="E58" s="2">
        <f>IFERROR(__xludf.DUMMYFUNCTION("""COMPUTED_VALUE"""),38.0)</f>
        <v>38</v>
      </c>
      <c r="F58" s="4">
        <f>IFERROR(__xludf.DUMMYFUNCTION("""COMPUTED_VALUE"""),3076548.4)</f>
        <v>3076548.4</v>
      </c>
      <c r="G58" s="4">
        <f>IFERROR(__xludf.DUMMYFUNCTION("""COMPUTED_VALUE"""),129352.0)</f>
        <v>129352</v>
      </c>
      <c r="H58" s="9">
        <f>IFERROR(__xludf.DUMMYFUNCTION("""COMPUTED_VALUE"""),1.32264)</f>
        <v>1.32264</v>
      </c>
      <c r="I58" s="4">
        <f>IFERROR(__xludf.DUMMYFUNCTION("""COMPUTED_VALUE"""),4240252.105056)</f>
        <v>4240252.105</v>
      </c>
      <c r="J58" s="4">
        <f>IFERROR(__xludf.DUMMYFUNCTION("""COMPUTED_VALUE"""),2024.0449999999998)</f>
        <v>2024.045</v>
      </c>
      <c r="K58" s="4">
        <f>IFERROR(__xludf.DUMMYFUNCTION("""COMPUTED_VALUE"""),4242276.150056)</f>
        <v>4242276.15</v>
      </c>
    </row>
    <row r="59" ht="22.5" customHeight="1">
      <c r="A59" s="2" t="str">
        <f>IFERROR(__xludf.DUMMYFUNCTION("""COMPUTED_VALUE"""),"L1")</f>
        <v>L1</v>
      </c>
      <c r="B59" s="2" t="str">
        <f>IFERROR(__xludf.DUMMYFUNCTION("""COMPUTED_VALUE"""),"2026-10")</f>
        <v>2026-10</v>
      </c>
      <c r="C59" s="2" t="str">
        <f>IFERROR(__xludf.DUMMYFUNCTION("""COMPUTED_VALUE"""),"LSCCHSD0003")</f>
        <v>LSCCHSD0003</v>
      </c>
      <c r="D59" s="2">
        <f>IFERROR(__xludf.DUMMYFUNCTION("""COMPUTED_VALUE"""),720.0)</f>
        <v>720</v>
      </c>
      <c r="E59" s="2">
        <f>IFERROR(__xludf.DUMMYFUNCTION("""COMPUTED_VALUE"""),36.0)</f>
        <v>36</v>
      </c>
      <c r="F59" s="4">
        <f>IFERROR(__xludf.DUMMYFUNCTION("""COMPUTED_VALUE"""),2914624.8000000003)</f>
        <v>2914624.8</v>
      </c>
      <c r="G59" s="4">
        <f>IFERROR(__xludf.DUMMYFUNCTION("""COMPUTED_VALUE"""),123048.0)</f>
        <v>123048</v>
      </c>
      <c r="H59" s="9">
        <f>IFERROR(__xludf.DUMMYFUNCTION("""COMPUTED_VALUE"""),1.32264)</f>
        <v>1.32264</v>
      </c>
      <c r="I59" s="4">
        <f>IFERROR(__xludf.DUMMYFUNCTION("""COMPUTED_VALUE"""),4017747.5521920007)</f>
        <v>4017747.552</v>
      </c>
      <c r="J59" s="4">
        <f>IFERROR(__xludf.DUMMYFUNCTION("""COMPUTED_VALUE"""),0.0)</f>
        <v>0</v>
      </c>
      <c r="K59" s="4">
        <f>IFERROR(__xludf.DUMMYFUNCTION("""COMPUTED_VALUE"""),4017747.5521920007)</f>
        <v>4017747.552</v>
      </c>
    </row>
    <row r="60" ht="22.5" customHeight="1">
      <c r="A60" s="2" t="str">
        <f>IFERROR(__xludf.DUMMYFUNCTION("""COMPUTED_VALUE"""),"L1")</f>
        <v>L1</v>
      </c>
      <c r="B60" s="2" t="str">
        <f>IFERROR(__xludf.DUMMYFUNCTION("""COMPUTED_VALUE"""),"2026-11")</f>
        <v>2026-11</v>
      </c>
      <c r="C60" s="2" t="str">
        <f>IFERROR(__xludf.DUMMYFUNCTION("""COMPUTED_VALUE"""),"LSCCHSD0003")</f>
        <v>LSCCHSD0003</v>
      </c>
      <c r="D60" s="2">
        <f>IFERROR(__xludf.DUMMYFUNCTION("""COMPUTED_VALUE"""),780.0)</f>
        <v>780</v>
      </c>
      <c r="E60" s="2">
        <f>IFERROR(__xludf.DUMMYFUNCTION("""COMPUTED_VALUE"""),39.0)</f>
        <v>39</v>
      </c>
      <c r="F60" s="4">
        <f>IFERROR(__xludf.DUMMYFUNCTION("""COMPUTED_VALUE"""),3157510.2)</f>
        <v>3157510.2</v>
      </c>
      <c r="G60" s="4">
        <f>IFERROR(__xludf.DUMMYFUNCTION("""COMPUTED_VALUE"""),141843.0)</f>
        <v>141843</v>
      </c>
      <c r="H60" s="9">
        <f>IFERROR(__xludf.DUMMYFUNCTION("""COMPUTED_VALUE"""),1.32264)</f>
        <v>1.32264</v>
      </c>
      <c r="I60" s="4">
        <f>IFERROR(__xludf.DUMMYFUNCTION("""COMPUTED_VALUE"""),4363856.516448)</f>
        <v>4363856.516</v>
      </c>
      <c r="J60" s="4">
        <f>IFERROR(__xludf.DUMMYFUNCTION("""COMPUTED_VALUE"""),2024.0449999999998)</f>
        <v>2024.045</v>
      </c>
      <c r="K60" s="4">
        <f>IFERROR(__xludf.DUMMYFUNCTION("""COMPUTED_VALUE"""),4365880.561448)</f>
        <v>4365880.561</v>
      </c>
    </row>
    <row r="61" ht="22.5" customHeight="1">
      <c r="A61" s="2" t="str">
        <f>IFERROR(__xludf.DUMMYFUNCTION("""COMPUTED_VALUE"""),"L1")</f>
        <v>L1</v>
      </c>
      <c r="B61" s="2" t="str">
        <f>IFERROR(__xludf.DUMMYFUNCTION("""COMPUTED_VALUE"""),"2026-12")</f>
        <v>2026-12</v>
      </c>
      <c r="C61" s="2" t="str">
        <f>IFERROR(__xludf.DUMMYFUNCTION("""COMPUTED_VALUE"""),"LSCCHSD0003")</f>
        <v>LSCCHSD0003</v>
      </c>
      <c r="D61" s="2">
        <f>IFERROR(__xludf.DUMMYFUNCTION("""COMPUTED_VALUE"""),720.0)</f>
        <v>720</v>
      </c>
      <c r="E61" s="2">
        <f>IFERROR(__xludf.DUMMYFUNCTION("""COMPUTED_VALUE"""),36.0)</f>
        <v>36</v>
      </c>
      <c r="F61" s="4">
        <f>IFERROR(__xludf.DUMMYFUNCTION("""COMPUTED_VALUE"""),2914624.8000000003)</f>
        <v>2914624.8</v>
      </c>
      <c r="G61" s="4">
        <f>IFERROR(__xludf.DUMMYFUNCTION("""COMPUTED_VALUE"""),139572.0)</f>
        <v>139572</v>
      </c>
      <c r="H61" s="9">
        <f>IFERROR(__xludf.DUMMYFUNCTION("""COMPUTED_VALUE"""),1.32264)</f>
        <v>1.32264</v>
      </c>
      <c r="I61" s="4">
        <f>IFERROR(__xludf.DUMMYFUNCTION("""COMPUTED_VALUE"""),4039602.8555520005)</f>
        <v>4039602.856</v>
      </c>
      <c r="J61" s="4">
        <f>IFERROR(__xludf.DUMMYFUNCTION("""COMPUTED_VALUE"""),0.0)</f>
        <v>0</v>
      </c>
      <c r="K61" s="4">
        <f>IFERROR(__xludf.DUMMYFUNCTION("""COMPUTED_VALUE"""),4039602.8555520005)</f>
        <v>4039602.856</v>
      </c>
    </row>
    <row r="62" ht="22.5" customHeight="1">
      <c r="A62" s="2" t="str">
        <f>IFERROR(__xludf.DUMMYFUNCTION("""COMPUTED_VALUE"""),"L1")</f>
        <v>L1</v>
      </c>
      <c r="B62" s="2" t="str">
        <f>IFERROR(__xludf.DUMMYFUNCTION("""COMPUTED_VALUE"""),"2026-01")</f>
        <v>2026-01</v>
      </c>
      <c r="C62" s="2" t="str">
        <f>IFERROR(__xludf.DUMMYFUNCTION("""COMPUTED_VALUE"""),"LSCCHSD0003-LX")</f>
        <v>LSCCHSD0003-LX</v>
      </c>
      <c r="D62" s="2">
        <f>IFERROR(__xludf.DUMMYFUNCTION("""COMPUTED_VALUE"""),0.0)</f>
        <v>0</v>
      </c>
      <c r="E62" s="2">
        <f>IFERROR(__xludf.DUMMYFUNCTION("""COMPUTED_VALUE"""),0.0)</f>
        <v>0</v>
      </c>
      <c r="F62" s="4">
        <f>IFERROR(__xludf.DUMMYFUNCTION("""COMPUTED_VALUE"""),0.0)</f>
        <v>0</v>
      </c>
      <c r="G62" s="4">
        <f>IFERROR(__xludf.DUMMYFUNCTION("""COMPUTED_VALUE"""),0.0)</f>
        <v>0</v>
      </c>
      <c r="H62" s="9">
        <f>IFERROR(__xludf.DUMMYFUNCTION("""COMPUTED_VALUE"""),1.32264)</f>
        <v>1.32264</v>
      </c>
      <c r="I62" s="4">
        <f>IFERROR(__xludf.DUMMYFUNCTION("""COMPUTED_VALUE"""),0.0)</f>
        <v>0</v>
      </c>
      <c r="J62" s="4">
        <f>IFERROR(__xludf.DUMMYFUNCTION("""COMPUTED_VALUE"""),0.0)</f>
        <v>0</v>
      </c>
      <c r="K62" s="4">
        <f>IFERROR(__xludf.DUMMYFUNCTION("""COMPUTED_VALUE"""),0.0)</f>
        <v>0</v>
      </c>
    </row>
    <row r="63" ht="22.5" customHeight="1">
      <c r="A63" s="2" t="str">
        <f>IFERROR(__xludf.DUMMYFUNCTION("""COMPUTED_VALUE"""),"L1")</f>
        <v>L1</v>
      </c>
      <c r="B63" s="2" t="str">
        <f>IFERROR(__xludf.DUMMYFUNCTION("""COMPUTED_VALUE"""),"2026-02")</f>
        <v>2026-02</v>
      </c>
      <c r="C63" s="2" t="str">
        <f>IFERROR(__xludf.DUMMYFUNCTION("""COMPUTED_VALUE"""),"LSCCHSD0003-LX")</f>
        <v>LSCCHSD0003-LX</v>
      </c>
      <c r="D63" s="2">
        <f>IFERROR(__xludf.DUMMYFUNCTION("""COMPUTED_VALUE"""),69.0)</f>
        <v>69</v>
      </c>
      <c r="E63" s="2">
        <f>IFERROR(__xludf.DUMMYFUNCTION("""COMPUTED_VALUE"""),5.0)</f>
        <v>5</v>
      </c>
      <c r="F63" s="4">
        <f>IFERROR(__xludf.DUMMYFUNCTION("""COMPUTED_VALUE"""),760758.12)</f>
        <v>760758.12</v>
      </c>
      <c r="G63" s="4">
        <f>IFERROR(__xludf.DUMMYFUNCTION("""COMPUTED_VALUE"""),16145.0)</f>
        <v>16145</v>
      </c>
      <c r="H63" s="9">
        <f>IFERROR(__xludf.DUMMYFUNCTION("""COMPUTED_VALUE"""),1.32264)</f>
        <v>1.32264</v>
      </c>
      <c r="I63" s="4">
        <f>IFERROR(__xludf.DUMMYFUNCTION("""COMPUTED_VALUE"""),1027563.1426368001)</f>
        <v>1027563.143</v>
      </c>
      <c r="J63" s="4">
        <f>IFERROR(__xludf.DUMMYFUNCTION("""COMPUTED_VALUE"""),0.0)</f>
        <v>0</v>
      </c>
      <c r="K63" s="4">
        <f>IFERROR(__xludf.DUMMYFUNCTION("""COMPUTED_VALUE"""),1027563.1426368001)</f>
        <v>1027563.143</v>
      </c>
    </row>
    <row r="64" ht="22.5" customHeight="1">
      <c r="A64" s="2" t="str">
        <f>IFERROR(__xludf.DUMMYFUNCTION("""COMPUTED_VALUE"""),"L1")</f>
        <v>L1</v>
      </c>
      <c r="B64" s="2" t="str">
        <f>IFERROR(__xludf.DUMMYFUNCTION("""COMPUTED_VALUE"""),"2026-03")</f>
        <v>2026-03</v>
      </c>
      <c r="C64" s="2" t="str">
        <f>IFERROR(__xludf.DUMMYFUNCTION("""COMPUTED_VALUE"""),"LSCCHSD0003-LX")</f>
        <v>LSCCHSD0003-LX</v>
      </c>
      <c r="D64" s="2">
        <f>IFERROR(__xludf.DUMMYFUNCTION("""COMPUTED_VALUE"""),499.0)</f>
        <v>499</v>
      </c>
      <c r="E64" s="2">
        <f>IFERROR(__xludf.DUMMYFUNCTION("""COMPUTED_VALUE"""),36.0)</f>
        <v>36</v>
      </c>
      <c r="F64" s="4">
        <f>IFERROR(__xludf.DUMMYFUNCTION("""COMPUTED_VALUE"""),5501714.52)</f>
        <v>5501714.52</v>
      </c>
      <c r="G64" s="4">
        <f>IFERROR(__xludf.DUMMYFUNCTION("""COMPUTED_VALUE"""),115920.0)</f>
        <v>115920</v>
      </c>
      <c r="H64" s="9">
        <f>IFERROR(__xludf.DUMMYFUNCTION("""COMPUTED_VALUE"""),1.32264)</f>
        <v>1.32264</v>
      </c>
      <c r="I64" s="4">
        <f>IFERROR(__xludf.DUMMYFUNCTION("""COMPUTED_VALUE"""),7430108.1215328)</f>
        <v>7430108.122</v>
      </c>
      <c r="J64" s="4">
        <f>IFERROR(__xludf.DUMMYFUNCTION("""COMPUTED_VALUE"""),0.0)</f>
        <v>0</v>
      </c>
      <c r="K64" s="4">
        <f>IFERROR(__xludf.DUMMYFUNCTION("""COMPUTED_VALUE"""),7430108.1215328)</f>
        <v>7430108.122</v>
      </c>
    </row>
    <row r="65" ht="22.5" customHeight="1">
      <c r="A65" s="2" t="str">
        <f>IFERROR(__xludf.DUMMYFUNCTION("""COMPUTED_VALUE"""),"L1")</f>
        <v>L1</v>
      </c>
      <c r="B65" s="2" t="str">
        <f>IFERROR(__xludf.DUMMYFUNCTION("""COMPUTED_VALUE"""),"2026-04")</f>
        <v>2026-04</v>
      </c>
      <c r="C65" s="2" t="str">
        <f>IFERROR(__xludf.DUMMYFUNCTION("""COMPUTED_VALUE"""),"LSCCHSD0003-LX")</f>
        <v>LSCCHSD0003-LX</v>
      </c>
      <c r="D65" s="2">
        <f>IFERROR(__xludf.DUMMYFUNCTION("""COMPUTED_VALUE"""),504.0)</f>
        <v>504</v>
      </c>
      <c r="E65" s="2">
        <f>IFERROR(__xludf.DUMMYFUNCTION("""COMPUTED_VALUE"""),36.0)</f>
        <v>36</v>
      </c>
      <c r="F65" s="4">
        <f>IFERROR(__xludf.DUMMYFUNCTION("""COMPUTED_VALUE"""),5556841.92)</f>
        <v>5556841.92</v>
      </c>
      <c r="G65" s="4">
        <f>IFERROR(__xludf.DUMMYFUNCTION("""COMPUTED_VALUE"""),119664.0)</f>
        <v>119664</v>
      </c>
      <c r="H65" s="9">
        <f>IFERROR(__xludf.DUMMYFUNCTION("""COMPUTED_VALUE"""),1.32264)</f>
        <v>1.32264</v>
      </c>
      <c r="I65" s="4">
        <f>IFERROR(__xludf.DUMMYFUNCTION("""COMPUTED_VALUE"""),7507973.7900288)</f>
        <v>7507973.79</v>
      </c>
      <c r="J65" s="4">
        <f>IFERROR(__xludf.DUMMYFUNCTION("""COMPUTED_VALUE"""),918.79)</f>
        <v>918.79</v>
      </c>
      <c r="K65" s="4">
        <f>IFERROR(__xludf.DUMMYFUNCTION("""COMPUTED_VALUE"""),7508892.5800288)</f>
        <v>7508892.58</v>
      </c>
    </row>
    <row r="66" ht="22.5" customHeight="1">
      <c r="A66" s="2" t="str">
        <f>IFERROR(__xludf.DUMMYFUNCTION("""COMPUTED_VALUE"""),"L1")</f>
        <v>L1</v>
      </c>
      <c r="B66" s="2" t="str">
        <f>IFERROR(__xludf.DUMMYFUNCTION("""COMPUTED_VALUE"""),"2026-05")</f>
        <v>2026-05</v>
      </c>
      <c r="C66" s="2" t="str">
        <f>IFERROR(__xludf.DUMMYFUNCTION("""COMPUTED_VALUE"""),"LSCCHSD0003-LX")</f>
        <v>LSCCHSD0003-LX</v>
      </c>
      <c r="D66" s="2">
        <f>IFERROR(__xludf.DUMMYFUNCTION("""COMPUTED_VALUE"""),501.0)</f>
        <v>501</v>
      </c>
      <c r="E66" s="2">
        <f>IFERROR(__xludf.DUMMYFUNCTION("""COMPUTED_VALUE"""),36.0)</f>
        <v>36</v>
      </c>
      <c r="F66" s="4">
        <f>IFERROR(__xludf.DUMMYFUNCTION("""COMPUTED_VALUE"""),5523765.4799999995)</f>
        <v>5523765.48</v>
      </c>
      <c r="G66" s="4">
        <f>IFERROR(__xludf.DUMMYFUNCTION("""COMPUTED_VALUE"""),121248.0)</f>
        <v>121248</v>
      </c>
      <c r="H66" s="9">
        <f>IFERROR(__xludf.DUMMYFUNCTION("""COMPUTED_VALUE"""),1.32264)</f>
        <v>1.32264</v>
      </c>
      <c r="I66" s="4">
        <f>IFERROR(__xludf.DUMMYFUNCTION("""COMPUTED_VALUE"""),7466320.629187199)</f>
        <v>7466320.629</v>
      </c>
      <c r="J66" s="4">
        <f>IFERROR(__xludf.DUMMYFUNCTION("""COMPUTED_VALUE"""),1286.3059999999998)</f>
        <v>1286.306</v>
      </c>
      <c r="K66" s="4">
        <f>IFERROR(__xludf.DUMMYFUNCTION("""COMPUTED_VALUE"""),7467606.935187199)</f>
        <v>7467606.935</v>
      </c>
    </row>
    <row r="67" ht="22.5" customHeight="1">
      <c r="A67" s="2" t="str">
        <f>IFERROR(__xludf.DUMMYFUNCTION("""COMPUTED_VALUE"""),"L1")</f>
        <v>L1</v>
      </c>
      <c r="B67" s="2" t="str">
        <f>IFERROR(__xludf.DUMMYFUNCTION("""COMPUTED_VALUE"""),"2026-06")</f>
        <v>2026-06</v>
      </c>
      <c r="C67" s="2" t="str">
        <f>IFERROR(__xludf.DUMMYFUNCTION("""COMPUTED_VALUE"""),"LSCCHSD0003-LX")</f>
        <v>LSCCHSD0003-LX</v>
      </c>
      <c r="D67" s="2">
        <f>IFERROR(__xludf.DUMMYFUNCTION("""COMPUTED_VALUE"""),504.0)</f>
        <v>504</v>
      </c>
      <c r="E67" s="2">
        <f>IFERROR(__xludf.DUMMYFUNCTION("""COMPUTED_VALUE"""),36.0)</f>
        <v>36</v>
      </c>
      <c r="F67" s="4">
        <f>IFERROR(__xludf.DUMMYFUNCTION("""COMPUTED_VALUE"""),5556841.92)</f>
        <v>5556841.92</v>
      </c>
      <c r="G67" s="4">
        <f>IFERROR(__xludf.DUMMYFUNCTION("""COMPUTED_VALUE"""),124416.0)</f>
        <v>124416</v>
      </c>
      <c r="H67" s="9">
        <f>IFERROR(__xludf.DUMMYFUNCTION("""COMPUTED_VALUE"""),1.32264)</f>
        <v>1.32264</v>
      </c>
      <c r="I67" s="4">
        <f>IFERROR(__xludf.DUMMYFUNCTION("""COMPUTED_VALUE"""),7514258.9753088)</f>
        <v>7514258.975</v>
      </c>
      <c r="J67" s="4">
        <f>IFERROR(__xludf.DUMMYFUNCTION("""COMPUTED_VALUE"""),2205.0959999999995)</f>
        <v>2205.096</v>
      </c>
      <c r="K67" s="4">
        <f>IFERROR(__xludf.DUMMYFUNCTION("""COMPUTED_VALUE"""),7516464.0713088)</f>
        <v>7516464.071</v>
      </c>
    </row>
    <row r="68" ht="22.5" customHeight="1">
      <c r="A68" s="2" t="str">
        <f>IFERROR(__xludf.DUMMYFUNCTION("""COMPUTED_VALUE"""),"L1")</f>
        <v>L1</v>
      </c>
      <c r="B68" s="2" t="str">
        <f>IFERROR(__xludf.DUMMYFUNCTION("""COMPUTED_VALUE"""),"2026-07")</f>
        <v>2026-07</v>
      </c>
      <c r="C68" s="2" t="str">
        <f>IFERROR(__xludf.DUMMYFUNCTION("""COMPUTED_VALUE"""),"LSCCHSD0003-LX")</f>
        <v>LSCCHSD0003-LX</v>
      </c>
      <c r="D68" s="2">
        <f>IFERROR(__xludf.DUMMYFUNCTION("""COMPUTED_VALUE"""),490.0)</f>
        <v>490</v>
      </c>
      <c r="E68" s="2">
        <f>IFERROR(__xludf.DUMMYFUNCTION("""COMPUTED_VALUE"""),35.0)</f>
        <v>35</v>
      </c>
      <c r="F68" s="4">
        <f>IFERROR(__xludf.DUMMYFUNCTION("""COMPUTED_VALUE"""),5402485.2)</f>
        <v>5402485.2</v>
      </c>
      <c r="G68" s="4">
        <f>IFERROR(__xludf.DUMMYFUNCTION("""COMPUTED_VALUE"""),124250.0)</f>
        <v>124250</v>
      </c>
      <c r="H68" s="9">
        <f>IFERROR(__xludf.DUMMYFUNCTION("""COMPUTED_VALUE"""),1.32264)</f>
        <v>1.32264</v>
      </c>
      <c r="I68" s="4">
        <f>IFERROR(__xludf.DUMMYFUNCTION("""COMPUTED_VALUE"""),7309881.044928)</f>
        <v>7309881.045</v>
      </c>
      <c r="J68" s="4">
        <f>IFERROR(__xludf.DUMMYFUNCTION("""COMPUTED_VALUE"""),551.2739999999999)</f>
        <v>551.274</v>
      </c>
      <c r="K68" s="4">
        <f>IFERROR(__xludf.DUMMYFUNCTION("""COMPUTED_VALUE"""),7310432.3189280005)</f>
        <v>7310432.319</v>
      </c>
    </row>
    <row r="69" ht="22.5" customHeight="1">
      <c r="A69" s="2" t="str">
        <f>IFERROR(__xludf.DUMMYFUNCTION("""COMPUTED_VALUE"""),"L1")</f>
        <v>L1</v>
      </c>
      <c r="B69" s="2" t="str">
        <f>IFERROR(__xludf.DUMMYFUNCTION("""COMPUTED_VALUE"""),"2026-08")</f>
        <v>2026-08</v>
      </c>
      <c r="C69" s="2" t="str">
        <f>IFERROR(__xludf.DUMMYFUNCTION("""COMPUTED_VALUE"""),"LSCCHSD0003-LX")</f>
        <v>LSCCHSD0003-LX</v>
      </c>
      <c r="D69" s="2">
        <f>IFERROR(__xludf.DUMMYFUNCTION("""COMPUTED_VALUE"""),322.0)</f>
        <v>322</v>
      </c>
      <c r="E69" s="2">
        <f>IFERROR(__xludf.DUMMYFUNCTION("""COMPUTED_VALUE"""),23.0)</f>
        <v>23</v>
      </c>
      <c r="F69" s="4">
        <f>IFERROR(__xludf.DUMMYFUNCTION("""COMPUTED_VALUE"""),3550204.56)</f>
        <v>3550204.56</v>
      </c>
      <c r="G69" s="4">
        <f>IFERROR(__xludf.DUMMYFUNCTION("""COMPUTED_VALUE"""),81926.0)</f>
        <v>81926</v>
      </c>
      <c r="H69" s="9">
        <f>IFERROR(__xludf.DUMMYFUNCTION("""COMPUTED_VALUE"""),1.32264)</f>
        <v>1.32264</v>
      </c>
      <c r="I69" s="4">
        <f>IFERROR(__xludf.DUMMYFUNCTION("""COMPUTED_VALUE"""),4804001.1638784)</f>
        <v>4804001.164</v>
      </c>
      <c r="J69" s="4">
        <f>IFERROR(__xludf.DUMMYFUNCTION("""COMPUTED_VALUE"""),0.0)</f>
        <v>0</v>
      </c>
      <c r="K69" s="4">
        <f>IFERROR(__xludf.DUMMYFUNCTION("""COMPUTED_VALUE"""),4804001.1638784)</f>
        <v>4804001.164</v>
      </c>
    </row>
    <row r="70" ht="22.5" customHeight="1">
      <c r="A70" s="2" t="str">
        <f>IFERROR(__xludf.DUMMYFUNCTION("""COMPUTED_VALUE"""),"L1")</f>
        <v>L1</v>
      </c>
      <c r="B70" s="2" t="str">
        <f>IFERROR(__xludf.DUMMYFUNCTION("""COMPUTED_VALUE"""),"2026-09")</f>
        <v>2026-09</v>
      </c>
      <c r="C70" s="2" t="str">
        <f>IFERROR(__xludf.DUMMYFUNCTION("""COMPUTED_VALUE"""),"LSCCHSD0003-LX")</f>
        <v>LSCCHSD0003-LX</v>
      </c>
      <c r="D70" s="2">
        <f>IFERROR(__xludf.DUMMYFUNCTION("""COMPUTED_VALUE"""),511.0)</f>
        <v>511</v>
      </c>
      <c r="E70" s="2">
        <f>IFERROR(__xludf.DUMMYFUNCTION("""COMPUTED_VALUE"""),37.0)</f>
        <v>37</v>
      </c>
      <c r="F70" s="4">
        <f>IFERROR(__xludf.DUMMYFUNCTION("""COMPUTED_VALUE"""),5634020.279999999)</f>
        <v>5634020.28</v>
      </c>
      <c r="G70" s="4">
        <f>IFERROR(__xludf.DUMMYFUNCTION("""COMPUTED_VALUE"""),125948.0)</f>
        <v>125948</v>
      </c>
      <c r="H70" s="9">
        <f>IFERROR(__xludf.DUMMYFUNCTION("""COMPUTED_VALUE"""),1.32264)</f>
        <v>1.32264</v>
      </c>
      <c r="I70" s="4">
        <f>IFERROR(__xludf.DUMMYFUNCTION("""COMPUTED_VALUE"""),7618364.445859199)</f>
        <v>7618364.446</v>
      </c>
      <c r="J70" s="4">
        <f>IFERROR(__xludf.DUMMYFUNCTION("""COMPUTED_VALUE"""),2205.0959999999995)</f>
        <v>2205.096</v>
      </c>
      <c r="K70" s="4">
        <f>IFERROR(__xludf.DUMMYFUNCTION("""COMPUTED_VALUE"""),7620569.541859199)</f>
        <v>7620569.542</v>
      </c>
    </row>
    <row r="71" ht="22.5" customHeight="1">
      <c r="A71" s="2" t="str">
        <f>IFERROR(__xludf.DUMMYFUNCTION("""COMPUTED_VALUE"""),"L1")</f>
        <v>L1</v>
      </c>
      <c r="B71" s="2" t="str">
        <f>IFERROR(__xludf.DUMMYFUNCTION("""COMPUTED_VALUE"""),"2026-10")</f>
        <v>2026-10</v>
      </c>
      <c r="C71" s="2" t="str">
        <f>IFERROR(__xludf.DUMMYFUNCTION("""COMPUTED_VALUE"""),"LSCCHSD0003-LX")</f>
        <v>LSCCHSD0003-LX</v>
      </c>
      <c r="D71" s="2">
        <f>IFERROR(__xludf.DUMMYFUNCTION("""COMPUTED_VALUE"""),490.0)</f>
        <v>490</v>
      </c>
      <c r="E71" s="2">
        <f>IFERROR(__xludf.DUMMYFUNCTION("""COMPUTED_VALUE"""),35.0)</f>
        <v>35</v>
      </c>
      <c r="F71" s="4">
        <f>IFERROR(__xludf.DUMMYFUNCTION("""COMPUTED_VALUE"""),5402485.2)</f>
        <v>5402485.2</v>
      </c>
      <c r="G71" s="4">
        <f>IFERROR(__xludf.DUMMYFUNCTION("""COMPUTED_VALUE"""),119630.0)</f>
        <v>119630</v>
      </c>
      <c r="H71" s="9">
        <f>IFERROR(__xludf.DUMMYFUNCTION("""COMPUTED_VALUE"""),1.32264)</f>
        <v>1.32264</v>
      </c>
      <c r="I71" s="4">
        <f>IFERROR(__xludf.DUMMYFUNCTION("""COMPUTED_VALUE"""),7303770.448128001)</f>
        <v>7303770.448</v>
      </c>
      <c r="J71" s="4">
        <f>IFERROR(__xludf.DUMMYFUNCTION("""COMPUTED_VALUE"""),551.2739999999999)</f>
        <v>551.274</v>
      </c>
      <c r="K71" s="4">
        <f>IFERROR(__xludf.DUMMYFUNCTION("""COMPUTED_VALUE"""),7304321.722128001)</f>
        <v>7304321.722</v>
      </c>
    </row>
    <row r="72" ht="22.5" customHeight="1">
      <c r="A72" s="2" t="str">
        <f>IFERROR(__xludf.DUMMYFUNCTION("""COMPUTED_VALUE"""),"L1")</f>
        <v>L1</v>
      </c>
      <c r="B72" s="2" t="str">
        <f>IFERROR(__xludf.DUMMYFUNCTION("""COMPUTED_VALUE"""),"2026-11")</f>
        <v>2026-11</v>
      </c>
      <c r="C72" s="2" t="str">
        <f>IFERROR(__xludf.DUMMYFUNCTION("""COMPUTED_VALUE"""),"LSCCHSD0003-LX")</f>
        <v>LSCCHSD0003-LX</v>
      </c>
      <c r="D72" s="2">
        <f>IFERROR(__xludf.DUMMYFUNCTION("""COMPUTED_VALUE"""),364.0)</f>
        <v>364</v>
      </c>
      <c r="E72" s="2">
        <f>IFERROR(__xludf.DUMMYFUNCTION("""COMPUTED_VALUE"""),26.0)</f>
        <v>26</v>
      </c>
      <c r="F72" s="4">
        <f>IFERROR(__xludf.DUMMYFUNCTION("""COMPUTED_VALUE"""),4013274.7199999997)</f>
        <v>4013274.72</v>
      </c>
      <c r="G72" s="4">
        <f>IFERROR(__xludf.DUMMYFUNCTION("""COMPUTED_VALUE"""),94562.0)</f>
        <v>94562</v>
      </c>
      <c r="H72" s="9">
        <f>IFERROR(__xludf.DUMMYFUNCTION("""COMPUTED_VALUE"""),1.32264)</f>
        <v>1.32264</v>
      </c>
      <c r="I72" s="4">
        <f>IFERROR(__xludf.DUMMYFUNCTION("""COMPUTED_VALUE"""),5433189.1593408)</f>
        <v>5433189.159</v>
      </c>
      <c r="J72" s="4">
        <f>IFERROR(__xludf.DUMMYFUNCTION("""COMPUTED_VALUE"""),1653.822)</f>
        <v>1653.822</v>
      </c>
      <c r="K72" s="4">
        <f>IFERROR(__xludf.DUMMYFUNCTION("""COMPUTED_VALUE"""),5434842.9813407995)</f>
        <v>5434842.981</v>
      </c>
    </row>
    <row r="73" ht="22.5" customHeight="1">
      <c r="A73" s="2" t="str">
        <f>IFERROR(__xludf.DUMMYFUNCTION("""COMPUTED_VALUE"""),"L1")</f>
        <v>L1</v>
      </c>
      <c r="B73" s="2" t="str">
        <f>IFERROR(__xludf.DUMMYFUNCTION("""COMPUTED_VALUE"""),"2026-12")</f>
        <v>2026-12</v>
      </c>
      <c r="C73" s="2" t="str">
        <f>IFERROR(__xludf.DUMMYFUNCTION("""COMPUTED_VALUE"""),"LSCCHSD0003-LX")</f>
        <v>LSCCHSD0003-LX</v>
      </c>
      <c r="D73" s="2">
        <f>IFERROR(__xludf.DUMMYFUNCTION("""COMPUTED_VALUE"""),490.0)</f>
        <v>490</v>
      </c>
      <c r="E73" s="2">
        <f>IFERROR(__xludf.DUMMYFUNCTION("""COMPUTED_VALUE"""),35.0)</f>
        <v>35</v>
      </c>
      <c r="F73" s="4">
        <f>IFERROR(__xludf.DUMMYFUNCTION("""COMPUTED_VALUE"""),5402485.2)</f>
        <v>5402485.2</v>
      </c>
      <c r="G73" s="4">
        <f>IFERROR(__xludf.DUMMYFUNCTION("""COMPUTED_VALUE"""),135695.0)</f>
        <v>135695</v>
      </c>
      <c r="H73" s="9">
        <f>IFERROR(__xludf.DUMMYFUNCTION("""COMPUTED_VALUE"""),1.32264)</f>
        <v>1.32264</v>
      </c>
      <c r="I73" s="4">
        <f>IFERROR(__xludf.DUMMYFUNCTION("""COMPUTED_VALUE"""),7325018.659728001)</f>
        <v>7325018.66</v>
      </c>
      <c r="J73" s="4">
        <f>IFERROR(__xludf.DUMMYFUNCTION("""COMPUTED_VALUE"""),0.0)</f>
        <v>0</v>
      </c>
      <c r="K73" s="4">
        <f>IFERROR(__xludf.DUMMYFUNCTION("""COMPUTED_VALUE"""),7325018.659728001)</f>
        <v>7325018.66</v>
      </c>
    </row>
    <row r="74" ht="22.5" customHeight="1">
      <c r="A74" s="2" t="str">
        <f>IFERROR(__xludf.DUMMYFUNCTION("""COMPUTED_VALUE"""),"L1")</f>
        <v>L1</v>
      </c>
      <c r="B74" s="2" t="str">
        <f>IFERROR(__xludf.DUMMYFUNCTION("""COMPUTED_VALUE"""),"2026-01")</f>
        <v>2026-01</v>
      </c>
      <c r="C74" s="2" t="str">
        <f>IFERROR(__xludf.DUMMYFUNCTION("""COMPUTED_VALUE"""),"LSCENSD0001")</f>
        <v>LSCENSD0001</v>
      </c>
      <c r="D74" s="2">
        <f>IFERROR(__xludf.DUMMYFUNCTION("""COMPUTED_VALUE"""),382.0)</f>
        <v>382</v>
      </c>
      <c r="E74" s="2">
        <f>IFERROR(__xludf.DUMMYFUNCTION("""COMPUTED_VALUE"""),39.0)</f>
        <v>39</v>
      </c>
      <c r="F74" s="4">
        <f>IFERROR(__xludf.DUMMYFUNCTION("""COMPUTED_VALUE"""),1546370.3800000001)</f>
        <v>1546370.38</v>
      </c>
      <c r="G74" s="4">
        <f>IFERROR(__xludf.DUMMYFUNCTION("""COMPUTED_VALUE"""),123708.0)</f>
        <v>123708</v>
      </c>
      <c r="H74" s="9">
        <f>IFERROR(__xludf.DUMMYFUNCTION("""COMPUTED_VALUE"""),1.32264)</f>
        <v>1.32264</v>
      </c>
      <c r="I74" s="4">
        <f>IFERROR(__xludf.DUMMYFUNCTION("""COMPUTED_VALUE"""),2208912.4685232)</f>
        <v>2208912.469</v>
      </c>
      <c r="J74" s="4">
        <f>IFERROR(__xludf.DUMMYFUNCTION("""COMPUTED_VALUE"""),134.93633333333332)</f>
        <v>134.9363333</v>
      </c>
      <c r="K74" s="4">
        <f>IFERROR(__xludf.DUMMYFUNCTION("""COMPUTED_VALUE"""),2209047.4048565333)</f>
        <v>2209047.405</v>
      </c>
    </row>
    <row r="75" ht="22.5" customHeight="1">
      <c r="A75" s="2" t="str">
        <f>IFERROR(__xludf.DUMMYFUNCTION("""COMPUTED_VALUE"""),"L1")</f>
        <v>L1</v>
      </c>
      <c r="B75" s="2" t="str">
        <f>IFERROR(__xludf.DUMMYFUNCTION("""COMPUTED_VALUE"""),"2026-02")</f>
        <v>2026-02</v>
      </c>
      <c r="C75" s="2" t="str">
        <f>IFERROR(__xludf.DUMMYFUNCTION("""COMPUTED_VALUE"""),"LSCENSD0001")</f>
        <v>LSCENSD0001</v>
      </c>
      <c r="D75" s="2">
        <f>IFERROR(__xludf.DUMMYFUNCTION("""COMPUTED_VALUE"""),710.0)</f>
        <v>710</v>
      </c>
      <c r="E75" s="2">
        <f>IFERROR(__xludf.DUMMYFUNCTION("""COMPUTED_VALUE"""),71.0)</f>
        <v>71</v>
      </c>
      <c r="F75" s="4">
        <f>IFERROR(__xludf.DUMMYFUNCTION("""COMPUTED_VALUE"""),2874143.9)</f>
        <v>2874143.9</v>
      </c>
      <c r="G75" s="4">
        <f>IFERROR(__xludf.DUMMYFUNCTION("""COMPUTED_VALUE"""),229259.0)</f>
        <v>229259</v>
      </c>
      <c r="H75" s="9">
        <f>IFERROR(__xludf.DUMMYFUNCTION("""COMPUTED_VALUE"""),1.32264)</f>
        <v>1.32264</v>
      </c>
      <c r="I75" s="4">
        <f>IFERROR(__xludf.DUMMYFUNCTION("""COMPUTED_VALUE"""),4104684.811656)</f>
        <v>4104684.812</v>
      </c>
      <c r="J75" s="4">
        <f>IFERROR(__xludf.DUMMYFUNCTION("""COMPUTED_VALUE"""),674.6816666666666)</f>
        <v>674.6816667</v>
      </c>
      <c r="K75" s="4">
        <f>IFERROR(__xludf.DUMMYFUNCTION("""COMPUTED_VALUE"""),4105359.4933226667)</f>
        <v>4105359.493</v>
      </c>
    </row>
    <row r="76" ht="22.5" customHeight="1">
      <c r="A76" s="2" t="str">
        <f>IFERROR(__xludf.DUMMYFUNCTION("""COMPUTED_VALUE"""),"L1")</f>
        <v>L1</v>
      </c>
      <c r="B76" s="2" t="str">
        <f>IFERROR(__xludf.DUMMYFUNCTION("""COMPUTED_VALUE"""),"2026-03")</f>
        <v>2026-03</v>
      </c>
      <c r="C76" s="2" t="str">
        <f>IFERROR(__xludf.DUMMYFUNCTION("""COMPUTED_VALUE"""),"LSCENSD0001")</f>
        <v>LSCENSD0001</v>
      </c>
      <c r="D76" s="2">
        <f>IFERROR(__xludf.DUMMYFUNCTION("""COMPUTED_VALUE"""),760.0)</f>
        <v>760</v>
      </c>
      <c r="E76" s="2">
        <f>IFERROR(__xludf.DUMMYFUNCTION("""COMPUTED_VALUE"""),76.0)</f>
        <v>76</v>
      </c>
      <c r="F76" s="4">
        <f>IFERROR(__xludf.DUMMYFUNCTION("""COMPUTED_VALUE"""),3076548.4)</f>
        <v>3076548.4</v>
      </c>
      <c r="G76" s="4">
        <f>IFERROR(__xludf.DUMMYFUNCTION("""COMPUTED_VALUE"""),244720.0)</f>
        <v>244720</v>
      </c>
      <c r="H76" s="9">
        <f>IFERROR(__xludf.DUMMYFUNCTION("""COMPUTED_VALUE"""),1.32264)</f>
        <v>1.32264</v>
      </c>
      <c r="I76" s="4">
        <f>IFERROR(__xludf.DUMMYFUNCTION("""COMPUTED_VALUE"""),4392842.436576)</f>
        <v>4392842.437</v>
      </c>
      <c r="J76" s="4">
        <f>IFERROR(__xludf.DUMMYFUNCTION("""COMPUTED_VALUE"""),1349.3633333333332)</f>
        <v>1349.363333</v>
      </c>
      <c r="K76" s="4">
        <f>IFERROR(__xludf.DUMMYFUNCTION("""COMPUTED_VALUE"""),4394191.799909334)</f>
        <v>4394191.8</v>
      </c>
    </row>
    <row r="77" ht="22.5" customHeight="1">
      <c r="A77" s="2" t="str">
        <f>IFERROR(__xludf.DUMMYFUNCTION("""COMPUTED_VALUE"""),"L1")</f>
        <v>L1</v>
      </c>
      <c r="B77" s="2" t="str">
        <f>IFERROR(__xludf.DUMMYFUNCTION("""COMPUTED_VALUE"""),"2026-04")</f>
        <v>2026-04</v>
      </c>
      <c r="C77" s="2" t="str">
        <f>IFERROR(__xludf.DUMMYFUNCTION("""COMPUTED_VALUE"""),"LSCENSD0001")</f>
        <v>LSCENSD0001</v>
      </c>
      <c r="D77" s="2">
        <f>IFERROR(__xludf.DUMMYFUNCTION("""COMPUTED_VALUE"""),740.0)</f>
        <v>740</v>
      </c>
      <c r="E77" s="2">
        <f>IFERROR(__xludf.DUMMYFUNCTION("""COMPUTED_VALUE"""),74.0)</f>
        <v>74</v>
      </c>
      <c r="F77" s="4">
        <f>IFERROR(__xludf.DUMMYFUNCTION("""COMPUTED_VALUE"""),2995586.6)</f>
        <v>2995586.6</v>
      </c>
      <c r="G77" s="4">
        <f>IFERROR(__xludf.DUMMYFUNCTION("""COMPUTED_VALUE"""),245976.0)</f>
        <v>245976</v>
      </c>
      <c r="H77" s="9">
        <f>IFERROR(__xludf.DUMMYFUNCTION("""COMPUTED_VALUE"""),1.32264)</f>
        <v>1.32264</v>
      </c>
      <c r="I77" s="4">
        <f>IFERROR(__xludf.DUMMYFUNCTION("""COMPUTED_VALUE"""),4287420.357264)</f>
        <v>4287420.357</v>
      </c>
      <c r="J77" s="4">
        <f>IFERROR(__xludf.DUMMYFUNCTION("""COMPUTED_VALUE"""),674.6816666666666)</f>
        <v>674.6816667</v>
      </c>
      <c r="K77" s="4">
        <f>IFERROR(__xludf.DUMMYFUNCTION("""COMPUTED_VALUE"""),4288095.038930667)</f>
        <v>4288095.039</v>
      </c>
    </row>
    <row r="78" ht="22.5" customHeight="1">
      <c r="A78" s="2" t="str">
        <f>IFERROR(__xludf.DUMMYFUNCTION("""COMPUTED_VALUE"""),"L1")</f>
        <v>L1</v>
      </c>
      <c r="B78" s="2" t="str">
        <f>IFERROR(__xludf.DUMMYFUNCTION("""COMPUTED_VALUE"""),"2026-05")</f>
        <v>2026-05</v>
      </c>
      <c r="C78" s="2" t="str">
        <f>IFERROR(__xludf.DUMMYFUNCTION("""COMPUTED_VALUE"""),"LSCENSD0001")</f>
        <v>LSCENSD0001</v>
      </c>
      <c r="D78" s="2">
        <f>IFERROR(__xludf.DUMMYFUNCTION("""COMPUTED_VALUE"""),760.0)</f>
        <v>760</v>
      </c>
      <c r="E78" s="2">
        <f>IFERROR(__xludf.DUMMYFUNCTION("""COMPUTED_VALUE"""),76.0)</f>
        <v>76</v>
      </c>
      <c r="F78" s="4">
        <f>IFERROR(__xludf.DUMMYFUNCTION("""COMPUTED_VALUE"""),3076548.4)</f>
        <v>3076548.4</v>
      </c>
      <c r="G78" s="4">
        <f>IFERROR(__xludf.DUMMYFUNCTION("""COMPUTED_VALUE"""),255968.0)</f>
        <v>255968</v>
      </c>
      <c r="H78" s="9">
        <f>IFERROR(__xludf.DUMMYFUNCTION("""COMPUTED_VALUE"""),1.32264)</f>
        <v>1.32264</v>
      </c>
      <c r="I78" s="4">
        <f>IFERROR(__xludf.DUMMYFUNCTION("""COMPUTED_VALUE"""),4407719.491296)</f>
        <v>4407719.491</v>
      </c>
      <c r="J78" s="4">
        <f>IFERROR(__xludf.DUMMYFUNCTION("""COMPUTED_VALUE"""),1349.3633333333332)</f>
        <v>1349.363333</v>
      </c>
      <c r="K78" s="4">
        <f>IFERROR(__xludf.DUMMYFUNCTION("""COMPUTED_VALUE"""),4409068.854629333)</f>
        <v>4409068.855</v>
      </c>
    </row>
    <row r="79" ht="22.5" customHeight="1">
      <c r="A79" s="2" t="str">
        <f>IFERROR(__xludf.DUMMYFUNCTION("""COMPUTED_VALUE"""),"L1")</f>
        <v>L1</v>
      </c>
      <c r="B79" s="2" t="str">
        <f>IFERROR(__xludf.DUMMYFUNCTION("""COMPUTED_VALUE"""),"2026-06")</f>
        <v>2026-06</v>
      </c>
      <c r="C79" s="2" t="str">
        <f>IFERROR(__xludf.DUMMYFUNCTION("""COMPUTED_VALUE"""),"LSCENSD0001")</f>
        <v>LSCENSD0001</v>
      </c>
      <c r="D79" s="2">
        <f>IFERROR(__xludf.DUMMYFUNCTION("""COMPUTED_VALUE"""),740.0)</f>
        <v>740</v>
      </c>
      <c r="E79" s="2">
        <f>IFERROR(__xludf.DUMMYFUNCTION("""COMPUTED_VALUE"""),74.0)</f>
        <v>74</v>
      </c>
      <c r="F79" s="4">
        <f>IFERROR(__xludf.DUMMYFUNCTION("""COMPUTED_VALUE"""),2995586.6)</f>
        <v>2995586.6</v>
      </c>
      <c r="G79" s="4">
        <f>IFERROR(__xludf.DUMMYFUNCTION("""COMPUTED_VALUE"""),255744.0)</f>
        <v>255744</v>
      </c>
      <c r="H79" s="9">
        <f>IFERROR(__xludf.DUMMYFUNCTION("""COMPUTED_VALUE"""),1.32264)</f>
        <v>1.32264</v>
      </c>
      <c r="I79" s="4">
        <f>IFERROR(__xludf.DUMMYFUNCTION("""COMPUTED_VALUE"""),4300339.9047840005)</f>
        <v>4300339.905</v>
      </c>
      <c r="J79" s="4">
        <f>IFERROR(__xludf.DUMMYFUNCTION("""COMPUTED_VALUE"""),674.6816666666666)</f>
        <v>674.6816667</v>
      </c>
      <c r="K79" s="4">
        <f>IFERROR(__xludf.DUMMYFUNCTION("""COMPUTED_VALUE"""),4301014.586450667)</f>
        <v>4301014.586</v>
      </c>
    </row>
    <row r="80" ht="22.5" customHeight="1">
      <c r="A80" s="2" t="str">
        <f>IFERROR(__xludf.DUMMYFUNCTION("""COMPUTED_VALUE"""),"L1")</f>
        <v>L1</v>
      </c>
      <c r="B80" s="2" t="str">
        <f>IFERROR(__xludf.DUMMYFUNCTION("""COMPUTED_VALUE"""),"2026-07")</f>
        <v>2026-07</v>
      </c>
      <c r="C80" s="2" t="str">
        <f>IFERROR(__xludf.DUMMYFUNCTION("""COMPUTED_VALUE"""),"LSCENSD0001")</f>
        <v>LSCENSD0001</v>
      </c>
      <c r="D80" s="2">
        <f>IFERROR(__xludf.DUMMYFUNCTION("""COMPUTED_VALUE"""),740.0)</f>
        <v>740</v>
      </c>
      <c r="E80" s="2">
        <f>IFERROR(__xludf.DUMMYFUNCTION("""COMPUTED_VALUE"""),74.0)</f>
        <v>74</v>
      </c>
      <c r="F80" s="4">
        <f>IFERROR(__xludf.DUMMYFUNCTION("""COMPUTED_VALUE"""),2995586.6)</f>
        <v>2995586.6</v>
      </c>
      <c r="G80" s="4">
        <f>IFERROR(__xludf.DUMMYFUNCTION("""COMPUTED_VALUE"""),262700.0)</f>
        <v>262700</v>
      </c>
      <c r="H80" s="9">
        <f>IFERROR(__xludf.DUMMYFUNCTION("""COMPUTED_VALUE"""),1.32264)</f>
        <v>1.32264</v>
      </c>
      <c r="I80" s="4">
        <f>IFERROR(__xludf.DUMMYFUNCTION("""COMPUTED_VALUE"""),4309540.188624)</f>
        <v>4309540.189</v>
      </c>
      <c r="J80" s="4">
        <f>IFERROR(__xludf.DUMMYFUNCTION("""COMPUTED_VALUE"""),0.0)</f>
        <v>0</v>
      </c>
      <c r="K80" s="4">
        <f>IFERROR(__xludf.DUMMYFUNCTION("""COMPUTED_VALUE"""),4309540.188624)</f>
        <v>4309540.189</v>
      </c>
    </row>
    <row r="81" ht="22.5" customHeight="1">
      <c r="A81" s="2" t="str">
        <f>IFERROR(__xludf.DUMMYFUNCTION("""COMPUTED_VALUE"""),"L1")</f>
        <v>L1</v>
      </c>
      <c r="B81" s="2" t="str">
        <f>IFERROR(__xludf.DUMMYFUNCTION("""COMPUTED_VALUE"""),"2026-08")</f>
        <v>2026-08</v>
      </c>
      <c r="C81" s="2" t="str">
        <f>IFERROR(__xludf.DUMMYFUNCTION("""COMPUTED_VALUE"""),"LSCENSD0001")</f>
        <v>LSCENSD0001</v>
      </c>
      <c r="D81" s="2">
        <f>IFERROR(__xludf.DUMMYFUNCTION("""COMPUTED_VALUE"""),750.0)</f>
        <v>750</v>
      </c>
      <c r="E81" s="2">
        <f>IFERROR(__xludf.DUMMYFUNCTION("""COMPUTED_VALUE"""),75.0)</f>
        <v>75</v>
      </c>
      <c r="F81" s="4">
        <f>IFERROR(__xludf.DUMMYFUNCTION("""COMPUTED_VALUE"""),3036067.5)</f>
        <v>3036067.5</v>
      </c>
      <c r="G81" s="4">
        <f>IFERROR(__xludf.DUMMYFUNCTION("""COMPUTED_VALUE"""),267150.0)</f>
        <v>267150</v>
      </c>
      <c r="H81" s="9">
        <f>IFERROR(__xludf.DUMMYFUNCTION("""COMPUTED_VALUE"""),1.32264)</f>
        <v>1.32264</v>
      </c>
      <c r="I81" s="4">
        <f>IFERROR(__xludf.DUMMYFUNCTION("""COMPUTED_VALUE"""),4368967.5942)</f>
        <v>4368967.594</v>
      </c>
      <c r="J81" s="4">
        <f>IFERROR(__xludf.DUMMYFUNCTION("""COMPUTED_VALUE"""),0.0)</f>
        <v>0</v>
      </c>
      <c r="K81" s="4">
        <f>IFERROR(__xludf.DUMMYFUNCTION("""COMPUTED_VALUE"""),4368967.5942)</f>
        <v>4368967.594</v>
      </c>
    </row>
    <row r="82" ht="22.5" customHeight="1">
      <c r="A82" s="2" t="str">
        <f>IFERROR(__xludf.DUMMYFUNCTION("""COMPUTED_VALUE"""),"L1")</f>
        <v>L1</v>
      </c>
      <c r="B82" s="2" t="str">
        <f>IFERROR(__xludf.DUMMYFUNCTION("""COMPUTED_VALUE"""),"2026-09")</f>
        <v>2026-09</v>
      </c>
      <c r="C82" s="2" t="str">
        <f>IFERROR(__xludf.DUMMYFUNCTION("""COMPUTED_VALUE"""),"LSCENSD0001")</f>
        <v>LSCENSD0001</v>
      </c>
      <c r="D82" s="2">
        <f>IFERROR(__xludf.DUMMYFUNCTION("""COMPUTED_VALUE"""),750.0)</f>
        <v>750</v>
      </c>
      <c r="E82" s="2">
        <f>IFERROR(__xludf.DUMMYFUNCTION("""COMPUTED_VALUE"""),75.0)</f>
        <v>75</v>
      </c>
      <c r="F82" s="4">
        <f>IFERROR(__xludf.DUMMYFUNCTION("""COMPUTED_VALUE"""),3036067.5)</f>
        <v>3036067.5</v>
      </c>
      <c r="G82" s="4">
        <f>IFERROR(__xludf.DUMMYFUNCTION("""COMPUTED_VALUE"""),255300.0)</f>
        <v>255300</v>
      </c>
      <c r="H82" s="9">
        <f>IFERROR(__xludf.DUMMYFUNCTION("""COMPUTED_VALUE"""),1.32264)</f>
        <v>1.32264</v>
      </c>
      <c r="I82" s="4">
        <f>IFERROR(__xludf.DUMMYFUNCTION("""COMPUTED_VALUE"""),4353294.3102)</f>
        <v>4353294.31</v>
      </c>
      <c r="J82" s="4">
        <f>IFERROR(__xludf.DUMMYFUNCTION("""COMPUTED_VALUE"""),0.0)</f>
        <v>0</v>
      </c>
      <c r="K82" s="4">
        <f>IFERROR(__xludf.DUMMYFUNCTION("""COMPUTED_VALUE"""),4353294.3102)</f>
        <v>4353294.31</v>
      </c>
    </row>
    <row r="83" ht="22.5" customHeight="1">
      <c r="A83" s="2" t="str">
        <f>IFERROR(__xludf.DUMMYFUNCTION("""COMPUTED_VALUE"""),"L1")</f>
        <v>L1</v>
      </c>
      <c r="B83" s="2" t="str">
        <f>IFERROR(__xludf.DUMMYFUNCTION("""COMPUTED_VALUE"""),"2026-10")</f>
        <v>2026-10</v>
      </c>
      <c r="C83" s="2" t="str">
        <f>IFERROR(__xludf.DUMMYFUNCTION("""COMPUTED_VALUE"""),"LSCENSD0001")</f>
        <v>LSCENSD0001</v>
      </c>
      <c r="D83" s="2">
        <f>IFERROR(__xludf.DUMMYFUNCTION("""COMPUTED_VALUE"""),750.0)</f>
        <v>750</v>
      </c>
      <c r="E83" s="2">
        <f>IFERROR(__xludf.DUMMYFUNCTION("""COMPUTED_VALUE"""),75.0)</f>
        <v>75</v>
      </c>
      <c r="F83" s="4">
        <f>IFERROR(__xludf.DUMMYFUNCTION("""COMPUTED_VALUE"""),3036067.5)</f>
        <v>3036067.5</v>
      </c>
      <c r="G83" s="4">
        <f>IFERROR(__xludf.DUMMYFUNCTION("""COMPUTED_VALUE"""),256350.0)</f>
        <v>256350</v>
      </c>
      <c r="H83" s="9">
        <f>IFERROR(__xludf.DUMMYFUNCTION("""COMPUTED_VALUE"""),1.32264)</f>
        <v>1.32264</v>
      </c>
      <c r="I83" s="4">
        <f>IFERROR(__xludf.DUMMYFUNCTION("""COMPUTED_VALUE"""),4354683.0822)</f>
        <v>4354683.082</v>
      </c>
      <c r="J83" s="4">
        <f>IFERROR(__xludf.DUMMYFUNCTION("""COMPUTED_VALUE"""),0.0)</f>
        <v>0</v>
      </c>
      <c r="K83" s="4">
        <f>IFERROR(__xludf.DUMMYFUNCTION("""COMPUTED_VALUE"""),4354683.0822)</f>
        <v>4354683.082</v>
      </c>
    </row>
    <row r="84" ht="22.5" customHeight="1">
      <c r="A84" s="2" t="str">
        <f>IFERROR(__xludf.DUMMYFUNCTION("""COMPUTED_VALUE"""),"L1")</f>
        <v>L1</v>
      </c>
      <c r="B84" s="2" t="str">
        <f>IFERROR(__xludf.DUMMYFUNCTION("""COMPUTED_VALUE"""),"2026-11")</f>
        <v>2026-11</v>
      </c>
      <c r="C84" s="2" t="str">
        <f>IFERROR(__xludf.DUMMYFUNCTION("""COMPUTED_VALUE"""),"LSCENSD0001")</f>
        <v>LSCENSD0001</v>
      </c>
      <c r="D84" s="2">
        <f>IFERROR(__xludf.DUMMYFUNCTION("""COMPUTED_VALUE"""),760.0)</f>
        <v>760</v>
      </c>
      <c r="E84" s="2">
        <f>IFERROR(__xludf.DUMMYFUNCTION("""COMPUTED_VALUE"""),76.0)</f>
        <v>76</v>
      </c>
      <c r="F84" s="4">
        <f>IFERROR(__xludf.DUMMYFUNCTION("""COMPUTED_VALUE"""),3076548.4)</f>
        <v>3076548.4</v>
      </c>
      <c r="G84" s="4">
        <f>IFERROR(__xludf.DUMMYFUNCTION("""COMPUTED_VALUE"""),276412.0)</f>
        <v>276412</v>
      </c>
      <c r="H84" s="9">
        <f>IFERROR(__xludf.DUMMYFUNCTION("""COMPUTED_VALUE"""),1.32264)</f>
        <v>1.32264</v>
      </c>
      <c r="I84" s="4">
        <f>IFERROR(__xludf.DUMMYFUNCTION("""COMPUTED_VALUE"""),4434759.543456)</f>
        <v>4434759.543</v>
      </c>
      <c r="J84" s="4">
        <f>IFERROR(__xludf.DUMMYFUNCTION("""COMPUTED_VALUE"""),674.6816666666666)</f>
        <v>674.6816667</v>
      </c>
      <c r="K84" s="4">
        <f>IFERROR(__xludf.DUMMYFUNCTION("""COMPUTED_VALUE"""),4435434.225122667)</f>
        <v>4435434.225</v>
      </c>
    </row>
    <row r="85" ht="22.5" customHeight="1">
      <c r="A85" s="2" t="str">
        <f>IFERROR(__xludf.DUMMYFUNCTION("""COMPUTED_VALUE"""),"L1")</f>
        <v>L1</v>
      </c>
      <c r="B85" s="2" t="str">
        <f>IFERROR(__xludf.DUMMYFUNCTION("""COMPUTED_VALUE"""),"2026-12")</f>
        <v>2026-12</v>
      </c>
      <c r="C85" s="2" t="str">
        <f>IFERROR(__xludf.DUMMYFUNCTION("""COMPUTED_VALUE"""),"LSCENSD0001")</f>
        <v>LSCENSD0001</v>
      </c>
      <c r="D85" s="2">
        <f>IFERROR(__xludf.DUMMYFUNCTION("""COMPUTED_VALUE"""),740.0)</f>
        <v>740</v>
      </c>
      <c r="E85" s="2">
        <f>IFERROR(__xludf.DUMMYFUNCTION("""COMPUTED_VALUE"""),74.0)</f>
        <v>74</v>
      </c>
      <c r="F85" s="4">
        <f>IFERROR(__xludf.DUMMYFUNCTION("""COMPUTED_VALUE"""),2995586.6)</f>
        <v>2995586.6</v>
      </c>
      <c r="G85" s="4">
        <f>IFERROR(__xludf.DUMMYFUNCTION("""COMPUTED_VALUE"""),286898.0)</f>
        <v>286898</v>
      </c>
      <c r="H85" s="9">
        <f>IFERROR(__xludf.DUMMYFUNCTION("""COMPUTED_VALUE"""),1.32264)</f>
        <v>1.32264</v>
      </c>
      <c r="I85" s="4">
        <f>IFERROR(__xludf.DUMMYFUNCTION("""COMPUTED_VALUE"""),4341545.431344001)</f>
        <v>4341545.431</v>
      </c>
      <c r="J85" s="4">
        <f>IFERROR(__xludf.DUMMYFUNCTION("""COMPUTED_VALUE"""),0.0)</f>
        <v>0</v>
      </c>
      <c r="K85" s="4">
        <f>IFERROR(__xludf.DUMMYFUNCTION("""COMPUTED_VALUE"""),4341545.431344001)</f>
        <v>4341545.431</v>
      </c>
    </row>
    <row r="86" ht="22.5" customHeight="1">
      <c r="A86" s="2" t="str">
        <f>IFERROR(__xludf.DUMMYFUNCTION("""COMPUTED_VALUE"""),"L1")</f>
        <v>L1</v>
      </c>
      <c r="B86" s="2" t="str">
        <f>IFERROR(__xludf.DUMMYFUNCTION("""COMPUTED_VALUE"""),"2026-01")</f>
        <v>2026-01</v>
      </c>
      <c r="C86" s="2" t="str">
        <f>IFERROR(__xludf.DUMMYFUNCTION("""COMPUTED_VALUE"""),"LSCENSD0001-LX")</f>
        <v>LSCENSD0001-LX</v>
      </c>
      <c r="D86" s="2">
        <f>IFERROR(__xludf.DUMMYFUNCTION("""COMPUTED_VALUE"""),228.0)</f>
        <v>228</v>
      </c>
      <c r="E86" s="2">
        <f>IFERROR(__xludf.DUMMYFUNCTION("""COMPUTED_VALUE"""),33.0)</f>
        <v>33</v>
      </c>
      <c r="F86" s="4">
        <f>IFERROR(__xludf.DUMMYFUNCTION("""COMPUTED_VALUE"""),2513809.44)</f>
        <v>2513809.44</v>
      </c>
      <c r="G86" s="4">
        <f>IFERROR(__xludf.DUMMYFUNCTION("""COMPUTED_VALUE"""),104676.0)</f>
        <v>104676</v>
      </c>
      <c r="H86" s="9">
        <f>IFERROR(__xludf.DUMMYFUNCTION("""COMPUTED_VALUE"""),1.32264)</f>
        <v>1.32264</v>
      </c>
      <c r="I86" s="4">
        <f>IFERROR(__xludf.DUMMYFUNCTION("""COMPUTED_VALUE"""),3463313.5823616)</f>
        <v>3463313.582</v>
      </c>
      <c r="J86" s="4">
        <f>IFERROR(__xludf.DUMMYFUNCTION("""COMPUTED_VALUE"""),2205.0959999999995)</f>
        <v>2205.096</v>
      </c>
      <c r="K86" s="4">
        <f>IFERROR(__xludf.DUMMYFUNCTION("""COMPUTED_VALUE"""),3465518.6783616)</f>
        <v>3465518.678</v>
      </c>
    </row>
    <row r="87" ht="22.5" customHeight="1">
      <c r="A87" s="2" t="str">
        <f>IFERROR(__xludf.DUMMYFUNCTION("""COMPUTED_VALUE"""),"L1")</f>
        <v>L1</v>
      </c>
      <c r="B87" s="2" t="str">
        <f>IFERROR(__xludf.DUMMYFUNCTION("""COMPUTED_VALUE"""),"2026-02")</f>
        <v>2026-02</v>
      </c>
      <c r="C87" s="2" t="str">
        <f>IFERROR(__xludf.DUMMYFUNCTION("""COMPUTED_VALUE"""),"LSCENSD0001-LX")</f>
        <v>LSCENSD0001-LX</v>
      </c>
      <c r="D87" s="2">
        <f>IFERROR(__xludf.DUMMYFUNCTION("""COMPUTED_VALUE"""),454.0)</f>
        <v>454</v>
      </c>
      <c r="E87" s="2">
        <f>IFERROR(__xludf.DUMMYFUNCTION("""COMPUTED_VALUE"""),65.0)</f>
        <v>65</v>
      </c>
      <c r="F87" s="4">
        <f>IFERROR(__xludf.DUMMYFUNCTION("""COMPUTED_VALUE"""),5005567.92)</f>
        <v>5005567.92</v>
      </c>
      <c r="G87" s="4">
        <f>IFERROR(__xludf.DUMMYFUNCTION("""COMPUTED_VALUE"""),209885.0)</f>
        <v>209885</v>
      </c>
      <c r="H87" s="9">
        <f>IFERROR(__xludf.DUMMYFUNCTION("""COMPUTED_VALUE"""),1.32264)</f>
        <v>1.32264</v>
      </c>
      <c r="I87" s="4">
        <f>IFERROR(__xludf.DUMMYFUNCTION("""COMPUTED_VALUE"""),6898166.6501088)</f>
        <v>6898166.65</v>
      </c>
      <c r="J87" s="4">
        <f>IFERROR(__xludf.DUMMYFUNCTION("""COMPUTED_VALUE"""),2021.3379999999997)</f>
        <v>2021.338</v>
      </c>
      <c r="K87" s="4">
        <f>IFERROR(__xludf.DUMMYFUNCTION("""COMPUTED_VALUE"""),6900187.988108801)</f>
        <v>6900187.988</v>
      </c>
    </row>
    <row r="88" ht="22.5" customHeight="1">
      <c r="A88" s="2" t="str">
        <f>IFERROR(__xludf.DUMMYFUNCTION("""COMPUTED_VALUE"""),"L1")</f>
        <v>L1</v>
      </c>
      <c r="B88" s="2" t="str">
        <f>IFERROR(__xludf.DUMMYFUNCTION("""COMPUTED_VALUE"""),"2026-03")</f>
        <v>2026-03</v>
      </c>
      <c r="C88" s="2" t="str">
        <f>IFERROR(__xludf.DUMMYFUNCTION("""COMPUTED_VALUE"""),"LSCENSD0001-LX")</f>
        <v>LSCENSD0001-LX</v>
      </c>
      <c r="D88" s="2">
        <f>IFERROR(__xludf.DUMMYFUNCTION("""COMPUTED_VALUE"""),499.0)</f>
        <v>499</v>
      </c>
      <c r="E88" s="2">
        <f>IFERROR(__xludf.DUMMYFUNCTION("""COMPUTED_VALUE"""),72.0)</f>
        <v>72</v>
      </c>
      <c r="F88" s="4">
        <f>IFERROR(__xludf.DUMMYFUNCTION("""COMPUTED_VALUE"""),5501714.52)</f>
        <v>5501714.52</v>
      </c>
      <c r="G88" s="4">
        <f>IFERROR(__xludf.DUMMYFUNCTION("""COMPUTED_VALUE"""),231840.0)</f>
        <v>231840</v>
      </c>
      <c r="H88" s="9">
        <f>IFERROR(__xludf.DUMMYFUNCTION("""COMPUTED_VALUE"""),1.32264)</f>
        <v>1.32264</v>
      </c>
      <c r="I88" s="4">
        <f>IFERROR(__xludf.DUMMYFUNCTION("""COMPUTED_VALUE"""),7583428.5503328)</f>
        <v>7583428.55</v>
      </c>
      <c r="J88" s="4">
        <f>IFERROR(__xludf.DUMMYFUNCTION("""COMPUTED_VALUE"""),2205.0959999999995)</f>
        <v>2205.096</v>
      </c>
      <c r="K88" s="4">
        <f>IFERROR(__xludf.DUMMYFUNCTION("""COMPUTED_VALUE"""),7585633.646332799)</f>
        <v>7585633.646</v>
      </c>
    </row>
    <row r="89" ht="22.5" customHeight="1">
      <c r="A89" s="2" t="str">
        <f>IFERROR(__xludf.DUMMYFUNCTION("""COMPUTED_VALUE"""),"L1")</f>
        <v>L1</v>
      </c>
      <c r="B89" s="2" t="str">
        <f>IFERROR(__xludf.DUMMYFUNCTION("""COMPUTED_VALUE"""),"2026-04")</f>
        <v>2026-04</v>
      </c>
      <c r="C89" s="2" t="str">
        <f>IFERROR(__xludf.DUMMYFUNCTION("""COMPUTED_VALUE"""),"LSCENSD0001-LX")</f>
        <v>LSCENSD0001-LX</v>
      </c>
      <c r="D89" s="2">
        <f>IFERROR(__xludf.DUMMYFUNCTION("""COMPUTED_VALUE"""),497.0)</f>
        <v>497</v>
      </c>
      <c r="E89" s="2">
        <f>IFERROR(__xludf.DUMMYFUNCTION("""COMPUTED_VALUE"""),71.0)</f>
        <v>71</v>
      </c>
      <c r="F89" s="4">
        <f>IFERROR(__xludf.DUMMYFUNCTION("""COMPUTED_VALUE"""),5479663.56)</f>
        <v>5479663.56</v>
      </c>
      <c r="G89" s="4">
        <f>IFERROR(__xludf.DUMMYFUNCTION("""COMPUTED_VALUE"""),236004.0)</f>
        <v>236004</v>
      </c>
      <c r="H89" s="9">
        <f>IFERROR(__xludf.DUMMYFUNCTION("""COMPUTED_VALUE"""),1.32264)</f>
        <v>1.32264</v>
      </c>
      <c r="I89" s="4">
        <f>IFERROR(__xludf.DUMMYFUNCTION("""COMPUTED_VALUE"""),7559770.5415584)</f>
        <v>7559770.542</v>
      </c>
      <c r="J89" s="4">
        <f>IFERROR(__xludf.DUMMYFUNCTION("""COMPUTED_VALUE"""),1837.58)</f>
        <v>1837.58</v>
      </c>
      <c r="K89" s="4">
        <f>IFERROR(__xludf.DUMMYFUNCTION("""COMPUTED_VALUE"""),7561608.1215584)</f>
        <v>7561608.122</v>
      </c>
    </row>
    <row r="90" ht="22.5" customHeight="1">
      <c r="A90" s="2" t="str">
        <f>IFERROR(__xludf.DUMMYFUNCTION("""COMPUTED_VALUE"""),"L1")</f>
        <v>L1</v>
      </c>
      <c r="B90" s="2" t="str">
        <f>IFERROR(__xludf.DUMMYFUNCTION("""COMPUTED_VALUE"""),"2026-05")</f>
        <v>2026-05</v>
      </c>
      <c r="C90" s="2" t="str">
        <f>IFERROR(__xludf.DUMMYFUNCTION("""COMPUTED_VALUE"""),"LSCENSD0001-LX")</f>
        <v>LSCENSD0001-LX</v>
      </c>
      <c r="D90" s="2">
        <f>IFERROR(__xludf.DUMMYFUNCTION("""COMPUTED_VALUE"""),491.0)</f>
        <v>491</v>
      </c>
      <c r="E90" s="2">
        <f>IFERROR(__xludf.DUMMYFUNCTION("""COMPUTED_VALUE"""),71.0)</f>
        <v>71</v>
      </c>
      <c r="F90" s="4">
        <f>IFERROR(__xludf.DUMMYFUNCTION("""COMPUTED_VALUE"""),5413510.68)</f>
        <v>5413510.68</v>
      </c>
      <c r="G90" s="4">
        <f>IFERROR(__xludf.DUMMYFUNCTION("""COMPUTED_VALUE"""),239128.0)</f>
        <v>239128</v>
      </c>
      <c r="H90" s="9">
        <f>IFERROR(__xludf.DUMMYFUNCTION("""COMPUTED_VALUE"""),1.32264)</f>
        <v>1.32264</v>
      </c>
      <c r="I90" s="4">
        <f>IFERROR(__xludf.DUMMYFUNCTION("""COMPUTED_VALUE"""),7476406.0237152)</f>
        <v>7476406.024</v>
      </c>
      <c r="J90" s="4">
        <f>IFERROR(__xludf.DUMMYFUNCTION("""COMPUTED_VALUE"""),367.51599999999996)</f>
        <v>367.516</v>
      </c>
      <c r="K90" s="4">
        <f>IFERROR(__xludf.DUMMYFUNCTION("""COMPUTED_VALUE"""),7476773.5397152)</f>
        <v>7476773.54</v>
      </c>
    </row>
    <row r="91" ht="22.5" customHeight="1">
      <c r="A91" s="2" t="str">
        <f>IFERROR(__xludf.DUMMYFUNCTION("""COMPUTED_VALUE"""),"L1")</f>
        <v>L1</v>
      </c>
      <c r="B91" s="2" t="str">
        <f>IFERROR(__xludf.DUMMYFUNCTION("""COMPUTED_VALUE"""),"2026-06")</f>
        <v>2026-06</v>
      </c>
      <c r="C91" s="2" t="str">
        <f>IFERROR(__xludf.DUMMYFUNCTION("""COMPUTED_VALUE"""),"LSCENSD0001-LX")</f>
        <v>LSCENSD0001-LX</v>
      </c>
      <c r="D91" s="2">
        <f>IFERROR(__xludf.DUMMYFUNCTION("""COMPUTED_VALUE"""),497.0)</f>
        <v>497</v>
      </c>
      <c r="E91" s="2">
        <f>IFERROR(__xludf.DUMMYFUNCTION("""COMPUTED_VALUE"""),71.0)</f>
        <v>71</v>
      </c>
      <c r="F91" s="4">
        <f>IFERROR(__xludf.DUMMYFUNCTION("""COMPUTED_VALUE"""),5479663.56)</f>
        <v>5479663.56</v>
      </c>
      <c r="G91" s="4">
        <f>IFERROR(__xludf.DUMMYFUNCTION("""COMPUTED_VALUE"""),245376.0)</f>
        <v>245376</v>
      </c>
      <c r="H91" s="9">
        <f>IFERROR(__xludf.DUMMYFUNCTION("""COMPUTED_VALUE"""),1.32264)</f>
        <v>1.32264</v>
      </c>
      <c r="I91" s="4">
        <f>IFERROR(__xludf.DUMMYFUNCTION("""COMPUTED_VALUE"""),7572166.3236384)</f>
        <v>7572166.324</v>
      </c>
      <c r="J91" s="4">
        <f>IFERROR(__xludf.DUMMYFUNCTION("""COMPUTED_VALUE"""),0.0)</f>
        <v>0</v>
      </c>
      <c r="K91" s="4">
        <f>IFERROR(__xludf.DUMMYFUNCTION("""COMPUTED_VALUE"""),7572166.3236384)</f>
        <v>7572166.324</v>
      </c>
    </row>
    <row r="92" ht="22.5" customHeight="1">
      <c r="A92" s="2" t="str">
        <f>IFERROR(__xludf.DUMMYFUNCTION("""COMPUTED_VALUE"""),"L1")</f>
        <v>L1</v>
      </c>
      <c r="B92" s="2" t="str">
        <f>IFERROR(__xludf.DUMMYFUNCTION("""COMPUTED_VALUE"""),"2026-07")</f>
        <v>2026-07</v>
      </c>
      <c r="C92" s="2" t="str">
        <f>IFERROR(__xludf.DUMMYFUNCTION("""COMPUTED_VALUE"""),"LSCENSD0001-LX")</f>
        <v>LSCENSD0001-LX</v>
      </c>
      <c r="D92" s="2">
        <f>IFERROR(__xludf.DUMMYFUNCTION("""COMPUTED_VALUE"""),502.0)</f>
        <v>502</v>
      </c>
      <c r="E92" s="2">
        <f>IFERROR(__xludf.DUMMYFUNCTION("""COMPUTED_VALUE"""),72.0)</f>
        <v>72</v>
      </c>
      <c r="F92" s="4">
        <f>IFERROR(__xludf.DUMMYFUNCTION("""COMPUTED_VALUE"""),5534790.96)</f>
        <v>5534790.96</v>
      </c>
      <c r="G92" s="4">
        <f>IFERROR(__xludf.DUMMYFUNCTION("""COMPUTED_VALUE"""),255600.0)</f>
        <v>255600</v>
      </c>
      <c r="H92" s="9">
        <f>IFERROR(__xludf.DUMMYFUNCTION("""COMPUTED_VALUE"""),1.32264)</f>
        <v>1.32264</v>
      </c>
      <c r="I92" s="4">
        <f>IFERROR(__xludf.DUMMYFUNCTION("""COMPUTED_VALUE"""),7658602.6993344)</f>
        <v>7658602.699</v>
      </c>
      <c r="J92" s="4">
        <f>IFERROR(__xludf.DUMMYFUNCTION("""COMPUTED_VALUE"""),551.2739999999999)</f>
        <v>551.274</v>
      </c>
      <c r="K92" s="4">
        <f>IFERROR(__xludf.DUMMYFUNCTION("""COMPUTED_VALUE"""),7659153.9733344)</f>
        <v>7659153.973</v>
      </c>
    </row>
    <row r="93" ht="22.5" customHeight="1">
      <c r="A93" s="2" t="str">
        <f>IFERROR(__xludf.DUMMYFUNCTION("""COMPUTED_VALUE"""),"L1")</f>
        <v>L1</v>
      </c>
      <c r="B93" s="2" t="str">
        <f>IFERROR(__xludf.DUMMYFUNCTION("""COMPUTED_VALUE"""),"2026-08")</f>
        <v>2026-08</v>
      </c>
      <c r="C93" s="2" t="str">
        <f>IFERROR(__xludf.DUMMYFUNCTION("""COMPUTED_VALUE"""),"LSCENSD0001-LX")</f>
        <v>LSCENSD0001-LX</v>
      </c>
      <c r="D93" s="2">
        <f>IFERROR(__xludf.DUMMYFUNCTION("""COMPUTED_VALUE"""),497.0)</f>
        <v>497</v>
      </c>
      <c r="E93" s="2">
        <f>IFERROR(__xludf.DUMMYFUNCTION("""COMPUTED_VALUE"""),71.0)</f>
        <v>71</v>
      </c>
      <c r="F93" s="4">
        <f>IFERROR(__xludf.DUMMYFUNCTION("""COMPUTED_VALUE"""),5479663.56)</f>
        <v>5479663.56</v>
      </c>
      <c r="G93" s="4">
        <f>IFERROR(__xludf.DUMMYFUNCTION("""COMPUTED_VALUE"""),252902.0)</f>
        <v>252902</v>
      </c>
      <c r="H93" s="9">
        <f>IFERROR(__xludf.DUMMYFUNCTION("""COMPUTED_VALUE"""),1.32264)</f>
        <v>1.32264</v>
      </c>
      <c r="I93" s="4">
        <f>IFERROR(__xludf.DUMMYFUNCTION("""COMPUTED_VALUE"""),7582120.512278399)</f>
        <v>7582120.512</v>
      </c>
      <c r="J93" s="4">
        <f>IFERROR(__xludf.DUMMYFUNCTION("""COMPUTED_VALUE"""),183.75799999999998)</f>
        <v>183.758</v>
      </c>
      <c r="K93" s="4">
        <f>IFERROR(__xludf.DUMMYFUNCTION("""COMPUTED_VALUE"""),7582304.2702784)</f>
        <v>7582304.27</v>
      </c>
    </row>
    <row r="94" ht="22.5" customHeight="1">
      <c r="A94" s="2" t="str">
        <f>IFERROR(__xludf.DUMMYFUNCTION("""COMPUTED_VALUE"""),"L1")</f>
        <v>L1</v>
      </c>
      <c r="B94" s="2" t="str">
        <f>IFERROR(__xludf.DUMMYFUNCTION("""COMPUTED_VALUE"""),"2026-09")</f>
        <v>2026-09</v>
      </c>
      <c r="C94" s="2" t="str">
        <f>IFERROR(__xludf.DUMMYFUNCTION("""COMPUTED_VALUE"""),"LSCENSD0001-LX")</f>
        <v>LSCENSD0001-LX</v>
      </c>
      <c r="D94" s="2">
        <f>IFERROR(__xludf.DUMMYFUNCTION("""COMPUTED_VALUE"""),509.0)</f>
        <v>509</v>
      </c>
      <c r="E94" s="2">
        <f>IFERROR(__xludf.DUMMYFUNCTION("""COMPUTED_VALUE"""),73.0)</f>
        <v>73</v>
      </c>
      <c r="F94" s="4">
        <f>IFERROR(__xludf.DUMMYFUNCTION("""COMPUTED_VALUE"""),5611969.319999999)</f>
        <v>5611969.32</v>
      </c>
      <c r="G94" s="4">
        <f>IFERROR(__xludf.DUMMYFUNCTION("""COMPUTED_VALUE"""),248492.0)</f>
        <v>248492</v>
      </c>
      <c r="H94" s="9">
        <f>IFERROR(__xludf.DUMMYFUNCTION("""COMPUTED_VALUE"""),1.32264)</f>
        <v>1.32264</v>
      </c>
      <c r="I94" s="4">
        <f>IFERROR(__xludf.DUMMYFUNCTION("""COMPUTED_VALUE"""),7751280.560284799)</f>
        <v>7751280.56</v>
      </c>
      <c r="J94" s="4">
        <f>IFERROR(__xludf.DUMMYFUNCTION("""COMPUTED_VALUE"""),2021.3379999999997)</f>
        <v>2021.338</v>
      </c>
      <c r="K94" s="4">
        <f>IFERROR(__xludf.DUMMYFUNCTION("""COMPUTED_VALUE"""),7753301.898284799)</f>
        <v>7753301.898</v>
      </c>
    </row>
    <row r="95" ht="22.5" customHeight="1">
      <c r="A95" s="2" t="str">
        <f>IFERROR(__xludf.DUMMYFUNCTION("""COMPUTED_VALUE"""),"L1")</f>
        <v>L1</v>
      </c>
      <c r="B95" s="2" t="str">
        <f>IFERROR(__xludf.DUMMYFUNCTION("""COMPUTED_VALUE"""),"2026-10")</f>
        <v>2026-10</v>
      </c>
      <c r="C95" s="2" t="str">
        <f>IFERROR(__xludf.DUMMYFUNCTION("""COMPUTED_VALUE"""),"LSCENSD0001-LX")</f>
        <v>LSCENSD0001-LX</v>
      </c>
      <c r="D95" s="2">
        <f>IFERROR(__xludf.DUMMYFUNCTION("""COMPUTED_VALUE"""),504.0)</f>
        <v>504</v>
      </c>
      <c r="E95" s="2">
        <f>IFERROR(__xludf.DUMMYFUNCTION("""COMPUTED_VALUE"""),72.0)</f>
        <v>72</v>
      </c>
      <c r="F95" s="4">
        <f>IFERROR(__xludf.DUMMYFUNCTION("""COMPUTED_VALUE"""),5556841.92)</f>
        <v>5556841.92</v>
      </c>
      <c r="G95" s="4">
        <f>IFERROR(__xludf.DUMMYFUNCTION("""COMPUTED_VALUE"""),246096.0)</f>
        <v>246096</v>
      </c>
      <c r="H95" s="9">
        <f>IFERROR(__xludf.DUMMYFUNCTION("""COMPUTED_VALUE"""),1.32264)</f>
        <v>1.32264</v>
      </c>
      <c r="I95" s="4">
        <f>IFERROR(__xludf.DUMMYFUNCTION("""COMPUTED_VALUE"""),7675197.8105088)</f>
        <v>7675197.811</v>
      </c>
      <c r="J95" s="4">
        <f>IFERROR(__xludf.DUMMYFUNCTION("""COMPUTED_VALUE"""),2940.1279999999997)</f>
        <v>2940.128</v>
      </c>
      <c r="K95" s="4">
        <f>IFERROR(__xludf.DUMMYFUNCTION("""COMPUTED_VALUE"""),7678137.938508799)</f>
        <v>7678137.939</v>
      </c>
    </row>
    <row r="96" ht="22.5" customHeight="1">
      <c r="A96" s="2" t="str">
        <f>IFERROR(__xludf.DUMMYFUNCTION("""COMPUTED_VALUE"""),"L1")</f>
        <v>L1</v>
      </c>
      <c r="B96" s="2" t="str">
        <f>IFERROR(__xludf.DUMMYFUNCTION("""COMPUTED_VALUE"""),"2026-11")</f>
        <v>2026-11</v>
      </c>
      <c r="C96" s="2" t="str">
        <f>IFERROR(__xludf.DUMMYFUNCTION("""COMPUTED_VALUE"""),"LSCENSD0001-LX")</f>
        <v>LSCENSD0001-LX</v>
      </c>
      <c r="D96" s="2">
        <f>IFERROR(__xludf.DUMMYFUNCTION("""COMPUTED_VALUE"""),483.0)</f>
        <v>483</v>
      </c>
      <c r="E96" s="2">
        <f>IFERROR(__xludf.DUMMYFUNCTION("""COMPUTED_VALUE"""),69.0)</f>
        <v>69</v>
      </c>
      <c r="F96" s="4">
        <f>IFERROR(__xludf.DUMMYFUNCTION("""COMPUTED_VALUE"""),5325306.84)</f>
        <v>5325306.84</v>
      </c>
      <c r="G96" s="4">
        <f>IFERROR(__xludf.DUMMYFUNCTION("""COMPUTED_VALUE"""),250953.0)</f>
        <v>250953</v>
      </c>
      <c r="H96" s="9">
        <f>IFERROR(__xludf.DUMMYFUNCTION("""COMPUTED_VALUE"""),1.32264)</f>
        <v>1.32264</v>
      </c>
      <c r="I96" s="4">
        <f>IFERROR(__xludf.DUMMYFUNCTION("""COMPUTED_VALUE"""),7375384.3147776)</f>
        <v>7375384.315</v>
      </c>
      <c r="J96" s="4">
        <f>IFERROR(__xludf.DUMMYFUNCTION("""COMPUTED_VALUE"""),0.0)</f>
        <v>0</v>
      </c>
      <c r="K96" s="4">
        <f>IFERROR(__xludf.DUMMYFUNCTION("""COMPUTED_VALUE"""),7375384.3147776)</f>
        <v>7375384.315</v>
      </c>
    </row>
    <row r="97" ht="22.5" customHeight="1">
      <c r="A97" s="2" t="str">
        <f>IFERROR(__xludf.DUMMYFUNCTION("""COMPUTED_VALUE"""),"L1")</f>
        <v>L1</v>
      </c>
      <c r="B97" s="2" t="str">
        <f>IFERROR(__xludf.DUMMYFUNCTION("""COMPUTED_VALUE"""),"2026-12")</f>
        <v>2026-12</v>
      </c>
      <c r="C97" s="2" t="str">
        <f>IFERROR(__xludf.DUMMYFUNCTION("""COMPUTED_VALUE"""),"LSCENSD0001-LX")</f>
        <v>LSCENSD0001-LX</v>
      </c>
      <c r="D97" s="2">
        <f>IFERROR(__xludf.DUMMYFUNCTION("""COMPUTED_VALUE"""),499.0)</f>
        <v>499</v>
      </c>
      <c r="E97" s="2">
        <f>IFERROR(__xludf.DUMMYFUNCTION("""COMPUTED_VALUE"""),72.0)</f>
        <v>72</v>
      </c>
      <c r="F97" s="4">
        <f>IFERROR(__xludf.DUMMYFUNCTION("""COMPUTED_VALUE"""),5501714.52)</f>
        <v>5501714.52</v>
      </c>
      <c r="G97" s="4">
        <f>IFERROR(__xludf.DUMMYFUNCTION("""COMPUTED_VALUE"""),279144.0)</f>
        <v>279144</v>
      </c>
      <c r="H97" s="9">
        <f>IFERROR(__xludf.DUMMYFUNCTION("""COMPUTED_VALUE"""),1.32264)</f>
        <v>1.32264</v>
      </c>
      <c r="I97" s="4">
        <f>IFERROR(__xludf.DUMMYFUNCTION("""COMPUTED_VALUE"""),7645994.7128928)</f>
        <v>7645994.713</v>
      </c>
      <c r="J97" s="4">
        <f>IFERROR(__xludf.DUMMYFUNCTION("""COMPUTED_VALUE"""),0.0)</f>
        <v>0</v>
      </c>
      <c r="K97" s="4">
        <f>IFERROR(__xludf.DUMMYFUNCTION("""COMPUTED_VALUE"""),7645994.7128928)</f>
        <v>7645994.713</v>
      </c>
    </row>
    <row r="98" ht="22.5" customHeight="1">
      <c r="A98" s="2" t="str">
        <f>IFERROR(__xludf.DUMMYFUNCTION("""COMPUTED_VALUE"""),"L1")</f>
        <v>L1</v>
      </c>
      <c r="B98" s="2" t="str">
        <f>IFERROR(__xludf.DUMMYFUNCTION("""COMPUTED_VALUE"""),"2026-01")</f>
        <v>2026-01</v>
      </c>
      <c r="C98" s="2" t="str">
        <f>IFERROR(__xludf.DUMMYFUNCTION("""COMPUTED_VALUE"""),"LSCENSV0006")</f>
        <v>LSCENSV0006</v>
      </c>
      <c r="D98" s="2">
        <f>IFERROR(__xludf.DUMMYFUNCTION("""COMPUTED_VALUE"""),519.0)</f>
        <v>519</v>
      </c>
      <c r="E98" s="2">
        <f>IFERROR(__xludf.DUMMYFUNCTION("""COMPUTED_VALUE"""),52.0)</f>
        <v>52</v>
      </c>
      <c r="F98" s="4">
        <f>IFERROR(__xludf.DUMMYFUNCTION("""COMPUTED_VALUE"""),2894655.03)</f>
        <v>2894655.03</v>
      </c>
      <c r="G98" s="4">
        <f>IFERROR(__xludf.DUMMYFUNCTION("""COMPUTED_VALUE"""),164944.0)</f>
        <v>164944</v>
      </c>
      <c r="H98" s="9">
        <f>IFERROR(__xludf.DUMMYFUNCTION("""COMPUTED_VALUE"""),1.32264)</f>
        <v>1.32264</v>
      </c>
      <c r="I98" s="4">
        <f>IFERROR(__xludf.DUMMYFUNCTION("""COMPUTED_VALUE"""),4046748.0610392)</f>
        <v>4046748.061</v>
      </c>
      <c r="J98" s="4">
        <f>IFERROR(__xludf.DUMMYFUNCTION("""COMPUTED_VALUE"""),92.95616666666666)</f>
        <v>92.95616667</v>
      </c>
      <c r="K98" s="4">
        <f>IFERROR(__xludf.DUMMYFUNCTION("""COMPUTED_VALUE"""),4046841.0172058665)</f>
        <v>4046841.017</v>
      </c>
    </row>
    <row r="99" ht="22.5" customHeight="1">
      <c r="A99" s="2" t="str">
        <f>IFERROR(__xludf.DUMMYFUNCTION("""COMPUTED_VALUE"""),"L1")</f>
        <v>L1</v>
      </c>
      <c r="B99" s="2" t="str">
        <f>IFERROR(__xludf.DUMMYFUNCTION("""COMPUTED_VALUE"""),"2026-02")</f>
        <v>2026-02</v>
      </c>
      <c r="C99" s="2" t="str">
        <f>IFERROR(__xludf.DUMMYFUNCTION("""COMPUTED_VALUE"""),"LSCENSV0006")</f>
        <v>LSCENSV0006</v>
      </c>
      <c r="D99" s="2">
        <f>IFERROR(__xludf.DUMMYFUNCTION("""COMPUTED_VALUE"""),740.0)</f>
        <v>740</v>
      </c>
      <c r="E99" s="2">
        <f>IFERROR(__xludf.DUMMYFUNCTION("""COMPUTED_VALUE"""),74.0)</f>
        <v>74</v>
      </c>
      <c r="F99" s="4">
        <f>IFERROR(__xludf.DUMMYFUNCTION("""COMPUTED_VALUE"""),4127253.8)</f>
        <v>4127253.8</v>
      </c>
      <c r="G99" s="4">
        <f>IFERROR(__xludf.DUMMYFUNCTION("""COMPUTED_VALUE"""),238946.0)</f>
        <v>238946</v>
      </c>
      <c r="H99" s="9">
        <f>IFERROR(__xludf.DUMMYFUNCTION("""COMPUTED_VALUE"""),1.32264)</f>
        <v>1.32264</v>
      </c>
      <c r="I99" s="4">
        <f>IFERROR(__xludf.DUMMYFUNCTION("""COMPUTED_VALUE"""),5774910.503472)</f>
        <v>5774910.503</v>
      </c>
      <c r="J99" s="4">
        <f>IFERROR(__xludf.DUMMYFUNCTION("""COMPUTED_VALUE"""),185.91233333333332)</f>
        <v>185.9123333</v>
      </c>
      <c r="K99" s="4">
        <f>IFERROR(__xludf.DUMMYFUNCTION("""COMPUTED_VALUE"""),5775096.415805333)</f>
        <v>5775096.416</v>
      </c>
    </row>
    <row r="100" ht="22.5" customHeight="1">
      <c r="A100" s="2" t="str">
        <f>IFERROR(__xludf.DUMMYFUNCTION("""COMPUTED_VALUE"""),"L1")</f>
        <v>L1</v>
      </c>
      <c r="B100" s="2" t="str">
        <f>IFERROR(__xludf.DUMMYFUNCTION("""COMPUTED_VALUE"""),"2026-03")</f>
        <v>2026-03</v>
      </c>
      <c r="C100" s="2" t="str">
        <f>IFERROR(__xludf.DUMMYFUNCTION("""COMPUTED_VALUE"""),"LSCENSV0006")</f>
        <v>LSCENSV0006</v>
      </c>
      <c r="D100" s="2">
        <f>IFERROR(__xludf.DUMMYFUNCTION("""COMPUTED_VALUE"""),740.0)</f>
        <v>740</v>
      </c>
      <c r="E100" s="2">
        <f>IFERROR(__xludf.DUMMYFUNCTION("""COMPUTED_VALUE"""),74.0)</f>
        <v>74</v>
      </c>
      <c r="F100" s="4">
        <f>IFERROR(__xludf.DUMMYFUNCTION("""COMPUTED_VALUE"""),4127253.8)</f>
        <v>4127253.8</v>
      </c>
      <c r="G100" s="4">
        <f>IFERROR(__xludf.DUMMYFUNCTION("""COMPUTED_VALUE"""),238280.0)</f>
        <v>238280</v>
      </c>
      <c r="H100" s="9">
        <f>IFERROR(__xludf.DUMMYFUNCTION("""COMPUTED_VALUE"""),1.32264)</f>
        <v>1.32264</v>
      </c>
      <c r="I100" s="4">
        <f>IFERROR(__xludf.DUMMYFUNCTION("""COMPUTED_VALUE"""),5774029.625232)</f>
        <v>5774029.625</v>
      </c>
      <c r="J100" s="4">
        <f>IFERROR(__xludf.DUMMYFUNCTION("""COMPUTED_VALUE"""),185.91233333333332)</f>
        <v>185.9123333</v>
      </c>
      <c r="K100" s="4">
        <f>IFERROR(__xludf.DUMMYFUNCTION("""COMPUTED_VALUE"""),5774215.537565333)</f>
        <v>5774215.538</v>
      </c>
    </row>
    <row r="101" ht="22.5" customHeight="1">
      <c r="A101" s="2" t="str">
        <f>IFERROR(__xludf.DUMMYFUNCTION("""COMPUTED_VALUE"""),"L1")</f>
        <v>L1</v>
      </c>
      <c r="B101" s="2" t="str">
        <f>IFERROR(__xludf.DUMMYFUNCTION("""COMPUTED_VALUE"""),"2026-04")</f>
        <v>2026-04</v>
      </c>
      <c r="C101" s="2" t="str">
        <f>IFERROR(__xludf.DUMMYFUNCTION("""COMPUTED_VALUE"""),"LSCENSV0006")</f>
        <v>LSCENSV0006</v>
      </c>
      <c r="D101" s="2">
        <f>IFERROR(__xludf.DUMMYFUNCTION("""COMPUTED_VALUE"""),740.0)</f>
        <v>740</v>
      </c>
      <c r="E101" s="2">
        <f>IFERROR(__xludf.DUMMYFUNCTION("""COMPUTED_VALUE"""),74.0)</f>
        <v>74</v>
      </c>
      <c r="F101" s="4">
        <f>IFERROR(__xludf.DUMMYFUNCTION("""COMPUTED_VALUE"""),4127253.8)</f>
        <v>4127253.8</v>
      </c>
      <c r="G101" s="4">
        <f>IFERROR(__xludf.DUMMYFUNCTION("""COMPUTED_VALUE"""),245976.0)</f>
        <v>245976</v>
      </c>
      <c r="H101" s="9">
        <f>IFERROR(__xludf.DUMMYFUNCTION("""COMPUTED_VALUE"""),1.32264)</f>
        <v>1.32264</v>
      </c>
      <c r="I101" s="4">
        <f>IFERROR(__xludf.DUMMYFUNCTION("""COMPUTED_VALUE"""),5784208.662672)</f>
        <v>5784208.663</v>
      </c>
      <c r="J101" s="4">
        <f>IFERROR(__xludf.DUMMYFUNCTION("""COMPUTED_VALUE"""),185.91233333333332)</f>
        <v>185.9123333</v>
      </c>
      <c r="K101" s="4">
        <f>IFERROR(__xludf.DUMMYFUNCTION("""COMPUTED_VALUE"""),5784394.575005333)</f>
        <v>5784394.575</v>
      </c>
    </row>
    <row r="102" ht="22.5" customHeight="1">
      <c r="A102" s="2" t="str">
        <f>IFERROR(__xludf.DUMMYFUNCTION("""COMPUTED_VALUE"""),"L1")</f>
        <v>L1</v>
      </c>
      <c r="B102" s="2" t="str">
        <f>IFERROR(__xludf.DUMMYFUNCTION("""COMPUTED_VALUE"""),"2026-05")</f>
        <v>2026-05</v>
      </c>
      <c r="C102" s="2" t="str">
        <f>IFERROR(__xludf.DUMMYFUNCTION("""COMPUTED_VALUE"""),"LSCENSV0006")</f>
        <v>LSCENSV0006</v>
      </c>
      <c r="D102" s="2">
        <f>IFERROR(__xludf.DUMMYFUNCTION("""COMPUTED_VALUE"""),740.0)</f>
        <v>740</v>
      </c>
      <c r="E102" s="2">
        <f>IFERROR(__xludf.DUMMYFUNCTION("""COMPUTED_VALUE"""),74.0)</f>
        <v>74</v>
      </c>
      <c r="F102" s="4">
        <f>IFERROR(__xludf.DUMMYFUNCTION("""COMPUTED_VALUE"""),4127253.8)</f>
        <v>4127253.8</v>
      </c>
      <c r="G102" s="4">
        <f>IFERROR(__xludf.DUMMYFUNCTION("""COMPUTED_VALUE"""),249232.0)</f>
        <v>249232</v>
      </c>
      <c r="H102" s="9">
        <f>IFERROR(__xludf.DUMMYFUNCTION("""COMPUTED_VALUE"""),1.32264)</f>
        <v>1.32264</v>
      </c>
      <c r="I102" s="4">
        <f>IFERROR(__xludf.DUMMYFUNCTION("""COMPUTED_VALUE"""),5788515.178512)</f>
        <v>5788515.179</v>
      </c>
      <c r="J102" s="4">
        <f>IFERROR(__xludf.DUMMYFUNCTION("""COMPUTED_VALUE"""),185.91233333333332)</f>
        <v>185.9123333</v>
      </c>
      <c r="K102" s="4">
        <f>IFERROR(__xludf.DUMMYFUNCTION("""COMPUTED_VALUE"""),5788701.0908453325)</f>
        <v>5788701.091</v>
      </c>
    </row>
    <row r="103" ht="22.5" customHeight="1">
      <c r="A103" s="2" t="str">
        <f>IFERROR(__xludf.DUMMYFUNCTION("""COMPUTED_VALUE"""),"L1")</f>
        <v>L1</v>
      </c>
      <c r="B103" s="2" t="str">
        <f>IFERROR(__xludf.DUMMYFUNCTION("""COMPUTED_VALUE"""),"2026-06")</f>
        <v>2026-06</v>
      </c>
      <c r="C103" s="2" t="str">
        <f>IFERROR(__xludf.DUMMYFUNCTION("""COMPUTED_VALUE"""),"LSCENSV0006")</f>
        <v>LSCENSV0006</v>
      </c>
      <c r="D103" s="2">
        <f>IFERROR(__xludf.DUMMYFUNCTION("""COMPUTED_VALUE"""),738.0)</f>
        <v>738</v>
      </c>
      <c r="E103" s="2">
        <f>IFERROR(__xludf.DUMMYFUNCTION("""COMPUTED_VALUE"""),74.0)</f>
        <v>74</v>
      </c>
      <c r="F103" s="4">
        <f>IFERROR(__xludf.DUMMYFUNCTION("""COMPUTED_VALUE"""),4116099.06)</f>
        <v>4116099.06</v>
      </c>
      <c r="G103" s="4">
        <f>IFERROR(__xludf.DUMMYFUNCTION("""COMPUTED_VALUE"""),255744.0)</f>
        <v>255744</v>
      </c>
      <c r="H103" s="9">
        <f>IFERROR(__xludf.DUMMYFUNCTION("""COMPUTED_VALUE"""),1.32264)</f>
        <v>1.32264</v>
      </c>
      <c r="I103" s="4">
        <f>IFERROR(__xludf.DUMMYFUNCTION("""COMPUTED_VALUE"""),5782374.504878401)</f>
        <v>5782374.505</v>
      </c>
      <c r="J103" s="4">
        <f>IFERROR(__xludf.DUMMYFUNCTION("""COMPUTED_VALUE"""),0.0)</f>
        <v>0</v>
      </c>
      <c r="K103" s="4">
        <f>IFERROR(__xludf.DUMMYFUNCTION("""COMPUTED_VALUE"""),5782374.504878401)</f>
        <v>5782374.505</v>
      </c>
    </row>
    <row r="104" ht="22.5" customHeight="1">
      <c r="A104" s="2" t="str">
        <f>IFERROR(__xludf.DUMMYFUNCTION("""COMPUTED_VALUE"""),"L1")</f>
        <v>L1</v>
      </c>
      <c r="B104" s="2" t="str">
        <f>IFERROR(__xludf.DUMMYFUNCTION("""COMPUTED_VALUE"""),"2026-07")</f>
        <v>2026-07</v>
      </c>
      <c r="C104" s="2" t="str">
        <f>IFERROR(__xludf.DUMMYFUNCTION("""COMPUTED_VALUE"""),"LSCENSV0006")</f>
        <v>LSCENSV0006</v>
      </c>
      <c r="D104" s="2">
        <f>IFERROR(__xludf.DUMMYFUNCTION("""COMPUTED_VALUE"""),740.0)</f>
        <v>740</v>
      </c>
      <c r="E104" s="2">
        <f>IFERROR(__xludf.DUMMYFUNCTION("""COMPUTED_VALUE"""),74.0)</f>
        <v>74</v>
      </c>
      <c r="F104" s="4">
        <f>IFERROR(__xludf.DUMMYFUNCTION("""COMPUTED_VALUE"""),4127253.8)</f>
        <v>4127253.8</v>
      </c>
      <c r="G104" s="4">
        <f>IFERROR(__xludf.DUMMYFUNCTION("""COMPUTED_VALUE"""),262700.0)</f>
        <v>262700</v>
      </c>
      <c r="H104" s="9">
        <f>IFERROR(__xludf.DUMMYFUNCTION("""COMPUTED_VALUE"""),1.32264)</f>
        <v>1.32264</v>
      </c>
      <c r="I104" s="4">
        <f>IFERROR(__xludf.DUMMYFUNCTION("""COMPUTED_VALUE"""),5806328.494032)</f>
        <v>5806328.494</v>
      </c>
      <c r="J104" s="4">
        <f>IFERROR(__xludf.DUMMYFUNCTION("""COMPUTED_VALUE"""),0.0)</f>
        <v>0</v>
      </c>
      <c r="K104" s="4">
        <f>IFERROR(__xludf.DUMMYFUNCTION("""COMPUTED_VALUE"""),5806328.494032)</f>
        <v>5806328.494</v>
      </c>
    </row>
    <row r="105" ht="22.5" customHeight="1">
      <c r="A105" s="2" t="str">
        <f>IFERROR(__xludf.DUMMYFUNCTION("""COMPUTED_VALUE"""),"L1")</f>
        <v>L1</v>
      </c>
      <c r="B105" s="2" t="str">
        <f>IFERROR(__xludf.DUMMYFUNCTION("""COMPUTED_VALUE"""),"2026-08")</f>
        <v>2026-08</v>
      </c>
      <c r="C105" s="2" t="str">
        <f>IFERROR(__xludf.DUMMYFUNCTION("""COMPUTED_VALUE"""),"LSCENSV0006")</f>
        <v>LSCENSV0006</v>
      </c>
      <c r="D105" s="2">
        <f>IFERROR(__xludf.DUMMYFUNCTION("""COMPUTED_VALUE"""),740.0)</f>
        <v>740</v>
      </c>
      <c r="E105" s="2">
        <f>IFERROR(__xludf.DUMMYFUNCTION("""COMPUTED_VALUE"""),74.0)</f>
        <v>74</v>
      </c>
      <c r="F105" s="4">
        <f>IFERROR(__xludf.DUMMYFUNCTION("""COMPUTED_VALUE"""),4127253.8)</f>
        <v>4127253.8</v>
      </c>
      <c r="G105" s="4">
        <f>IFERROR(__xludf.DUMMYFUNCTION("""COMPUTED_VALUE"""),263588.0)</f>
        <v>263588</v>
      </c>
      <c r="H105" s="9">
        <f>IFERROR(__xludf.DUMMYFUNCTION("""COMPUTED_VALUE"""),1.32264)</f>
        <v>1.32264</v>
      </c>
      <c r="I105" s="4">
        <f>IFERROR(__xludf.DUMMYFUNCTION("""COMPUTED_VALUE"""),5807502.998352)</f>
        <v>5807502.998</v>
      </c>
      <c r="J105" s="4">
        <f>IFERROR(__xludf.DUMMYFUNCTION("""COMPUTED_VALUE"""),0.0)</f>
        <v>0</v>
      </c>
      <c r="K105" s="4">
        <f>IFERROR(__xludf.DUMMYFUNCTION("""COMPUTED_VALUE"""),5807502.998352)</f>
        <v>5807502.998</v>
      </c>
    </row>
    <row r="106" ht="22.5" customHeight="1">
      <c r="A106" s="2" t="str">
        <f>IFERROR(__xludf.DUMMYFUNCTION("""COMPUTED_VALUE"""),"L1")</f>
        <v>L1</v>
      </c>
      <c r="B106" s="2" t="str">
        <f>IFERROR(__xludf.DUMMYFUNCTION("""COMPUTED_VALUE"""),"2026-09")</f>
        <v>2026-09</v>
      </c>
      <c r="C106" s="2" t="str">
        <f>IFERROR(__xludf.DUMMYFUNCTION("""COMPUTED_VALUE"""),"LSCENSV0006")</f>
        <v>LSCENSV0006</v>
      </c>
      <c r="D106" s="2">
        <f>IFERROR(__xludf.DUMMYFUNCTION("""COMPUTED_VALUE"""),750.0)</f>
        <v>750</v>
      </c>
      <c r="E106" s="2">
        <f>IFERROR(__xludf.DUMMYFUNCTION("""COMPUTED_VALUE"""),75.0)</f>
        <v>75</v>
      </c>
      <c r="F106" s="4">
        <f>IFERROR(__xludf.DUMMYFUNCTION("""COMPUTED_VALUE"""),4183027.5)</f>
        <v>4183027.5</v>
      </c>
      <c r="G106" s="4">
        <f>IFERROR(__xludf.DUMMYFUNCTION("""COMPUTED_VALUE"""),255300.0)</f>
        <v>255300</v>
      </c>
      <c r="H106" s="9">
        <f>IFERROR(__xludf.DUMMYFUNCTION("""COMPUTED_VALUE"""),1.32264)</f>
        <v>1.32264</v>
      </c>
      <c r="I106" s="4">
        <f>IFERROR(__xludf.DUMMYFUNCTION("""COMPUTED_VALUE"""),5870309.4846)</f>
        <v>5870309.485</v>
      </c>
      <c r="J106" s="4">
        <f>IFERROR(__xludf.DUMMYFUNCTION("""COMPUTED_VALUE"""),929.5616666666666)</f>
        <v>929.5616667</v>
      </c>
      <c r="K106" s="4">
        <f>IFERROR(__xludf.DUMMYFUNCTION("""COMPUTED_VALUE"""),5871239.046266667)</f>
        <v>5871239.046</v>
      </c>
    </row>
    <row r="107" ht="22.5" customHeight="1">
      <c r="A107" s="2" t="str">
        <f>IFERROR(__xludf.DUMMYFUNCTION("""COMPUTED_VALUE"""),"L1")</f>
        <v>L1</v>
      </c>
      <c r="B107" s="2" t="str">
        <f>IFERROR(__xludf.DUMMYFUNCTION("""COMPUTED_VALUE"""),"2026-10")</f>
        <v>2026-10</v>
      </c>
      <c r="C107" s="2" t="str">
        <f>IFERROR(__xludf.DUMMYFUNCTION("""COMPUTED_VALUE"""),"LSCENSV0006")</f>
        <v>LSCENSV0006</v>
      </c>
      <c r="D107" s="2">
        <f>IFERROR(__xludf.DUMMYFUNCTION("""COMPUTED_VALUE"""),740.0)</f>
        <v>740</v>
      </c>
      <c r="E107" s="2">
        <f>IFERROR(__xludf.DUMMYFUNCTION("""COMPUTED_VALUE"""),74.0)</f>
        <v>74</v>
      </c>
      <c r="F107" s="4">
        <f>IFERROR(__xludf.DUMMYFUNCTION("""COMPUTED_VALUE"""),4127253.8)</f>
        <v>4127253.8</v>
      </c>
      <c r="G107" s="4">
        <f>IFERROR(__xludf.DUMMYFUNCTION("""COMPUTED_VALUE"""),252932.0)</f>
        <v>252932</v>
      </c>
      <c r="H107" s="9">
        <f>IFERROR(__xludf.DUMMYFUNCTION("""COMPUTED_VALUE"""),1.32264)</f>
        <v>1.32264</v>
      </c>
      <c r="I107" s="4">
        <f>IFERROR(__xludf.DUMMYFUNCTION("""COMPUTED_VALUE"""),5793408.946512)</f>
        <v>5793408.947</v>
      </c>
      <c r="J107" s="4">
        <f>IFERROR(__xludf.DUMMYFUNCTION("""COMPUTED_VALUE"""),929.5616666666666)</f>
        <v>929.5616667</v>
      </c>
      <c r="K107" s="4">
        <f>IFERROR(__xludf.DUMMYFUNCTION("""COMPUTED_VALUE"""),5794338.508178666)</f>
        <v>5794338.508</v>
      </c>
    </row>
    <row r="108" ht="22.5" customHeight="1">
      <c r="A108" s="2" t="str">
        <f>IFERROR(__xludf.DUMMYFUNCTION("""COMPUTED_VALUE"""),"L1")</f>
        <v>L1</v>
      </c>
      <c r="B108" s="2" t="str">
        <f>IFERROR(__xludf.DUMMYFUNCTION("""COMPUTED_VALUE"""),"2026-11")</f>
        <v>2026-11</v>
      </c>
      <c r="C108" s="2" t="str">
        <f>IFERROR(__xludf.DUMMYFUNCTION("""COMPUTED_VALUE"""),"LSCENSV0006")</f>
        <v>LSCENSV0006</v>
      </c>
      <c r="D108" s="2">
        <f>IFERROR(__xludf.DUMMYFUNCTION("""COMPUTED_VALUE"""),731.0)</f>
        <v>731</v>
      </c>
      <c r="E108" s="2">
        <f>IFERROR(__xludf.DUMMYFUNCTION("""COMPUTED_VALUE"""),74.0)</f>
        <v>74</v>
      </c>
      <c r="F108" s="4">
        <f>IFERROR(__xludf.DUMMYFUNCTION("""COMPUTED_VALUE"""),4077057.4699999997)</f>
        <v>4077057.47</v>
      </c>
      <c r="G108" s="4">
        <f>IFERROR(__xludf.DUMMYFUNCTION("""COMPUTED_VALUE"""),269138.0)</f>
        <v>269138</v>
      </c>
      <c r="H108" s="9">
        <f>IFERROR(__xludf.DUMMYFUNCTION("""COMPUTED_VALUE"""),1.32264)</f>
        <v>1.32264</v>
      </c>
      <c r="I108" s="4">
        <f>IFERROR(__xludf.DUMMYFUNCTION("""COMPUTED_VALUE"""),5748451.976440799)</f>
        <v>5748451.976</v>
      </c>
      <c r="J108" s="4">
        <f>IFERROR(__xludf.DUMMYFUNCTION("""COMPUTED_VALUE"""),92.95616666666666)</f>
        <v>92.95616667</v>
      </c>
      <c r="K108" s="4">
        <f>IFERROR(__xludf.DUMMYFUNCTION("""COMPUTED_VALUE"""),5748544.932607466)</f>
        <v>5748544.933</v>
      </c>
    </row>
    <row r="109" ht="22.5" customHeight="1">
      <c r="A109" s="2" t="str">
        <f>IFERROR(__xludf.DUMMYFUNCTION("""COMPUTED_VALUE"""),"L1")</f>
        <v>L1</v>
      </c>
      <c r="B109" s="2" t="str">
        <f>IFERROR(__xludf.DUMMYFUNCTION("""COMPUTED_VALUE"""),"2026-12")</f>
        <v>2026-12</v>
      </c>
      <c r="C109" s="2" t="str">
        <f>IFERROR(__xludf.DUMMYFUNCTION("""COMPUTED_VALUE"""),"LSCENSV0006")</f>
        <v>LSCENSV0006</v>
      </c>
      <c r="D109" s="2">
        <f>IFERROR(__xludf.DUMMYFUNCTION("""COMPUTED_VALUE"""),740.0)</f>
        <v>740</v>
      </c>
      <c r="E109" s="2">
        <f>IFERROR(__xludf.DUMMYFUNCTION("""COMPUTED_VALUE"""),74.0)</f>
        <v>74</v>
      </c>
      <c r="F109" s="4">
        <f>IFERROR(__xludf.DUMMYFUNCTION("""COMPUTED_VALUE"""),4127253.8)</f>
        <v>4127253.8</v>
      </c>
      <c r="G109" s="4">
        <f>IFERROR(__xludf.DUMMYFUNCTION("""COMPUTED_VALUE"""),286898.0)</f>
        <v>286898</v>
      </c>
      <c r="H109" s="9">
        <f>IFERROR(__xludf.DUMMYFUNCTION("""COMPUTED_VALUE"""),1.32264)</f>
        <v>1.32264</v>
      </c>
      <c r="I109" s="4">
        <f>IFERROR(__xludf.DUMMYFUNCTION("""COMPUTED_VALUE"""),5838333.736752)</f>
        <v>5838333.737</v>
      </c>
      <c r="J109" s="4">
        <f>IFERROR(__xludf.DUMMYFUNCTION("""COMPUTED_VALUE"""),92.95616666666666)</f>
        <v>92.95616667</v>
      </c>
      <c r="K109" s="4">
        <f>IFERROR(__xludf.DUMMYFUNCTION("""COMPUTED_VALUE"""),5838426.692918667)</f>
        <v>5838426.693</v>
      </c>
    </row>
    <row r="110" ht="22.5" customHeight="1">
      <c r="A110" s="2" t="str">
        <f>IFERROR(__xludf.DUMMYFUNCTION("""COMPUTED_VALUE"""),"L1")</f>
        <v>L1</v>
      </c>
      <c r="B110" s="2" t="str">
        <f>IFERROR(__xludf.DUMMYFUNCTION("""COMPUTED_VALUE"""),"2026-01")</f>
        <v>2026-01</v>
      </c>
      <c r="C110" s="2" t="str">
        <f>IFERROR(__xludf.DUMMYFUNCTION("""COMPUTED_VALUE"""),"LSCENSV0006-LX")</f>
        <v>LSCENSV0006-LX</v>
      </c>
      <c r="D110" s="2">
        <f>IFERROR(__xludf.DUMMYFUNCTION("""COMPUTED_VALUE"""),371.0)</f>
        <v>371</v>
      </c>
      <c r="E110" s="2">
        <f>IFERROR(__xludf.DUMMYFUNCTION("""COMPUTED_VALUE"""),53.0)</f>
        <v>53</v>
      </c>
      <c r="F110" s="4">
        <f>IFERROR(__xludf.DUMMYFUNCTION("""COMPUTED_VALUE"""),3206912.8699999996)</f>
        <v>3206912.87</v>
      </c>
      <c r="G110" s="4">
        <f>IFERROR(__xludf.DUMMYFUNCTION("""COMPUTED_VALUE"""),168116.0)</f>
        <v>168116</v>
      </c>
      <c r="H110" s="9">
        <f>IFERROR(__xludf.DUMMYFUNCTION("""COMPUTED_VALUE"""),1.32264)</f>
        <v>1.32264</v>
      </c>
      <c r="I110" s="4">
        <f>IFERROR(__xludf.DUMMYFUNCTION("""COMPUTED_VALUE"""),4463948.1846167995)</f>
        <v>4463948.185</v>
      </c>
      <c r="J110" s="4">
        <f>IFERROR(__xludf.DUMMYFUNCTION("""COMPUTED_VALUE"""),1440.6616666666664)</f>
        <v>1440.661667</v>
      </c>
      <c r="K110" s="4">
        <f>IFERROR(__xludf.DUMMYFUNCTION("""COMPUTED_VALUE"""),4465388.846283467)</f>
        <v>4465388.846</v>
      </c>
    </row>
    <row r="111" ht="22.5" customHeight="1">
      <c r="A111" s="2" t="str">
        <f>IFERROR(__xludf.DUMMYFUNCTION("""COMPUTED_VALUE"""),"L1")</f>
        <v>L1</v>
      </c>
      <c r="B111" s="2" t="str">
        <f>IFERROR(__xludf.DUMMYFUNCTION("""COMPUTED_VALUE"""),"2026-02")</f>
        <v>2026-02</v>
      </c>
      <c r="C111" s="2" t="str">
        <f>IFERROR(__xludf.DUMMYFUNCTION("""COMPUTED_VALUE"""),"LSCENSV0006-LX")</f>
        <v>LSCENSV0006-LX</v>
      </c>
      <c r="D111" s="2">
        <f>IFERROR(__xludf.DUMMYFUNCTION("""COMPUTED_VALUE"""),513.0)</f>
        <v>513</v>
      </c>
      <c r="E111" s="2">
        <f>IFERROR(__xludf.DUMMYFUNCTION("""COMPUTED_VALUE"""),74.0)</f>
        <v>74</v>
      </c>
      <c r="F111" s="4">
        <f>IFERROR(__xludf.DUMMYFUNCTION("""COMPUTED_VALUE"""),4434356.609999999)</f>
        <v>4434356.61</v>
      </c>
      <c r="G111" s="4">
        <f>IFERROR(__xludf.DUMMYFUNCTION("""COMPUTED_VALUE"""),238946.0)</f>
        <v>238946</v>
      </c>
      <c r="H111" s="9">
        <f>IFERROR(__xludf.DUMMYFUNCTION("""COMPUTED_VALUE"""),1.32264)</f>
        <v>1.32264</v>
      </c>
      <c r="I111" s="4">
        <f>IFERROR(__xludf.DUMMYFUNCTION("""COMPUTED_VALUE"""),6181096.964090399)</f>
        <v>6181096.964</v>
      </c>
      <c r="J111" s="4">
        <f>IFERROR(__xludf.DUMMYFUNCTION("""COMPUTED_VALUE"""),4754.183499999999)</f>
        <v>4754.1835</v>
      </c>
      <c r="K111" s="4">
        <f>IFERROR(__xludf.DUMMYFUNCTION("""COMPUTED_VALUE"""),6185851.1475904)</f>
        <v>6185851.148</v>
      </c>
    </row>
    <row r="112" ht="22.5" customHeight="1">
      <c r="A112" s="2" t="str">
        <f>IFERROR(__xludf.DUMMYFUNCTION("""COMPUTED_VALUE"""),"L1")</f>
        <v>L1</v>
      </c>
      <c r="B112" s="2" t="str">
        <f>IFERROR(__xludf.DUMMYFUNCTION("""COMPUTED_VALUE"""),"2026-03")</f>
        <v>2026-03</v>
      </c>
      <c r="C112" s="2" t="str">
        <f>IFERROR(__xludf.DUMMYFUNCTION("""COMPUTED_VALUE"""),"LSCENSV0006-LX")</f>
        <v>LSCENSV0006-LX</v>
      </c>
      <c r="D112" s="2">
        <f>IFERROR(__xludf.DUMMYFUNCTION("""COMPUTED_VALUE"""),475.0)</f>
        <v>475</v>
      </c>
      <c r="E112" s="2">
        <f>IFERROR(__xludf.DUMMYFUNCTION("""COMPUTED_VALUE"""),68.0)</f>
        <v>68</v>
      </c>
      <c r="F112" s="4">
        <f>IFERROR(__xludf.DUMMYFUNCTION("""COMPUTED_VALUE"""),4105885.7499999995)</f>
        <v>4105885.75</v>
      </c>
      <c r="G112" s="4">
        <f>IFERROR(__xludf.DUMMYFUNCTION("""COMPUTED_VALUE"""),218960.0)</f>
        <v>218960</v>
      </c>
      <c r="H112" s="9">
        <f>IFERROR(__xludf.DUMMYFUNCTION("""COMPUTED_VALUE"""),1.32264)</f>
        <v>1.32264</v>
      </c>
      <c r="I112" s="4">
        <f>IFERROR(__xludf.DUMMYFUNCTION("""COMPUTED_VALUE"""),5720213.98278)</f>
        <v>5720213.983</v>
      </c>
      <c r="J112" s="4">
        <f>IFERROR(__xludf.DUMMYFUNCTION("""COMPUTED_VALUE"""),2305.0586666666663)</f>
        <v>2305.058667</v>
      </c>
      <c r="K112" s="4">
        <f>IFERROR(__xludf.DUMMYFUNCTION("""COMPUTED_VALUE"""),5722519.041446667)</f>
        <v>5722519.041</v>
      </c>
    </row>
    <row r="113" ht="22.5" customHeight="1">
      <c r="A113" s="2" t="str">
        <f>IFERROR(__xludf.DUMMYFUNCTION("""COMPUTED_VALUE"""),"L1")</f>
        <v>L1</v>
      </c>
      <c r="B113" s="2" t="str">
        <f>IFERROR(__xludf.DUMMYFUNCTION("""COMPUTED_VALUE"""),"2026-04")</f>
        <v>2026-04</v>
      </c>
      <c r="C113" s="2" t="str">
        <f>IFERROR(__xludf.DUMMYFUNCTION("""COMPUTED_VALUE"""),"LSCENSV0006-LX")</f>
        <v>LSCENSV0006-LX</v>
      </c>
      <c r="D113" s="2">
        <f>IFERROR(__xludf.DUMMYFUNCTION("""COMPUTED_VALUE"""),483.0)</f>
        <v>483</v>
      </c>
      <c r="E113" s="2">
        <f>IFERROR(__xludf.DUMMYFUNCTION("""COMPUTED_VALUE"""),69.0)</f>
        <v>69</v>
      </c>
      <c r="F113" s="4">
        <f>IFERROR(__xludf.DUMMYFUNCTION("""COMPUTED_VALUE"""),4175037.51)</f>
        <v>4175037.51</v>
      </c>
      <c r="G113" s="4">
        <f>IFERROR(__xludf.DUMMYFUNCTION("""COMPUTED_VALUE"""),229356.0)</f>
        <v>229356</v>
      </c>
      <c r="H113" s="9">
        <f>IFERROR(__xludf.DUMMYFUNCTION("""COMPUTED_VALUE"""),1.32264)</f>
        <v>1.32264</v>
      </c>
      <c r="I113" s="4">
        <f>IFERROR(__xludf.DUMMYFUNCTION("""COMPUTED_VALUE"""),5825427.0320664)</f>
        <v>5825427.032</v>
      </c>
      <c r="J113" s="4">
        <f>IFERROR(__xludf.DUMMYFUNCTION("""COMPUTED_VALUE"""),1008.4631666666666)</f>
        <v>1008.463167</v>
      </c>
      <c r="K113" s="4">
        <f>IFERROR(__xludf.DUMMYFUNCTION("""COMPUTED_VALUE"""),5826435.495233066)</f>
        <v>5826435.495</v>
      </c>
    </row>
    <row r="114" ht="22.5" customHeight="1">
      <c r="A114" s="2" t="str">
        <f>IFERROR(__xludf.DUMMYFUNCTION("""COMPUTED_VALUE"""),"L1")</f>
        <v>L1</v>
      </c>
      <c r="B114" s="2" t="str">
        <f>IFERROR(__xludf.DUMMYFUNCTION("""COMPUTED_VALUE"""),"2026-05")</f>
        <v>2026-05</v>
      </c>
      <c r="C114" s="2" t="str">
        <f>IFERROR(__xludf.DUMMYFUNCTION("""COMPUTED_VALUE"""),"LSCENSV0006-LX")</f>
        <v>LSCENSV0006-LX</v>
      </c>
      <c r="D114" s="2">
        <f>IFERROR(__xludf.DUMMYFUNCTION("""COMPUTED_VALUE"""),490.0)</f>
        <v>490</v>
      </c>
      <c r="E114" s="2">
        <f>IFERROR(__xludf.DUMMYFUNCTION("""COMPUTED_VALUE"""),70.0)</f>
        <v>70</v>
      </c>
      <c r="F114" s="4">
        <f>IFERROR(__xludf.DUMMYFUNCTION("""COMPUTED_VALUE"""),4235545.3)</f>
        <v>4235545.3</v>
      </c>
      <c r="G114" s="4">
        <f>IFERROR(__xludf.DUMMYFUNCTION("""COMPUTED_VALUE"""),235760.0)</f>
        <v>235760</v>
      </c>
      <c r="H114" s="9">
        <f>IFERROR(__xludf.DUMMYFUNCTION("""COMPUTED_VALUE"""),1.32264)</f>
        <v>1.32264</v>
      </c>
      <c r="I114" s="4">
        <f>IFERROR(__xludf.DUMMYFUNCTION("""COMPUTED_VALUE"""),5913927.241992)</f>
        <v>5913927.242</v>
      </c>
      <c r="J114" s="4">
        <f>IFERROR(__xludf.DUMMYFUNCTION("""COMPUTED_VALUE"""),720.3308333333332)</f>
        <v>720.3308333</v>
      </c>
      <c r="K114" s="4">
        <f>IFERROR(__xludf.DUMMYFUNCTION("""COMPUTED_VALUE"""),5914647.572825333)</f>
        <v>5914647.573</v>
      </c>
    </row>
    <row r="115" ht="22.5" customHeight="1">
      <c r="A115" s="2" t="str">
        <f>IFERROR(__xludf.DUMMYFUNCTION("""COMPUTED_VALUE"""),"L1")</f>
        <v>L1</v>
      </c>
      <c r="B115" s="2" t="str">
        <f>IFERROR(__xludf.DUMMYFUNCTION("""COMPUTED_VALUE"""),"2026-06")</f>
        <v>2026-06</v>
      </c>
      <c r="C115" s="2" t="str">
        <f>IFERROR(__xludf.DUMMYFUNCTION("""COMPUTED_VALUE"""),"LSCENSV0006-LX")</f>
        <v>LSCENSV0006-LX</v>
      </c>
      <c r="D115" s="2">
        <f>IFERROR(__xludf.DUMMYFUNCTION("""COMPUTED_VALUE"""),489.0)</f>
        <v>489</v>
      </c>
      <c r="E115" s="2">
        <f>IFERROR(__xludf.DUMMYFUNCTION("""COMPUTED_VALUE"""),70.0)</f>
        <v>70</v>
      </c>
      <c r="F115" s="4">
        <f>IFERROR(__xludf.DUMMYFUNCTION("""COMPUTED_VALUE"""),4226901.33)</f>
        <v>4226901.33</v>
      </c>
      <c r="G115" s="4">
        <f>IFERROR(__xludf.DUMMYFUNCTION("""COMPUTED_VALUE"""),241920.0)</f>
        <v>241920</v>
      </c>
      <c r="H115" s="9">
        <f>IFERROR(__xludf.DUMMYFUNCTION("""COMPUTED_VALUE"""),1.32264)</f>
        <v>1.32264</v>
      </c>
      <c r="I115" s="4">
        <f>IFERROR(__xludf.DUMMYFUNCTION("""COMPUTED_VALUE"""),5910641.8439112)</f>
        <v>5910641.844</v>
      </c>
      <c r="J115" s="4">
        <f>IFERROR(__xludf.DUMMYFUNCTION("""COMPUTED_VALUE"""),288.1323333333333)</f>
        <v>288.1323333</v>
      </c>
      <c r="K115" s="4">
        <f>IFERROR(__xludf.DUMMYFUNCTION("""COMPUTED_VALUE"""),5910929.976244533)</f>
        <v>5910929.976</v>
      </c>
    </row>
    <row r="116" ht="22.5" customHeight="1">
      <c r="A116" s="2" t="str">
        <f>IFERROR(__xludf.DUMMYFUNCTION("""COMPUTED_VALUE"""),"L1")</f>
        <v>L1</v>
      </c>
      <c r="B116" s="2" t="str">
        <f>IFERROR(__xludf.DUMMYFUNCTION("""COMPUTED_VALUE"""),"2026-07")</f>
        <v>2026-07</v>
      </c>
      <c r="C116" s="2" t="str">
        <f>IFERROR(__xludf.DUMMYFUNCTION("""COMPUTED_VALUE"""),"LSCENSV0006-LX")</f>
        <v>LSCENSV0006-LX</v>
      </c>
      <c r="D116" s="2">
        <f>IFERROR(__xludf.DUMMYFUNCTION("""COMPUTED_VALUE"""),504.0)</f>
        <v>504</v>
      </c>
      <c r="E116" s="2">
        <f>IFERROR(__xludf.DUMMYFUNCTION("""COMPUTED_VALUE"""),72.0)</f>
        <v>72</v>
      </c>
      <c r="F116" s="4">
        <f>IFERROR(__xludf.DUMMYFUNCTION("""COMPUTED_VALUE"""),4356560.88)</f>
        <v>4356560.88</v>
      </c>
      <c r="G116" s="4">
        <f>IFERROR(__xludf.DUMMYFUNCTION("""COMPUTED_VALUE"""),255600.0)</f>
        <v>255600</v>
      </c>
      <c r="H116" s="9">
        <f>IFERROR(__xludf.DUMMYFUNCTION("""COMPUTED_VALUE"""),1.32264)</f>
        <v>1.32264</v>
      </c>
      <c r="I116" s="4">
        <f>IFERROR(__xludf.DUMMYFUNCTION("""COMPUTED_VALUE"""),6100228.4663232)</f>
        <v>6100228.466</v>
      </c>
      <c r="J116" s="4">
        <f>IFERROR(__xludf.DUMMYFUNCTION("""COMPUTED_VALUE"""),2016.926333333333)</f>
        <v>2016.926333</v>
      </c>
      <c r="K116" s="4">
        <f>IFERROR(__xludf.DUMMYFUNCTION("""COMPUTED_VALUE"""),6102245.392656533)</f>
        <v>6102245.393</v>
      </c>
    </row>
    <row r="117" ht="22.5" customHeight="1">
      <c r="A117" s="2" t="str">
        <f>IFERROR(__xludf.DUMMYFUNCTION("""COMPUTED_VALUE"""),"L1")</f>
        <v>L1</v>
      </c>
      <c r="B117" s="2" t="str">
        <f>IFERROR(__xludf.DUMMYFUNCTION("""COMPUTED_VALUE"""),"2026-08")</f>
        <v>2026-08</v>
      </c>
      <c r="C117" s="2" t="str">
        <f>IFERROR(__xludf.DUMMYFUNCTION("""COMPUTED_VALUE"""),"LSCENSV0006-LX")</f>
        <v>LSCENSV0006-LX</v>
      </c>
      <c r="D117" s="2">
        <f>IFERROR(__xludf.DUMMYFUNCTION("""COMPUTED_VALUE"""),497.0)</f>
        <v>497</v>
      </c>
      <c r="E117" s="2">
        <f>IFERROR(__xludf.DUMMYFUNCTION("""COMPUTED_VALUE"""),71.0)</f>
        <v>71</v>
      </c>
      <c r="F117" s="4">
        <f>IFERROR(__xludf.DUMMYFUNCTION("""COMPUTED_VALUE"""),4296053.09)</f>
        <v>4296053.09</v>
      </c>
      <c r="G117" s="4">
        <f>IFERROR(__xludf.DUMMYFUNCTION("""COMPUTED_VALUE"""),252902.0)</f>
        <v>252902</v>
      </c>
      <c r="H117" s="9">
        <f>IFERROR(__xludf.DUMMYFUNCTION("""COMPUTED_VALUE"""),1.32264)</f>
        <v>1.32264</v>
      </c>
      <c r="I117" s="4">
        <f>IFERROR(__xludf.DUMMYFUNCTION("""COMPUTED_VALUE"""),6016629.9602376)</f>
        <v>6016629.96</v>
      </c>
      <c r="J117" s="4">
        <f>IFERROR(__xludf.DUMMYFUNCTION("""COMPUTED_VALUE"""),2737.2571666666663)</f>
        <v>2737.257167</v>
      </c>
      <c r="K117" s="4">
        <f>IFERROR(__xludf.DUMMYFUNCTION("""COMPUTED_VALUE"""),6019367.217404267)</f>
        <v>6019367.217</v>
      </c>
    </row>
    <row r="118" ht="22.5" customHeight="1">
      <c r="A118" s="2" t="str">
        <f>IFERROR(__xludf.DUMMYFUNCTION("""COMPUTED_VALUE"""),"L1")</f>
        <v>L1</v>
      </c>
      <c r="B118" s="2" t="str">
        <f>IFERROR(__xludf.DUMMYFUNCTION("""COMPUTED_VALUE"""),"2026-09")</f>
        <v>2026-09</v>
      </c>
      <c r="C118" s="2" t="str">
        <f>IFERROR(__xludf.DUMMYFUNCTION("""COMPUTED_VALUE"""),"LSCENSV0006-LX")</f>
        <v>LSCENSV0006-LX</v>
      </c>
      <c r="D118" s="2">
        <f>IFERROR(__xludf.DUMMYFUNCTION("""COMPUTED_VALUE"""),476.0)</f>
        <v>476</v>
      </c>
      <c r="E118" s="2">
        <f>IFERROR(__xludf.DUMMYFUNCTION("""COMPUTED_VALUE"""),68.0)</f>
        <v>68</v>
      </c>
      <c r="F118" s="4">
        <f>IFERROR(__xludf.DUMMYFUNCTION("""COMPUTED_VALUE"""),4114529.7199999997)</f>
        <v>4114529.72</v>
      </c>
      <c r="G118" s="4">
        <f>IFERROR(__xludf.DUMMYFUNCTION("""COMPUTED_VALUE"""),231472.0)</f>
        <v>231472</v>
      </c>
      <c r="H118" s="9">
        <f>IFERROR(__xludf.DUMMYFUNCTION("""COMPUTED_VALUE"""),1.32264)</f>
        <v>1.32264</v>
      </c>
      <c r="I118" s="4">
        <f>IFERROR(__xludf.DUMMYFUNCTION("""COMPUTED_VALUE"""),5748195.714940799)</f>
        <v>5748195.715</v>
      </c>
      <c r="J118" s="4">
        <f>IFERROR(__xludf.DUMMYFUNCTION("""COMPUTED_VALUE"""),432.19849999999997)</f>
        <v>432.1985</v>
      </c>
      <c r="K118" s="4">
        <f>IFERROR(__xludf.DUMMYFUNCTION("""COMPUTED_VALUE"""),5748627.913440799)</f>
        <v>5748627.913</v>
      </c>
    </row>
    <row r="119" ht="22.5" customHeight="1">
      <c r="A119" s="2" t="str">
        <f>IFERROR(__xludf.DUMMYFUNCTION("""COMPUTED_VALUE"""),"L1")</f>
        <v>L1</v>
      </c>
      <c r="B119" s="2" t="str">
        <f>IFERROR(__xludf.DUMMYFUNCTION("""COMPUTED_VALUE"""),"2026-10")</f>
        <v>2026-10</v>
      </c>
      <c r="C119" s="2" t="str">
        <f>IFERROR(__xludf.DUMMYFUNCTION("""COMPUTED_VALUE"""),"LSCENSV0006-LX")</f>
        <v>LSCENSV0006-LX</v>
      </c>
      <c r="D119" s="2">
        <f>IFERROR(__xludf.DUMMYFUNCTION("""COMPUTED_VALUE"""),490.0)</f>
        <v>490</v>
      </c>
      <c r="E119" s="2">
        <f>IFERROR(__xludf.DUMMYFUNCTION("""COMPUTED_VALUE"""),70.0)</f>
        <v>70</v>
      </c>
      <c r="F119" s="4">
        <f>IFERROR(__xludf.DUMMYFUNCTION("""COMPUTED_VALUE"""),4235545.3)</f>
        <v>4235545.3</v>
      </c>
      <c r="G119" s="4">
        <f>IFERROR(__xludf.DUMMYFUNCTION("""COMPUTED_VALUE"""),239260.0)</f>
        <v>239260</v>
      </c>
      <c r="H119" s="9">
        <f>IFERROR(__xludf.DUMMYFUNCTION("""COMPUTED_VALUE"""),1.32264)</f>
        <v>1.32264</v>
      </c>
      <c r="I119" s="4">
        <f>IFERROR(__xludf.DUMMYFUNCTION("""COMPUTED_VALUE"""),5918556.481992)</f>
        <v>5918556.482</v>
      </c>
      <c r="J119" s="4">
        <f>IFERROR(__xludf.DUMMYFUNCTION("""COMPUTED_VALUE"""),144.06616666666665)</f>
        <v>144.0661667</v>
      </c>
      <c r="K119" s="4">
        <f>IFERROR(__xludf.DUMMYFUNCTION("""COMPUTED_VALUE"""),5918700.548158666)</f>
        <v>5918700.548</v>
      </c>
    </row>
    <row r="120" ht="22.5" customHeight="1">
      <c r="A120" s="2" t="str">
        <f>IFERROR(__xludf.DUMMYFUNCTION("""COMPUTED_VALUE"""),"L1")</f>
        <v>L1</v>
      </c>
      <c r="B120" s="2" t="str">
        <f>IFERROR(__xludf.DUMMYFUNCTION("""COMPUTED_VALUE"""),"2026-11")</f>
        <v>2026-11</v>
      </c>
      <c r="C120" s="2" t="str">
        <f>IFERROR(__xludf.DUMMYFUNCTION("""COMPUTED_VALUE"""),"LSCENSV0006-LX")</f>
        <v>LSCENSV0006-LX</v>
      </c>
      <c r="D120" s="2">
        <f>IFERROR(__xludf.DUMMYFUNCTION("""COMPUTED_VALUE"""),500.0)</f>
        <v>500</v>
      </c>
      <c r="E120" s="2">
        <f>IFERROR(__xludf.DUMMYFUNCTION("""COMPUTED_VALUE"""),72.0)</f>
        <v>72</v>
      </c>
      <c r="F120" s="4">
        <f>IFERROR(__xludf.DUMMYFUNCTION("""COMPUTED_VALUE"""),4321985.0)</f>
        <v>4321985</v>
      </c>
      <c r="G120" s="4">
        <f>IFERROR(__xludf.DUMMYFUNCTION("""COMPUTED_VALUE"""),261864.0)</f>
        <v>261864</v>
      </c>
      <c r="H120" s="9">
        <f>IFERROR(__xludf.DUMMYFUNCTION("""COMPUTED_VALUE"""),1.32264)</f>
        <v>1.32264</v>
      </c>
      <c r="I120" s="4">
        <f>IFERROR(__xludf.DUMMYFUNCTION("""COMPUTED_VALUE"""),6062782.04136)</f>
        <v>6062782.041</v>
      </c>
      <c r="J120" s="4">
        <f>IFERROR(__xludf.DUMMYFUNCTION("""COMPUTED_VALUE"""),1296.5955)</f>
        <v>1296.5955</v>
      </c>
      <c r="K120" s="4">
        <f>IFERROR(__xludf.DUMMYFUNCTION("""COMPUTED_VALUE"""),6064078.63686)</f>
        <v>6064078.637</v>
      </c>
    </row>
    <row r="121" ht="22.5" customHeight="1">
      <c r="A121" s="2" t="str">
        <f>IFERROR(__xludf.DUMMYFUNCTION("""COMPUTED_VALUE"""),"L1")</f>
        <v>L1</v>
      </c>
      <c r="B121" s="2" t="str">
        <f>IFERROR(__xludf.DUMMYFUNCTION("""COMPUTED_VALUE"""),"2026-12")</f>
        <v>2026-12</v>
      </c>
      <c r="C121" s="2" t="str">
        <f>IFERROR(__xludf.DUMMYFUNCTION("""COMPUTED_VALUE"""),"LSCENSV0006-LX")</f>
        <v>LSCENSV0006-LX</v>
      </c>
      <c r="D121" s="2">
        <f>IFERROR(__xludf.DUMMYFUNCTION("""COMPUTED_VALUE"""),483.0)</f>
        <v>483</v>
      </c>
      <c r="E121" s="2">
        <f>IFERROR(__xludf.DUMMYFUNCTION("""COMPUTED_VALUE"""),69.0)</f>
        <v>69</v>
      </c>
      <c r="F121" s="4">
        <f>IFERROR(__xludf.DUMMYFUNCTION("""COMPUTED_VALUE"""),4175037.51)</f>
        <v>4175037.51</v>
      </c>
      <c r="G121" s="4">
        <f>IFERROR(__xludf.DUMMYFUNCTION("""COMPUTED_VALUE"""),267513.0)</f>
        <v>267513</v>
      </c>
      <c r="H121" s="9">
        <f>IFERROR(__xludf.DUMMYFUNCTION("""COMPUTED_VALUE"""),1.32264)</f>
        <v>1.32264</v>
      </c>
      <c r="I121" s="4">
        <f>IFERROR(__xludf.DUMMYFUNCTION("""COMPUTED_VALUE"""),5875895.0065464)</f>
        <v>5875895.007</v>
      </c>
      <c r="J121" s="4">
        <f>IFERROR(__xludf.DUMMYFUNCTION("""COMPUTED_VALUE"""),0.0)</f>
        <v>0</v>
      </c>
      <c r="K121" s="4">
        <f>IFERROR(__xludf.DUMMYFUNCTION("""COMPUTED_VALUE"""),5875895.0065464)</f>
        <v>5875895.007</v>
      </c>
    </row>
    <row r="122" ht="22.5" customHeight="1">
      <c r="A122" s="2" t="str">
        <f>IFERROR(__xludf.DUMMYFUNCTION("""COMPUTED_VALUE"""),"L1")</f>
        <v>L1</v>
      </c>
      <c r="B122" s="2" t="str">
        <f>IFERROR(__xludf.DUMMYFUNCTION("""COMPUTED_VALUE"""),"2026-01")</f>
        <v>2026-01</v>
      </c>
      <c r="C122" s="2" t="str">
        <f>IFERROR(__xludf.DUMMYFUNCTION("""COMPUTED_VALUE"""),"LSCHSV0008")</f>
        <v>LSCHSV0008</v>
      </c>
      <c r="D122" s="2">
        <f>IFERROR(__xludf.DUMMYFUNCTION("""COMPUTED_VALUE"""),0.0)</f>
        <v>0</v>
      </c>
      <c r="E122" s="2">
        <f>IFERROR(__xludf.DUMMYFUNCTION("""COMPUTED_VALUE"""),0.0)</f>
        <v>0</v>
      </c>
      <c r="F122" s="4">
        <f>IFERROR(__xludf.DUMMYFUNCTION("""COMPUTED_VALUE"""),0.0)</f>
        <v>0</v>
      </c>
      <c r="G122" s="4">
        <f>IFERROR(__xludf.DUMMYFUNCTION("""COMPUTED_VALUE"""),0.0)</f>
        <v>0</v>
      </c>
      <c r="H122" s="9">
        <f>IFERROR(__xludf.DUMMYFUNCTION("""COMPUTED_VALUE"""),1.32264)</f>
        <v>1.32264</v>
      </c>
      <c r="I122" s="4">
        <f>IFERROR(__xludf.DUMMYFUNCTION("""COMPUTED_VALUE"""),0.0)</f>
        <v>0</v>
      </c>
      <c r="J122" s="4">
        <f>IFERROR(__xludf.DUMMYFUNCTION("""COMPUTED_VALUE"""),185.91233333333332)</f>
        <v>185.9123333</v>
      </c>
      <c r="K122" s="4">
        <f>IFERROR(__xludf.DUMMYFUNCTION("""COMPUTED_VALUE"""),185.91233333333332)</f>
        <v>185.9123333</v>
      </c>
    </row>
    <row r="123" ht="22.5" customHeight="1">
      <c r="A123" s="2" t="str">
        <f>IFERROR(__xludf.DUMMYFUNCTION("""COMPUTED_VALUE"""),"L1")</f>
        <v>L1</v>
      </c>
      <c r="B123" s="2" t="str">
        <f>IFERROR(__xludf.DUMMYFUNCTION("""COMPUTED_VALUE"""),"2026-02")</f>
        <v>2026-02</v>
      </c>
      <c r="C123" s="2" t="str">
        <f>IFERROR(__xludf.DUMMYFUNCTION("""COMPUTED_VALUE"""),"LSCHSV0008")</f>
        <v>LSCHSV0008</v>
      </c>
      <c r="D123" s="2">
        <f>IFERROR(__xludf.DUMMYFUNCTION("""COMPUTED_VALUE"""),426.0)</f>
        <v>426</v>
      </c>
      <c r="E123" s="2">
        <f>IFERROR(__xludf.DUMMYFUNCTION("""COMPUTED_VALUE"""),22.0)</f>
        <v>22</v>
      </c>
      <c r="F123" s="4">
        <f>IFERROR(__xludf.DUMMYFUNCTION("""COMPUTED_VALUE"""),2375959.62)</f>
        <v>2375959.62</v>
      </c>
      <c r="G123" s="4">
        <f>IFERROR(__xludf.DUMMYFUNCTION("""COMPUTED_VALUE"""),71038.0)</f>
        <v>71038</v>
      </c>
      <c r="H123" s="9">
        <f>IFERROR(__xludf.DUMMYFUNCTION("""COMPUTED_VALUE"""),1.32264)</f>
        <v>1.32264</v>
      </c>
      <c r="I123" s="4">
        <f>IFERROR(__xludf.DUMMYFUNCTION("""COMPUTED_VALUE"""),3236496.9321168005)</f>
        <v>3236496.932</v>
      </c>
      <c r="J123" s="4">
        <f>IFERROR(__xludf.DUMMYFUNCTION("""COMPUTED_VALUE"""),0.0)</f>
        <v>0</v>
      </c>
      <c r="K123" s="4">
        <f>IFERROR(__xludf.DUMMYFUNCTION("""COMPUTED_VALUE"""),3236496.9321168005)</f>
        <v>3236496.932</v>
      </c>
    </row>
    <row r="124" ht="22.5" customHeight="1">
      <c r="A124" s="2" t="str">
        <f>IFERROR(__xludf.DUMMYFUNCTION("""COMPUTED_VALUE"""),"L1")</f>
        <v>L1</v>
      </c>
      <c r="B124" s="2" t="str">
        <f>IFERROR(__xludf.DUMMYFUNCTION("""COMPUTED_VALUE"""),"2026-03")</f>
        <v>2026-03</v>
      </c>
      <c r="C124" s="2" t="str">
        <f>IFERROR(__xludf.DUMMYFUNCTION("""COMPUTED_VALUE"""),"LSCHSV0008")</f>
        <v>LSCHSV0008</v>
      </c>
      <c r="D124" s="2">
        <f>IFERROR(__xludf.DUMMYFUNCTION("""COMPUTED_VALUE"""),760.0)</f>
        <v>760</v>
      </c>
      <c r="E124" s="2">
        <f>IFERROR(__xludf.DUMMYFUNCTION("""COMPUTED_VALUE"""),38.0)</f>
        <v>38</v>
      </c>
      <c r="F124" s="4">
        <f>IFERROR(__xludf.DUMMYFUNCTION("""COMPUTED_VALUE"""),4238801.2)</f>
        <v>4238801.2</v>
      </c>
      <c r="G124" s="4">
        <f>IFERROR(__xludf.DUMMYFUNCTION("""COMPUTED_VALUE"""),122360.0)</f>
        <v>122360</v>
      </c>
      <c r="H124" s="9">
        <f>IFERROR(__xludf.DUMMYFUNCTION("""COMPUTED_VALUE"""),1.32264)</f>
        <v>1.32264</v>
      </c>
      <c r="I124" s="4">
        <f>IFERROR(__xludf.DUMMYFUNCTION("""COMPUTED_VALUE"""),5768246.249568)</f>
        <v>5768246.25</v>
      </c>
      <c r="J124" s="4">
        <f>IFERROR(__xludf.DUMMYFUNCTION("""COMPUTED_VALUE"""),1859.1233333333332)</f>
        <v>1859.123333</v>
      </c>
      <c r="K124" s="4">
        <f>IFERROR(__xludf.DUMMYFUNCTION("""COMPUTED_VALUE"""),5770105.3729013335)</f>
        <v>5770105.373</v>
      </c>
    </row>
    <row r="125" ht="22.5" customHeight="1">
      <c r="A125" s="2" t="str">
        <f>IFERROR(__xludf.DUMMYFUNCTION("""COMPUTED_VALUE"""),"L1")</f>
        <v>L1</v>
      </c>
      <c r="B125" s="2" t="str">
        <f>IFERROR(__xludf.DUMMYFUNCTION("""COMPUTED_VALUE"""),"2026-04")</f>
        <v>2026-04</v>
      </c>
      <c r="C125" s="2" t="str">
        <f>IFERROR(__xludf.DUMMYFUNCTION("""COMPUTED_VALUE"""),"LSCHSV0008")</f>
        <v>LSCHSV0008</v>
      </c>
      <c r="D125" s="2">
        <f>IFERROR(__xludf.DUMMYFUNCTION("""COMPUTED_VALUE"""),720.0)</f>
        <v>720</v>
      </c>
      <c r="E125" s="2">
        <f>IFERROR(__xludf.DUMMYFUNCTION("""COMPUTED_VALUE"""),36.0)</f>
        <v>36</v>
      </c>
      <c r="F125" s="4">
        <f>IFERROR(__xludf.DUMMYFUNCTION("""COMPUTED_VALUE"""),4015706.4)</f>
        <v>4015706.4</v>
      </c>
      <c r="G125" s="4">
        <f>IFERROR(__xludf.DUMMYFUNCTION("""COMPUTED_VALUE"""),119664.0)</f>
        <v>119664</v>
      </c>
      <c r="H125" s="9">
        <f>IFERROR(__xludf.DUMMYFUNCTION("""COMPUTED_VALUE"""),1.32264)</f>
        <v>1.32264</v>
      </c>
      <c r="I125" s="4">
        <f>IFERROR(__xludf.DUMMYFUNCTION("""COMPUTED_VALUE"""),5469606.305856)</f>
        <v>5469606.306</v>
      </c>
      <c r="J125" s="4">
        <f>IFERROR(__xludf.DUMMYFUNCTION("""COMPUTED_VALUE"""),0.0)</f>
        <v>0</v>
      </c>
      <c r="K125" s="4">
        <f>IFERROR(__xludf.DUMMYFUNCTION("""COMPUTED_VALUE"""),5469606.305856)</f>
        <v>5469606.306</v>
      </c>
    </row>
    <row r="126" ht="22.5" customHeight="1">
      <c r="A126" s="2" t="str">
        <f>IFERROR(__xludf.DUMMYFUNCTION("""COMPUTED_VALUE"""),"L1")</f>
        <v>L1</v>
      </c>
      <c r="B126" s="2" t="str">
        <f>IFERROR(__xludf.DUMMYFUNCTION("""COMPUTED_VALUE"""),"2026-05")</f>
        <v>2026-05</v>
      </c>
      <c r="C126" s="2" t="str">
        <f>IFERROR(__xludf.DUMMYFUNCTION("""COMPUTED_VALUE"""),"LSCHSV0008")</f>
        <v>LSCHSV0008</v>
      </c>
      <c r="D126" s="2">
        <f>IFERROR(__xludf.DUMMYFUNCTION("""COMPUTED_VALUE"""),740.0)</f>
        <v>740</v>
      </c>
      <c r="E126" s="2">
        <f>IFERROR(__xludf.DUMMYFUNCTION("""COMPUTED_VALUE"""),37.0)</f>
        <v>37</v>
      </c>
      <c r="F126" s="4">
        <f>IFERROR(__xludf.DUMMYFUNCTION("""COMPUTED_VALUE"""),4127253.8)</f>
        <v>4127253.8</v>
      </c>
      <c r="G126" s="4">
        <f>IFERROR(__xludf.DUMMYFUNCTION("""COMPUTED_VALUE"""),124616.0)</f>
        <v>124616</v>
      </c>
      <c r="H126" s="9">
        <f>IFERROR(__xludf.DUMMYFUNCTION("""COMPUTED_VALUE"""),1.32264)</f>
        <v>1.32264</v>
      </c>
      <c r="I126" s="4">
        <f>IFERROR(__xludf.DUMMYFUNCTION("""COMPUTED_VALUE"""),5623693.072272)</f>
        <v>5623693.072</v>
      </c>
      <c r="J126" s="4">
        <f>IFERROR(__xludf.DUMMYFUNCTION("""COMPUTED_VALUE"""),0.0)</f>
        <v>0</v>
      </c>
      <c r="K126" s="4">
        <f>IFERROR(__xludf.DUMMYFUNCTION("""COMPUTED_VALUE"""),5623693.072272)</f>
        <v>5623693.072</v>
      </c>
    </row>
    <row r="127" ht="22.5" customHeight="1">
      <c r="A127" s="2" t="str">
        <f>IFERROR(__xludf.DUMMYFUNCTION("""COMPUTED_VALUE"""),"L1")</f>
        <v>L1</v>
      </c>
      <c r="B127" s="2" t="str">
        <f>IFERROR(__xludf.DUMMYFUNCTION("""COMPUTED_VALUE"""),"2026-06")</f>
        <v>2026-06</v>
      </c>
      <c r="C127" s="2" t="str">
        <f>IFERROR(__xludf.DUMMYFUNCTION("""COMPUTED_VALUE"""),"LSCHSV0008")</f>
        <v>LSCHSV0008</v>
      </c>
      <c r="D127" s="2">
        <f>IFERROR(__xludf.DUMMYFUNCTION("""COMPUTED_VALUE"""),740.0)</f>
        <v>740</v>
      </c>
      <c r="E127" s="2">
        <f>IFERROR(__xludf.DUMMYFUNCTION("""COMPUTED_VALUE"""),37.0)</f>
        <v>37</v>
      </c>
      <c r="F127" s="4">
        <f>IFERROR(__xludf.DUMMYFUNCTION("""COMPUTED_VALUE"""),4127253.8)</f>
        <v>4127253.8</v>
      </c>
      <c r="G127" s="4">
        <f>IFERROR(__xludf.DUMMYFUNCTION("""COMPUTED_VALUE"""),127872.0)</f>
        <v>127872</v>
      </c>
      <c r="H127" s="9">
        <f>IFERROR(__xludf.DUMMYFUNCTION("""COMPUTED_VALUE"""),1.32264)</f>
        <v>1.32264</v>
      </c>
      <c r="I127" s="4">
        <f>IFERROR(__xludf.DUMMYFUNCTION("""COMPUTED_VALUE"""),5627999.588112)</f>
        <v>5627999.588</v>
      </c>
      <c r="J127" s="4">
        <f>IFERROR(__xludf.DUMMYFUNCTION("""COMPUTED_VALUE"""),0.0)</f>
        <v>0</v>
      </c>
      <c r="K127" s="4">
        <f>IFERROR(__xludf.DUMMYFUNCTION("""COMPUTED_VALUE"""),5627999.588112)</f>
        <v>5627999.588</v>
      </c>
    </row>
    <row r="128" ht="22.5" customHeight="1">
      <c r="A128" s="2" t="str">
        <f>IFERROR(__xludf.DUMMYFUNCTION("""COMPUTED_VALUE"""),"L1")</f>
        <v>L1</v>
      </c>
      <c r="B128" s="2" t="str">
        <f>IFERROR(__xludf.DUMMYFUNCTION("""COMPUTED_VALUE"""),"2026-07")</f>
        <v>2026-07</v>
      </c>
      <c r="C128" s="2" t="str">
        <f>IFERROR(__xludf.DUMMYFUNCTION("""COMPUTED_VALUE"""),"LSCHSV0008")</f>
        <v>LSCHSV0008</v>
      </c>
      <c r="D128" s="2">
        <f>IFERROR(__xludf.DUMMYFUNCTION("""COMPUTED_VALUE"""),740.0)</f>
        <v>740</v>
      </c>
      <c r="E128" s="2">
        <f>IFERROR(__xludf.DUMMYFUNCTION("""COMPUTED_VALUE"""),37.0)</f>
        <v>37</v>
      </c>
      <c r="F128" s="4">
        <f>IFERROR(__xludf.DUMMYFUNCTION("""COMPUTED_VALUE"""),4127253.8)</f>
        <v>4127253.8</v>
      </c>
      <c r="G128" s="4">
        <f>IFERROR(__xludf.DUMMYFUNCTION("""COMPUTED_VALUE"""),131350.0)</f>
        <v>131350</v>
      </c>
      <c r="H128" s="9">
        <f>IFERROR(__xludf.DUMMYFUNCTION("""COMPUTED_VALUE"""),1.32264)</f>
        <v>1.32264</v>
      </c>
      <c r="I128" s="4">
        <f>IFERROR(__xludf.DUMMYFUNCTION("""COMPUTED_VALUE"""),5632599.730032)</f>
        <v>5632599.73</v>
      </c>
      <c r="J128" s="4">
        <f>IFERROR(__xludf.DUMMYFUNCTION("""COMPUTED_VALUE"""),0.0)</f>
        <v>0</v>
      </c>
      <c r="K128" s="4">
        <f>IFERROR(__xludf.DUMMYFUNCTION("""COMPUTED_VALUE"""),5632599.730032)</f>
        <v>5632599.73</v>
      </c>
    </row>
    <row r="129" ht="22.5" customHeight="1">
      <c r="A129" s="2" t="str">
        <f>IFERROR(__xludf.DUMMYFUNCTION("""COMPUTED_VALUE"""),"L1")</f>
        <v>L1</v>
      </c>
      <c r="B129" s="2" t="str">
        <f>IFERROR(__xludf.DUMMYFUNCTION("""COMPUTED_VALUE"""),"2026-08")</f>
        <v>2026-08</v>
      </c>
      <c r="C129" s="2" t="str">
        <f>IFERROR(__xludf.DUMMYFUNCTION("""COMPUTED_VALUE"""),"LSCHSV0008")</f>
        <v>LSCHSV0008</v>
      </c>
      <c r="D129" s="2">
        <f>IFERROR(__xludf.DUMMYFUNCTION("""COMPUTED_VALUE"""),740.0)</f>
        <v>740</v>
      </c>
      <c r="E129" s="2">
        <f>IFERROR(__xludf.DUMMYFUNCTION("""COMPUTED_VALUE"""),37.0)</f>
        <v>37</v>
      </c>
      <c r="F129" s="4">
        <f>IFERROR(__xludf.DUMMYFUNCTION("""COMPUTED_VALUE"""),4127253.8)</f>
        <v>4127253.8</v>
      </c>
      <c r="G129" s="4">
        <f>IFERROR(__xludf.DUMMYFUNCTION("""COMPUTED_VALUE"""),131794.0)</f>
        <v>131794</v>
      </c>
      <c r="H129" s="9">
        <f>IFERROR(__xludf.DUMMYFUNCTION("""COMPUTED_VALUE"""),1.32264)</f>
        <v>1.32264</v>
      </c>
      <c r="I129" s="4">
        <f>IFERROR(__xludf.DUMMYFUNCTION("""COMPUTED_VALUE"""),5633186.982192)</f>
        <v>5633186.982</v>
      </c>
      <c r="J129" s="4">
        <f>IFERROR(__xludf.DUMMYFUNCTION("""COMPUTED_VALUE"""),0.0)</f>
        <v>0</v>
      </c>
      <c r="K129" s="4">
        <f>IFERROR(__xludf.DUMMYFUNCTION("""COMPUTED_VALUE"""),5633186.982192)</f>
        <v>5633186.982</v>
      </c>
    </row>
    <row r="130" ht="22.5" customHeight="1">
      <c r="A130" s="2" t="str">
        <f>IFERROR(__xludf.DUMMYFUNCTION("""COMPUTED_VALUE"""),"L1")</f>
        <v>L1</v>
      </c>
      <c r="B130" s="2" t="str">
        <f>IFERROR(__xludf.DUMMYFUNCTION("""COMPUTED_VALUE"""),"2026-09")</f>
        <v>2026-09</v>
      </c>
      <c r="C130" s="2" t="str">
        <f>IFERROR(__xludf.DUMMYFUNCTION("""COMPUTED_VALUE"""),"LSCHSV0008")</f>
        <v>LSCHSV0008</v>
      </c>
      <c r="D130" s="2">
        <f>IFERROR(__xludf.DUMMYFUNCTION("""COMPUTED_VALUE"""),772.0)</f>
        <v>772</v>
      </c>
      <c r="E130" s="2">
        <f>IFERROR(__xludf.DUMMYFUNCTION("""COMPUTED_VALUE"""),39.0)</f>
        <v>39</v>
      </c>
      <c r="F130" s="4">
        <f>IFERROR(__xludf.DUMMYFUNCTION("""COMPUTED_VALUE"""),4305729.64)</f>
        <v>4305729.64</v>
      </c>
      <c r="G130" s="4">
        <f>IFERROR(__xludf.DUMMYFUNCTION("""COMPUTED_VALUE"""),132756.0)</f>
        <v>132756</v>
      </c>
      <c r="H130" s="9">
        <f>IFERROR(__xludf.DUMMYFUNCTION("""COMPUTED_VALUE"""),1.32264)</f>
        <v>1.32264</v>
      </c>
      <c r="I130" s="4">
        <f>IFERROR(__xludf.DUMMYFUNCTION("""COMPUTED_VALUE"""),5870518.6468896)</f>
        <v>5870518.647</v>
      </c>
      <c r="J130" s="4">
        <f>IFERROR(__xludf.DUMMYFUNCTION("""COMPUTED_VALUE"""),2974.597333333333)</f>
        <v>2974.597333</v>
      </c>
      <c r="K130" s="4">
        <f>IFERROR(__xludf.DUMMYFUNCTION("""COMPUTED_VALUE"""),5873493.244222933)</f>
        <v>5873493.244</v>
      </c>
    </row>
    <row r="131" ht="22.5" customHeight="1">
      <c r="A131" s="2" t="str">
        <f>IFERROR(__xludf.DUMMYFUNCTION("""COMPUTED_VALUE"""),"L1")</f>
        <v>L1</v>
      </c>
      <c r="B131" s="2" t="str">
        <f>IFERROR(__xludf.DUMMYFUNCTION("""COMPUTED_VALUE"""),"2026-10")</f>
        <v>2026-10</v>
      </c>
      <c r="C131" s="2" t="str">
        <f>IFERROR(__xludf.DUMMYFUNCTION("""COMPUTED_VALUE"""),"LSCHSV0008")</f>
        <v>LSCHSV0008</v>
      </c>
      <c r="D131" s="2">
        <f>IFERROR(__xludf.DUMMYFUNCTION("""COMPUTED_VALUE"""),700.0)</f>
        <v>700</v>
      </c>
      <c r="E131" s="2">
        <f>IFERROR(__xludf.DUMMYFUNCTION("""COMPUTED_VALUE"""),35.0)</f>
        <v>35</v>
      </c>
      <c r="F131" s="4">
        <f>IFERROR(__xludf.DUMMYFUNCTION("""COMPUTED_VALUE"""),3904159.0)</f>
        <v>3904159</v>
      </c>
      <c r="G131" s="4">
        <f>IFERROR(__xludf.DUMMYFUNCTION("""COMPUTED_VALUE"""),119630.0)</f>
        <v>119630</v>
      </c>
      <c r="H131" s="9">
        <f>IFERROR(__xludf.DUMMYFUNCTION("""COMPUTED_VALUE"""),1.32264)</f>
        <v>1.32264</v>
      </c>
      <c r="I131" s="4">
        <f>IFERROR(__xludf.DUMMYFUNCTION("""COMPUTED_VALUE"""),5322024.28296)</f>
        <v>5322024.283</v>
      </c>
      <c r="J131" s="4">
        <f>IFERROR(__xludf.DUMMYFUNCTION("""COMPUTED_VALUE"""),0.0)</f>
        <v>0</v>
      </c>
      <c r="K131" s="4">
        <f>IFERROR(__xludf.DUMMYFUNCTION("""COMPUTED_VALUE"""),5322024.28296)</f>
        <v>5322024.283</v>
      </c>
    </row>
    <row r="132" ht="22.5" customHeight="1">
      <c r="A132" s="2" t="str">
        <f>IFERROR(__xludf.DUMMYFUNCTION("""COMPUTED_VALUE"""),"L1")</f>
        <v>L1</v>
      </c>
      <c r="B132" s="2" t="str">
        <f>IFERROR(__xludf.DUMMYFUNCTION("""COMPUTED_VALUE"""),"2026-11")</f>
        <v>2026-11</v>
      </c>
      <c r="C132" s="2" t="str">
        <f>IFERROR(__xludf.DUMMYFUNCTION("""COMPUTED_VALUE"""),"LSCHSV0008")</f>
        <v>LSCHSV0008</v>
      </c>
      <c r="D132" s="2">
        <f>IFERROR(__xludf.DUMMYFUNCTION("""COMPUTED_VALUE"""),740.0)</f>
        <v>740</v>
      </c>
      <c r="E132" s="2">
        <f>IFERROR(__xludf.DUMMYFUNCTION("""COMPUTED_VALUE"""),37.0)</f>
        <v>37</v>
      </c>
      <c r="F132" s="4">
        <f>IFERROR(__xludf.DUMMYFUNCTION("""COMPUTED_VALUE"""),4127253.8)</f>
        <v>4127253.8</v>
      </c>
      <c r="G132" s="4">
        <f>IFERROR(__xludf.DUMMYFUNCTION("""COMPUTED_VALUE"""),134569.0)</f>
        <v>134569</v>
      </c>
      <c r="H132" s="9">
        <f>IFERROR(__xludf.DUMMYFUNCTION("""COMPUTED_VALUE"""),1.32264)</f>
        <v>1.32264</v>
      </c>
      <c r="I132" s="4">
        <f>IFERROR(__xludf.DUMMYFUNCTION("""COMPUTED_VALUE"""),5636857.308192)</f>
        <v>5636857.308</v>
      </c>
      <c r="J132" s="4">
        <f>IFERROR(__xludf.DUMMYFUNCTION("""COMPUTED_VALUE"""),0.0)</f>
        <v>0</v>
      </c>
      <c r="K132" s="4">
        <f>IFERROR(__xludf.DUMMYFUNCTION("""COMPUTED_VALUE"""),5636857.308192)</f>
        <v>5636857.308</v>
      </c>
    </row>
    <row r="133" ht="22.5" customHeight="1">
      <c r="A133" s="2" t="str">
        <f>IFERROR(__xludf.DUMMYFUNCTION("""COMPUTED_VALUE"""),"L1")</f>
        <v>L1</v>
      </c>
      <c r="B133" s="2" t="str">
        <f>IFERROR(__xludf.DUMMYFUNCTION("""COMPUTED_VALUE"""),"2026-12")</f>
        <v>2026-12</v>
      </c>
      <c r="C133" s="2" t="str">
        <f>IFERROR(__xludf.DUMMYFUNCTION("""COMPUTED_VALUE"""),"LSCHSV0008")</f>
        <v>LSCHSV0008</v>
      </c>
      <c r="D133" s="2">
        <f>IFERROR(__xludf.DUMMYFUNCTION("""COMPUTED_VALUE"""),740.0)</f>
        <v>740</v>
      </c>
      <c r="E133" s="2">
        <f>IFERROR(__xludf.DUMMYFUNCTION("""COMPUTED_VALUE"""),37.0)</f>
        <v>37</v>
      </c>
      <c r="F133" s="4">
        <f>IFERROR(__xludf.DUMMYFUNCTION("""COMPUTED_VALUE"""),4127253.8)</f>
        <v>4127253.8</v>
      </c>
      <c r="G133" s="4">
        <f>IFERROR(__xludf.DUMMYFUNCTION("""COMPUTED_VALUE"""),143449.0)</f>
        <v>143449</v>
      </c>
      <c r="H133" s="9">
        <f>IFERROR(__xludf.DUMMYFUNCTION("""COMPUTED_VALUE"""),1.32264)</f>
        <v>1.32264</v>
      </c>
      <c r="I133" s="4">
        <f>IFERROR(__xludf.DUMMYFUNCTION("""COMPUTED_VALUE"""),5648602.351392)</f>
        <v>5648602.351</v>
      </c>
      <c r="J133" s="4">
        <f>IFERROR(__xludf.DUMMYFUNCTION("""COMPUTED_VALUE"""),0.0)</f>
        <v>0</v>
      </c>
      <c r="K133" s="4">
        <f>IFERROR(__xludf.DUMMYFUNCTION("""COMPUTED_VALUE"""),5648602.351392)</f>
        <v>5648602.351</v>
      </c>
    </row>
    <row r="134" ht="22.5" customHeight="1">
      <c r="A134" s="2" t="str">
        <f>IFERROR(__xludf.DUMMYFUNCTION("""COMPUTED_VALUE"""),"L1")</f>
        <v>L1</v>
      </c>
      <c r="B134" s="2" t="str">
        <f>IFERROR(__xludf.DUMMYFUNCTION("""COMPUTED_VALUE"""),"2026-01")</f>
        <v>2026-01</v>
      </c>
      <c r="C134" s="2" t="str">
        <f>IFERROR(__xludf.DUMMYFUNCTION("""COMPUTED_VALUE"""),"LSCHSV0008-LX")</f>
        <v>LSCHSV0008-LX</v>
      </c>
      <c r="D134" s="2">
        <f>IFERROR(__xludf.DUMMYFUNCTION("""COMPUTED_VALUE"""),0.0)</f>
        <v>0</v>
      </c>
      <c r="E134" s="2">
        <f>IFERROR(__xludf.DUMMYFUNCTION("""COMPUTED_VALUE"""),0.0)</f>
        <v>0</v>
      </c>
      <c r="F134" s="4">
        <f>IFERROR(__xludf.DUMMYFUNCTION("""COMPUTED_VALUE"""),0.0)</f>
        <v>0</v>
      </c>
      <c r="G134" s="4">
        <f>IFERROR(__xludf.DUMMYFUNCTION("""COMPUTED_VALUE"""),0.0)</f>
        <v>0</v>
      </c>
      <c r="H134" s="9">
        <f>IFERROR(__xludf.DUMMYFUNCTION("""COMPUTED_VALUE"""),1.32264)</f>
        <v>1.32264</v>
      </c>
      <c r="I134" s="4">
        <f>IFERROR(__xludf.DUMMYFUNCTION("""COMPUTED_VALUE"""),0.0)</f>
        <v>0</v>
      </c>
      <c r="J134" s="4">
        <f>IFERROR(__xludf.DUMMYFUNCTION("""COMPUTED_VALUE"""),0.0)</f>
        <v>0</v>
      </c>
      <c r="K134" s="4">
        <f>IFERROR(__xludf.DUMMYFUNCTION("""COMPUTED_VALUE"""),0.0)</f>
        <v>0</v>
      </c>
    </row>
    <row r="135" ht="22.5" customHeight="1">
      <c r="A135" s="2" t="str">
        <f>IFERROR(__xludf.DUMMYFUNCTION("""COMPUTED_VALUE"""),"L1")</f>
        <v>L1</v>
      </c>
      <c r="B135" s="2" t="str">
        <f>IFERROR(__xludf.DUMMYFUNCTION("""COMPUTED_VALUE"""),"2026-02")</f>
        <v>2026-02</v>
      </c>
      <c r="C135" s="2" t="str">
        <f>IFERROR(__xludf.DUMMYFUNCTION("""COMPUTED_VALUE"""),"LSCHSV0008-LX")</f>
        <v>LSCHSV0008-LX</v>
      </c>
      <c r="D135" s="2">
        <f>IFERROR(__xludf.DUMMYFUNCTION("""COMPUTED_VALUE"""),0.0)</f>
        <v>0</v>
      </c>
      <c r="E135" s="2">
        <f>IFERROR(__xludf.DUMMYFUNCTION("""COMPUTED_VALUE"""),0.0)</f>
        <v>0</v>
      </c>
      <c r="F135" s="4">
        <f>IFERROR(__xludf.DUMMYFUNCTION("""COMPUTED_VALUE"""),0.0)</f>
        <v>0</v>
      </c>
      <c r="G135" s="4">
        <f>IFERROR(__xludf.DUMMYFUNCTION("""COMPUTED_VALUE"""),0.0)</f>
        <v>0</v>
      </c>
      <c r="H135" s="9">
        <f>IFERROR(__xludf.DUMMYFUNCTION("""COMPUTED_VALUE"""),1.32264)</f>
        <v>1.32264</v>
      </c>
      <c r="I135" s="4">
        <f>IFERROR(__xludf.DUMMYFUNCTION("""COMPUTED_VALUE"""),0.0)</f>
        <v>0</v>
      </c>
      <c r="J135" s="4">
        <f>IFERROR(__xludf.DUMMYFUNCTION("""COMPUTED_VALUE"""),4177.918833333333)</f>
        <v>4177.918833</v>
      </c>
      <c r="K135" s="4">
        <f>IFERROR(__xludf.DUMMYFUNCTION("""COMPUTED_VALUE"""),4177.918833333333)</f>
        <v>4177.918833</v>
      </c>
    </row>
    <row r="136" ht="22.5" customHeight="1">
      <c r="A136" s="2" t="str">
        <f>IFERROR(__xludf.DUMMYFUNCTION("""COMPUTED_VALUE"""),"L1")</f>
        <v>L1</v>
      </c>
      <c r="B136" s="2" t="str">
        <f>IFERROR(__xludf.DUMMYFUNCTION("""COMPUTED_VALUE"""),"2026-03")</f>
        <v>2026-03</v>
      </c>
      <c r="C136" s="2" t="str">
        <f>IFERROR(__xludf.DUMMYFUNCTION("""COMPUTED_VALUE"""),"LSCHSV0008-LX")</f>
        <v>LSCHSV0008-LX</v>
      </c>
      <c r="D136" s="2">
        <f>IFERROR(__xludf.DUMMYFUNCTION("""COMPUTED_VALUE"""),199.0)</f>
        <v>199</v>
      </c>
      <c r="E136" s="2">
        <f>IFERROR(__xludf.DUMMYFUNCTION("""COMPUTED_VALUE"""),16.0)</f>
        <v>16</v>
      </c>
      <c r="F136" s="4">
        <f>IFERROR(__xludf.DUMMYFUNCTION("""COMPUTED_VALUE"""),1720150.0299999998)</f>
        <v>1720150.03</v>
      </c>
      <c r="G136" s="4">
        <f>IFERROR(__xludf.DUMMYFUNCTION("""COMPUTED_VALUE"""),51520.0)</f>
        <v>51520</v>
      </c>
      <c r="H136" s="9">
        <f>IFERROR(__xludf.DUMMYFUNCTION("""COMPUTED_VALUE"""),1.32264)</f>
        <v>1.32264</v>
      </c>
      <c r="I136" s="4">
        <f>IFERROR(__xludf.DUMMYFUNCTION("""COMPUTED_VALUE"""),2343281.6484792)</f>
        <v>2343281.648</v>
      </c>
      <c r="J136" s="4">
        <f>IFERROR(__xludf.DUMMYFUNCTION("""COMPUTED_VALUE"""),2305.0586666666663)</f>
        <v>2305.058667</v>
      </c>
      <c r="K136" s="4">
        <f>IFERROR(__xludf.DUMMYFUNCTION("""COMPUTED_VALUE"""),2345586.7071458665)</f>
        <v>2345586.707</v>
      </c>
    </row>
    <row r="137" ht="22.5" customHeight="1">
      <c r="A137" s="2" t="str">
        <f>IFERROR(__xludf.DUMMYFUNCTION("""COMPUTED_VALUE"""),"L1")</f>
        <v>L1</v>
      </c>
      <c r="B137" s="2" t="str">
        <f>IFERROR(__xludf.DUMMYFUNCTION("""COMPUTED_VALUE"""),"2026-04")</f>
        <v>2026-04</v>
      </c>
      <c r="C137" s="2" t="str">
        <f>IFERROR(__xludf.DUMMYFUNCTION("""COMPUTED_VALUE"""),"LSCHSV0008-LX")</f>
        <v>LSCHSV0008-LX</v>
      </c>
      <c r="D137" s="2">
        <f>IFERROR(__xludf.DUMMYFUNCTION("""COMPUTED_VALUE"""),476.0)</f>
        <v>476</v>
      </c>
      <c r="E137" s="2">
        <f>IFERROR(__xludf.DUMMYFUNCTION("""COMPUTED_VALUE"""),34.0)</f>
        <v>34</v>
      </c>
      <c r="F137" s="4">
        <f>IFERROR(__xludf.DUMMYFUNCTION("""COMPUTED_VALUE"""),4114529.7199999997)</f>
        <v>4114529.72</v>
      </c>
      <c r="G137" s="4">
        <f>IFERROR(__xludf.DUMMYFUNCTION("""COMPUTED_VALUE"""),113016.0)</f>
        <v>113016</v>
      </c>
      <c r="H137" s="9">
        <f>IFERROR(__xludf.DUMMYFUNCTION("""COMPUTED_VALUE"""),1.32264)</f>
        <v>1.32264</v>
      </c>
      <c r="I137" s="4">
        <f>IFERROR(__xludf.DUMMYFUNCTION("""COMPUTED_VALUE"""),5591521.071100799)</f>
        <v>5591521.071</v>
      </c>
      <c r="J137" s="4">
        <f>IFERROR(__xludf.DUMMYFUNCTION("""COMPUTED_VALUE"""),0.0)</f>
        <v>0</v>
      </c>
      <c r="K137" s="4">
        <f>IFERROR(__xludf.DUMMYFUNCTION("""COMPUTED_VALUE"""),5591521.071100799)</f>
        <v>5591521.071</v>
      </c>
    </row>
    <row r="138" ht="22.5" customHeight="1">
      <c r="A138" s="2" t="str">
        <f>IFERROR(__xludf.DUMMYFUNCTION("""COMPUTED_VALUE"""),"L1")</f>
        <v>L1</v>
      </c>
      <c r="B138" s="2" t="str">
        <f>IFERROR(__xludf.DUMMYFUNCTION("""COMPUTED_VALUE"""),"2026-05")</f>
        <v>2026-05</v>
      </c>
      <c r="C138" s="2" t="str">
        <f>IFERROR(__xludf.DUMMYFUNCTION("""COMPUTED_VALUE"""),"LSCHSV0008-LX")</f>
        <v>LSCHSV0008-LX</v>
      </c>
      <c r="D138" s="2">
        <f>IFERROR(__xludf.DUMMYFUNCTION("""COMPUTED_VALUE"""),504.0)</f>
        <v>504</v>
      </c>
      <c r="E138" s="2">
        <f>IFERROR(__xludf.DUMMYFUNCTION("""COMPUTED_VALUE"""),36.0)</f>
        <v>36</v>
      </c>
      <c r="F138" s="4">
        <f>IFERROR(__xludf.DUMMYFUNCTION("""COMPUTED_VALUE"""),4356560.88)</f>
        <v>4356560.88</v>
      </c>
      <c r="G138" s="4">
        <f>IFERROR(__xludf.DUMMYFUNCTION("""COMPUTED_VALUE"""),121248.0)</f>
        <v>121248</v>
      </c>
      <c r="H138" s="9">
        <f>IFERROR(__xludf.DUMMYFUNCTION("""COMPUTED_VALUE"""),1.32264)</f>
        <v>1.32264</v>
      </c>
      <c r="I138" s="4">
        <f>IFERROR(__xludf.DUMMYFUNCTION("""COMPUTED_VALUE"""),5922529.1370432)</f>
        <v>5922529.137</v>
      </c>
      <c r="J138" s="4">
        <f>IFERROR(__xludf.DUMMYFUNCTION("""COMPUTED_VALUE"""),1728.7939999999999)</f>
        <v>1728.794</v>
      </c>
      <c r="K138" s="4">
        <f>IFERROR(__xludf.DUMMYFUNCTION("""COMPUTED_VALUE"""),5924257.9310432)</f>
        <v>5924257.931</v>
      </c>
    </row>
    <row r="139" ht="22.5" customHeight="1">
      <c r="A139" s="2" t="str">
        <f>IFERROR(__xludf.DUMMYFUNCTION("""COMPUTED_VALUE"""),"L1")</f>
        <v>L1</v>
      </c>
      <c r="B139" s="2" t="str">
        <f>IFERROR(__xludf.DUMMYFUNCTION("""COMPUTED_VALUE"""),"2026-06")</f>
        <v>2026-06</v>
      </c>
      <c r="C139" s="2" t="str">
        <f>IFERROR(__xludf.DUMMYFUNCTION("""COMPUTED_VALUE"""),"LSCHSV0008-LX")</f>
        <v>LSCHSV0008-LX</v>
      </c>
      <c r="D139" s="2">
        <f>IFERROR(__xludf.DUMMYFUNCTION("""COMPUTED_VALUE"""),490.0)</f>
        <v>490</v>
      </c>
      <c r="E139" s="2">
        <f>IFERROR(__xludf.DUMMYFUNCTION("""COMPUTED_VALUE"""),35.0)</f>
        <v>35</v>
      </c>
      <c r="F139" s="4">
        <f>IFERROR(__xludf.DUMMYFUNCTION("""COMPUTED_VALUE"""),4235545.3)</f>
        <v>4235545.3</v>
      </c>
      <c r="G139" s="4">
        <f>IFERROR(__xludf.DUMMYFUNCTION("""COMPUTED_VALUE"""),120960.0)</f>
        <v>120960</v>
      </c>
      <c r="H139" s="9">
        <f>IFERROR(__xludf.DUMMYFUNCTION("""COMPUTED_VALUE"""),1.32264)</f>
        <v>1.32264</v>
      </c>
      <c r="I139" s="4">
        <f>IFERROR(__xludf.DUMMYFUNCTION("""COMPUTED_VALUE"""),5762088.169992)</f>
        <v>5762088.17</v>
      </c>
      <c r="J139" s="4">
        <f>IFERROR(__xludf.DUMMYFUNCTION("""COMPUTED_VALUE"""),1440.6616666666664)</f>
        <v>1440.661667</v>
      </c>
      <c r="K139" s="4">
        <f>IFERROR(__xludf.DUMMYFUNCTION("""COMPUTED_VALUE"""),5763528.831658667)</f>
        <v>5763528.832</v>
      </c>
    </row>
    <row r="140" ht="22.5" customHeight="1">
      <c r="A140" s="2" t="str">
        <f>IFERROR(__xludf.DUMMYFUNCTION("""COMPUTED_VALUE"""),"L1")</f>
        <v>L1</v>
      </c>
      <c r="B140" s="2" t="str">
        <f>IFERROR(__xludf.DUMMYFUNCTION("""COMPUTED_VALUE"""),"2026-07")</f>
        <v>2026-07</v>
      </c>
      <c r="C140" s="2" t="str">
        <f>IFERROR(__xludf.DUMMYFUNCTION("""COMPUTED_VALUE"""),"LSCHSV0008-LX")</f>
        <v>LSCHSV0008-LX</v>
      </c>
      <c r="D140" s="2">
        <f>IFERROR(__xludf.DUMMYFUNCTION("""COMPUTED_VALUE"""),504.0)</f>
        <v>504</v>
      </c>
      <c r="E140" s="2">
        <f>IFERROR(__xludf.DUMMYFUNCTION("""COMPUTED_VALUE"""),36.0)</f>
        <v>36</v>
      </c>
      <c r="F140" s="4">
        <f>IFERROR(__xludf.DUMMYFUNCTION("""COMPUTED_VALUE"""),4356560.88)</f>
        <v>4356560.88</v>
      </c>
      <c r="G140" s="4">
        <f>IFERROR(__xludf.DUMMYFUNCTION("""COMPUTED_VALUE"""),127800.0)</f>
        <v>127800</v>
      </c>
      <c r="H140" s="9">
        <f>IFERROR(__xludf.DUMMYFUNCTION("""COMPUTED_VALUE"""),1.32264)</f>
        <v>1.32264</v>
      </c>
      <c r="I140" s="4">
        <f>IFERROR(__xludf.DUMMYFUNCTION("""COMPUTED_VALUE"""),5931195.0743232)</f>
        <v>5931195.074</v>
      </c>
      <c r="J140" s="4">
        <f>IFERROR(__xludf.DUMMYFUNCTION("""COMPUTED_VALUE"""),3169.4556666666663)</f>
        <v>3169.455667</v>
      </c>
      <c r="K140" s="4">
        <f>IFERROR(__xludf.DUMMYFUNCTION("""COMPUTED_VALUE"""),5934364.529989867)</f>
        <v>5934364.53</v>
      </c>
    </row>
    <row r="141" ht="22.5" customHeight="1">
      <c r="A141" s="2" t="str">
        <f>IFERROR(__xludf.DUMMYFUNCTION("""COMPUTED_VALUE"""),"L1")</f>
        <v>L1</v>
      </c>
      <c r="B141" s="2" t="str">
        <f>IFERROR(__xludf.DUMMYFUNCTION("""COMPUTED_VALUE"""),"2026-08")</f>
        <v>2026-08</v>
      </c>
      <c r="C141" s="2" t="str">
        <f>IFERROR(__xludf.DUMMYFUNCTION("""COMPUTED_VALUE"""),"LSCHSV0008-LX")</f>
        <v>LSCHSV0008-LX</v>
      </c>
      <c r="D141" s="2">
        <f>IFERROR(__xludf.DUMMYFUNCTION("""COMPUTED_VALUE"""),504.0)</f>
        <v>504</v>
      </c>
      <c r="E141" s="2">
        <f>IFERROR(__xludf.DUMMYFUNCTION("""COMPUTED_VALUE"""),36.0)</f>
        <v>36</v>
      </c>
      <c r="F141" s="4">
        <f>IFERROR(__xludf.DUMMYFUNCTION("""COMPUTED_VALUE"""),4356560.88)</f>
        <v>4356560.88</v>
      </c>
      <c r="G141" s="4">
        <f>IFERROR(__xludf.DUMMYFUNCTION("""COMPUTED_VALUE"""),128232.0)</f>
        <v>128232</v>
      </c>
      <c r="H141" s="9">
        <f>IFERROR(__xludf.DUMMYFUNCTION("""COMPUTED_VALUE"""),1.32264)</f>
        <v>1.32264</v>
      </c>
      <c r="I141" s="4">
        <f>IFERROR(__xludf.DUMMYFUNCTION("""COMPUTED_VALUE"""),5931766.4548032)</f>
        <v>5931766.455</v>
      </c>
      <c r="J141" s="4">
        <f>IFERROR(__xludf.DUMMYFUNCTION("""COMPUTED_VALUE"""),4898.249666666666)</f>
        <v>4898.249667</v>
      </c>
      <c r="K141" s="4">
        <f>IFERROR(__xludf.DUMMYFUNCTION("""COMPUTED_VALUE"""),5936664.704469867)</f>
        <v>5936664.704</v>
      </c>
    </row>
    <row r="142" ht="22.5" customHeight="1">
      <c r="A142" s="2" t="str">
        <f>IFERROR(__xludf.DUMMYFUNCTION("""COMPUTED_VALUE"""),"L1")</f>
        <v>L1</v>
      </c>
      <c r="B142" s="2" t="str">
        <f>IFERROR(__xludf.DUMMYFUNCTION("""COMPUTED_VALUE"""),"2026-09")</f>
        <v>2026-09</v>
      </c>
      <c r="C142" s="2" t="str">
        <f>IFERROR(__xludf.DUMMYFUNCTION("""COMPUTED_VALUE"""),"LSCHSV0008-LX")</f>
        <v>LSCHSV0008-LX</v>
      </c>
      <c r="D142" s="2">
        <f>IFERROR(__xludf.DUMMYFUNCTION("""COMPUTED_VALUE"""),492.0)</f>
        <v>492</v>
      </c>
      <c r="E142" s="2">
        <f>IFERROR(__xludf.DUMMYFUNCTION("""COMPUTED_VALUE"""),36.0)</f>
        <v>36</v>
      </c>
      <c r="F142" s="4">
        <f>IFERROR(__xludf.DUMMYFUNCTION("""COMPUTED_VALUE"""),4252833.239999999)</f>
        <v>4252833.24</v>
      </c>
      <c r="G142" s="4">
        <f>IFERROR(__xludf.DUMMYFUNCTION("""COMPUTED_VALUE"""),122544.0)</f>
        <v>122544</v>
      </c>
      <c r="H142" s="9">
        <f>IFERROR(__xludf.DUMMYFUNCTION("""COMPUTED_VALUE"""),1.32264)</f>
        <v>1.32264</v>
      </c>
      <c r="I142" s="4">
        <f>IFERROR(__xludf.DUMMYFUNCTION("""COMPUTED_VALUE"""),5787048.952713599)</f>
        <v>5787048.953</v>
      </c>
      <c r="J142" s="4">
        <f>IFERROR(__xludf.DUMMYFUNCTION("""COMPUTED_VALUE"""),4898.249666666666)</f>
        <v>4898.249667</v>
      </c>
      <c r="K142" s="4">
        <f>IFERROR(__xludf.DUMMYFUNCTION("""COMPUTED_VALUE"""),5791947.202380266)</f>
        <v>5791947.202</v>
      </c>
    </row>
    <row r="143" ht="22.5" customHeight="1">
      <c r="A143" s="2" t="str">
        <f>IFERROR(__xludf.DUMMYFUNCTION("""COMPUTED_VALUE"""),"L1")</f>
        <v>L1</v>
      </c>
      <c r="B143" s="2" t="str">
        <f>IFERROR(__xludf.DUMMYFUNCTION("""COMPUTED_VALUE"""),"2026-10")</f>
        <v>2026-10</v>
      </c>
      <c r="C143" s="2" t="str">
        <f>IFERROR(__xludf.DUMMYFUNCTION("""COMPUTED_VALUE"""),"LSCHSV0008-LX")</f>
        <v>LSCHSV0008-LX</v>
      </c>
      <c r="D143" s="2">
        <f>IFERROR(__xludf.DUMMYFUNCTION("""COMPUTED_VALUE"""),476.0)</f>
        <v>476</v>
      </c>
      <c r="E143" s="2">
        <f>IFERROR(__xludf.DUMMYFUNCTION("""COMPUTED_VALUE"""),34.0)</f>
        <v>34</v>
      </c>
      <c r="F143" s="4">
        <f>IFERROR(__xludf.DUMMYFUNCTION("""COMPUTED_VALUE"""),4114529.7199999997)</f>
        <v>4114529.72</v>
      </c>
      <c r="G143" s="4">
        <f>IFERROR(__xludf.DUMMYFUNCTION("""COMPUTED_VALUE"""),116212.0)</f>
        <v>116212</v>
      </c>
      <c r="H143" s="9">
        <f>IFERROR(__xludf.DUMMYFUNCTION("""COMPUTED_VALUE"""),1.32264)</f>
        <v>1.32264</v>
      </c>
      <c r="I143" s="4">
        <f>IFERROR(__xludf.DUMMYFUNCTION("""COMPUTED_VALUE"""),5595748.2285408)</f>
        <v>5595748.229</v>
      </c>
      <c r="J143" s="4">
        <f>IFERROR(__xludf.DUMMYFUNCTION("""COMPUTED_VALUE"""),2593.191)</f>
        <v>2593.191</v>
      </c>
      <c r="K143" s="4">
        <f>IFERROR(__xludf.DUMMYFUNCTION("""COMPUTED_VALUE"""),5598341.419540799)</f>
        <v>5598341.42</v>
      </c>
    </row>
    <row r="144" ht="22.5" customHeight="1">
      <c r="A144" s="2" t="str">
        <f>IFERROR(__xludf.DUMMYFUNCTION("""COMPUTED_VALUE"""),"L1")</f>
        <v>L1</v>
      </c>
      <c r="B144" s="2" t="str">
        <f>IFERROR(__xludf.DUMMYFUNCTION("""COMPUTED_VALUE"""),"2026-11")</f>
        <v>2026-11</v>
      </c>
      <c r="C144" s="2" t="str">
        <f>IFERROR(__xludf.DUMMYFUNCTION("""COMPUTED_VALUE"""),"LSCHSV0008-LX")</f>
        <v>LSCHSV0008-LX</v>
      </c>
      <c r="D144" s="2">
        <f>IFERROR(__xludf.DUMMYFUNCTION("""COMPUTED_VALUE"""),476.0)</f>
        <v>476</v>
      </c>
      <c r="E144" s="2">
        <f>IFERROR(__xludf.DUMMYFUNCTION("""COMPUTED_VALUE"""),34.0)</f>
        <v>34</v>
      </c>
      <c r="F144" s="4">
        <f>IFERROR(__xludf.DUMMYFUNCTION("""COMPUTED_VALUE"""),4114529.7199999997)</f>
        <v>4114529.72</v>
      </c>
      <c r="G144" s="4">
        <f>IFERROR(__xludf.DUMMYFUNCTION("""COMPUTED_VALUE"""),123658.0)</f>
        <v>123658</v>
      </c>
      <c r="H144" s="9">
        <f>IFERROR(__xludf.DUMMYFUNCTION("""COMPUTED_VALUE"""),1.32264)</f>
        <v>1.32264</v>
      </c>
      <c r="I144" s="4">
        <f>IFERROR(__xludf.DUMMYFUNCTION("""COMPUTED_VALUE"""),5605596.6059807995)</f>
        <v>5605596.606</v>
      </c>
      <c r="J144" s="4">
        <f>IFERROR(__xludf.DUMMYFUNCTION("""COMPUTED_VALUE"""),288.1323333333333)</f>
        <v>288.1323333</v>
      </c>
      <c r="K144" s="4">
        <f>IFERROR(__xludf.DUMMYFUNCTION("""COMPUTED_VALUE"""),5605884.738314133)</f>
        <v>5605884.738</v>
      </c>
    </row>
    <row r="145" ht="22.5" customHeight="1">
      <c r="A145" s="2" t="str">
        <f>IFERROR(__xludf.DUMMYFUNCTION("""COMPUTED_VALUE"""),"L1")</f>
        <v>L1</v>
      </c>
      <c r="B145" s="2" t="str">
        <f>IFERROR(__xludf.DUMMYFUNCTION("""COMPUTED_VALUE"""),"2026-12")</f>
        <v>2026-12</v>
      </c>
      <c r="C145" s="2" t="str">
        <f>IFERROR(__xludf.DUMMYFUNCTION("""COMPUTED_VALUE"""),"LSCHSV0008-LX")</f>
        <v>LSCHSV0008-LX</v>
      </c>
      <c r="D145" s="2">
        <f>IFERROR(__xludf.DUMMYFUNCTION("""COMPUTED_VALUE"""),490.0)</f>
        <v>490</v>
      </c>
      <c r="E145" s="2">
        <f>IFERROR(__xludf.DUMMYFUNCTION("""COMPUTED_VALUE"""),35.0)</f>
        <v>35</v>
      </c>
      <c r="F145" s="4">
        <f>IFERROR(__xludf.DUMMYFUNCTION("""COMPUTED_VALUE"""),4235545.3)</f>
        <v>4235545.3</v>
      </c>
      <c r="G145" s="4">
        <f>IFERROR(__xludf.DUMMYFUNCTION("""COMPUTED_VALUE"""),135695.0)</f>
        <v>135695</v>
      </c>
      <c r="H145" s="9">
        <f>IFERROR(__xludf.DUMMYFUNCTION("""COMPUTED_VALUE"""),1.32264)</f>
        <v>1.32264</v>
      </c>
      <c r="I145" s="4">
        <f>IFERROR(__xludf.DUMMYFUNCTION("""COMPUTED_VALUE"""),5781577.270392)</f>
        <v>5781577.27</v>
      </c>
      <c r="J145" s="4">
        <f>IFERROR(__xludf.DUMMYFUNCTION("""COMPUTED_VALUE"""),0.0)</f>
        <v>0</v>
      </c>
      <c r="K145" s="4">
        <f>IFERROR(__xludf.DUMMYFUNCTION("""COMPUTED_VALUE"""),5781577.270392)</f>
        <v>5781577.27</v>
      </c>
    </row>
    <row r="146" ht="22.5" customHeight="1">
      <c r="A146" s="2" t="str">
        <f>IFERROR(__xludf.DUMMYFUNCTION("""COMPUTED_VALUE"""),"L1")</f>
        <v>L1</v>
      </c>
      <c r="B146" s="2" t="str">
        <f>IFERROR(__xludf.DUMMYFUNCTION("""COMPUTED_VALUE"""),"2026-01")</f>
        <v>2026-01</v>
      </c>
      <c r="C146" s="2" t="str">
        <f>IFERROR(__xludf.DUMMYFUNCTION("""COMPUTED_VALUE"""),"LSCINSD0005")</f>
        <v>LSCINSD0005</v>
      </c>
      <c r="D146" s="2">
        <f>IFERROR(__xludf.DUMMYFUNCTION("""COMPUTED_VALUE"""),540.0)</f>
        <v>540</v>
      </c>
      <c r="E146" s="2">
        <f>IFERROR(__xludf.DUMMYFUNCTION("""COMPUTED_VALUE"""),5.0)</f>
        <v>5</v>
      </c>
      <c r="F146" s="4">
        <f>IFERROR(__xludf.DUMMYFUNCTION("""COMPUTED_VALUE"""),1173582.0)</f>
        <v>1173582</v>
      </c>
      <c r="G146" s="4">
        <f>IFERROR(__xludf.DUMMYFUNCTION("""COMPUTED_VALUE"""),1425.0)</f>
        <v>1425</v>
      </c>
      <c r="H146" s="9">
        <f>IFERROR(__xludf.DUMMYFUNCTION("""COMPUTED_VALUE"""),1.1)</f>
        <v>1.1</v>
      </c>
      <c r="I146" s="4">
        <f>IFERROR(__xludf.DUMMYFUNCTION("""COMPUTED_VALUE"""),1292507.7000000002)</f>
        <v>1292507.7</v>
      </c>
      <c r="J146" s="4">
        <f>IFERROR(__xludf.DUMMYFUNCTION("""COMPUTED_VALUE"""),0.0)</f>
        <v>0</v>
      </c>
      <c r="K146" s="4">
        <f>IFERROR(__xludf.DUMMYFUNCTION("""COMPUTED_VALUE"""),1292507.7000000002)</f>
        <v>1292507.7</v>
      </c>
    </row>
    <row r="147" ht="22.5" customHeight="1">
      <c r="A147" s="2" t="str">
        <f>IFERROR(__xludf.DUMMYFUNCTION("""COMPUTED_VALUE"""),"L1")</f>
        <v>L1</v>
      </c>
      <c r="B147" s="2" t="str">
        <f>IFERROR(__xludf.DUMMYFUNCTION("""COMPUTED_VALUE"""),"2026-02")</f>
        <v>2026-02</v>
      </c>
      <c r="C147" s="2" t="str">
        <f>IFERROR(__xludf.DUMMYFUNCTION("""COMPUTED_VALUE"""),"LSCINSD0005")</f>
        <v>LSCINSD0005</v>
      </c>
      <c r="D147" s="2">
        <f>IFERROR(__xludf.DUMMYFUNCTION("""COMPUTED_VALUE"""),702.0)</f>
        <v>702</v>
      </c>
      <c r="E147" s="2">
        <f>IFERROR(__xludf.DUMMYFUNCTION("""COMPUTED_VALUE"""),6.0)</f>
        <v>6</v>
      </c>
      <c r="F147" s="4">
        <f>IFERROR(__xludf.DUMMYFUNCTION("""COMPUTED_VALUE"""),1525656.6)</f>
        <v>1525656.6</v>
      </c>
      <c r="G147" s="4">
        <f>IFERROR(__xludf.DUMMYFUNCTION("""COMPUTED_VALUE"""),1710.0)</f>
        <v>1710</v>
      </c>
      <c r="H147" s="9">
        <f>IFERROR(__xludf.DUMMYFUNCTION("""COMPUTED_VALUE"""),1.1)</f>
        <v>1.1</v>
      </c>
      <c r="I147" s="4">
        <f>IFERROR(__xludf.DUMMYFUNCTION("""COMPUTED_VALUE"""),1680103.2600000002)</f>
        <v>1680103.26</v>
      </c>
      <c r="J147" s="4">
        <f>IFERROR(__xludf.DUMMYFUNCTION("""COMPUTED_VALUE"""),0.0)</f>
        <v>0</v>
      </c>
      <c r="K147" s="4">
        <f>IFERROR(__xludf.DUMMYFUNCTION("""COMPUTED_VALUE"""),1680103.2600000002)</f>
        <v>1680103.26</v>
      </c>
    </row>
    <row r="148" ht="22.5" customHeight="1">
      <c r="A148" s="2" t="str">
        <f>IFERROR(__xludf.DUMMYFUNCTION("""COMPUTED_VALUE"""),"L1")</f>
        <v>L1</v>
      </c>
      <c r="B148" s="2" t="str">
        <f>IFERROR(__xludf.DUMMYFUNCTION("""COMPUTED_VALUE"""),"2026-03")</f>
        <v>2026-03</v>
      </c>
      <c r="C148" s="2" t="str">
        <f>IFERROR(__xludf.DUMMYFUNCTION("""COMPUTED_VALUE"""),"LSCINSD0005")</f>
        <v>LSCINSD0005</v>
      </c>
      <c r="D148" s="2">
        <f>IFERROR(__xludf.DUMMYFUNCTION("""COMPUTED_VALUE"""),750.0)</f>
        <v>750</v>
      </c>
      <c r="E148" s="2">
        <f>IFERROR(__xludf.DUMMYFUNCTION("""COMPUTED_VALUE"""),7.0)</f>
        <v>7</v>
      </c>
      <c r="F148" s="4">
        <f>IFERROR(__xludf.DUMMYFUNCTION("""COMPUTED_VALUE"""),1629975.0000000002)</f>
        <v>1629975</v>
      </c>
      <c r="G148" s="4">
        <f>IFERROR(__xludf.DUMMYFUNCTION("""COMPUTED_VALUE"""),1995.0)</f>
        <v>1995</v>
      </c>
      <c r="H148" s="9">
        <f>IFERROR(__xludf.DUMMYFUNCTION("""COMPUTED_VALUE"""),1.1)</f>
        <v>1.1</v>
      </c>
      <c r="I148" s="4">
        <f>IFERROR(__xludf.DUMMYFUNCTION("""COMPUTED_VALUE"""),1795167.0000000005)</f>
        <v>1795167</v>
      </c>
      <c r="J148" s="4">
        <f>IFERROR(__xludf.DUMMYFUNCTION("""COMPUTED_VALUE"""),0.0)</f>
        <v>0</v>
      </c>
      <c r="K148" s="4">
        <f>IFERROR(__xludf.DUMMYFUNCTION("""COMPUTED_VALUE"""),1795167.0000000005)</f>
        <v>1795167</v>
      </c>
    </row>
    <row r="149" ht="22.5" customHeight="1">
      <c r="A149" s="2" t="str">
        <f>IFERROR(__xludf.DUMMYFUNCTION("""COMPUTED_VALUE"""),"L1")</f>
        <v>L1</v>
      </c>
      <c r="B149" s="2" t="str">
        <f>IFERROR(__xludf.DUMMYFUNCTION("""COMPUTED_VALUE"""),"2026-04")</f>
        <v>2026-04</v>
      </c>
      <c r="C149" s="2" t="str">
        <f>IFERROR(__xludf.DUMMYFUNCTION("""COMPUTED_VALUE"""),"LSCINSD0005")</f>
        <v>LSCINSD0005</v>
      </c>
      <c r="D149" s="2">
        <f>IFERROR(__xludf.DUMMYFUNCTION("""COMPUTED_VALUE"""),750.0)</f>
        <v>750</v>
      </c>
      <c r="E149" s="2">
        <f>IFERROR(__xludf.DUMMYFUNCTION("""COMPUTED_VALUE"""),7.0)</f>
        <v>7</v>
      </c>
      <c r="F149" s="4">
        <f>IFERROR(__xludf.DUMMYFUNCTION("""COMPUTED_VALUE"""),1629975.0000000002)</f>
        <v>1629975</v>
      </c>
      <c r="G149" s="4">
        <f>IFERROR(__xludf.DUMMYFUNCTION("""COMPUTED_VALUE"""),1995.0)</f>
        <v>1995</v>
      </c>
      <c r="H149" s="9">
        <f>IFERROR(__xludf.DUMMYFUNCTION("""COMPUTED_VALUE"""),1.1)</f>
        <v>1.1</v>
      </c>
      <c r="I149" s="4">
        <f>IFERROR(__xludf.DUMMYFUNCTION("""COMPUTED_VALUE"""),1795167.0000000005)</f>
        <v>1795167</v>
      </c>
      <c r="J149" s="4">
        <f>IFERROR(__xludf.DUMMYFUNCTION("""COMPUTED_VALUE"""),0.0)</f>
        <v>0</v>
      </c>
      <c r="K149" s="4">
        <f>IFERROR(__xludf.DUMMYFUNCTION("""COMPUTED_VALUE"""),1795167.0000000005)</f>
        <v>1795167</v>
      </c>
    </row>
    <row r="150" ht="22.5" customHeight="1">
      <c r="A150" s="2" t="str">
        <f>IFERROR(__xludf.DUMMYFUNCTION("""COMPUTED_VALUE"""),"L1")</f>
        <v>L1</v>
      </c>
      <c r="B150" s="2" t="str">
        <f>IFERROR(__xludf.DUMMYFUNCTION("""COMPUTED_VALUE"""),"2026-05")</f>
        <v>2026-05</v>
      </c>
      <c r="C150" s="2" t="str">
        <f>IFERROR(__xludf.DUMMYFUNCTION("""COMPUTED_VALUE"""),"LSCINSD0005")</f>
        <v>LSCINSD0005</v>
      </c>
      <c r="D150" s="2">
        <f>IFERROR(__xludf.DUMMYFUNCTION("""COMPUTED_VALUE"""),750.0)</f>
        <v>750</v>
      </c>
      <c r="E150" s="2">
        <f>IFERROR(__xludf.DUMMYFUNCTION("""COMPUTED_VALUE"""),7.0)</f>
        <v>7</v>
      </c>
      <c r="F150" s="4">
        <f>IFERROR(__xludf.DUMMYFUNCTION("""COMPUTED_VALUE"""),1629975.0000000002)</f>
        <v>1629975</v>
      </c>
      <c r="G150" s="4">
        <f>IFERROR(__xludf.DUMMYFUNCTION("""COMPUTED_VALUE"""),1995.0)</f>
        <v>1995</v>
      </c>
      <c r="H150" s="9">
        <f>IFERROR(__xludf.DUMMYFUNCTION("""COMPUTED_VALUE"""),1.1)</f>
        <v>1.1</v>
      </c>
      <c r="I150" s="4">
        <f>IFERROR(__xludf.DUMMYFUNCTION("""COMPUTED_VALUE"""),1795167.0000000005)</f>
        <v>1795167</v>
      </c>
      <c r="J150" s="4">
        <f>IFERROR(__xludf.DUMMYFUNCTION("""COMPUTED_VALUE"""),0.0)</f>
        <v>0</v>
      </c>
      <c r="K150" s="4">
        <f>IFERROR(__xludf.DUMMYFUNCTION("""COMPUTED_VALUE"""),1795167.0000000005)</f>
        <v>1795167</v>
      </c>
    </row>
    <row r="151" ht="22.5" customHeight="1">
      <c r="A151" s="2" t="str">
        <f>IFERROR(__xludf.DUMMYFUNCTION("""COMPUTED_VALUE"""),"L1")</f>
        <v>L1</v>
      </c>
      <c r="B151" s="2" t="str">
        <f>IFERROR(__xludf.DUMMYFUNCTION("""COMPUTED_VALUE"""),"2026-06")</f>
        <v>2026-06</v>
      </c>
      <c r="C151" s="2" t="str">
        <f>IFERROR(__xludf.DUMMYFUNCTION("""COMPUTED_VALUE"""),"LSCINSD0005")</f>
        <v>LSCINSD0005</v>
      </c>
      <c r="D151" s="2">
        <f>IFERROR(__xludf.DUMMYFUNCTION("""COMPUTED_VALUE"""),750.0)</f>
        <v>750</v>
      </c>
      <c r="E151" s="2">
        <f>IFERROR(__xludf.DUMMYFUNCTION("""COMPUTED_VALUE"""),7.0)</f>
        <v>7</v>
      </c>
      <c r="F151" s="4">
        <f>IFERROR(__xludf.DUMMYFUNCTION("""COMPUTED_VALUE"""),1629975.0000000002)</f>
        <v>1629975</v>
      </c>
      <c r="G151" s="4">
        <f>IFERROR(__xludf.DUMMYFUNCTION("""COMPUTED_VALUE"""),1995.0)</f>
        <v>1995</v>
      </c>
      <c r="H151" s="9">
        <f>IFERROR(__xludf.DUMMYFUNCTION("""COMPUTED_VALUE"""),1.1)</f>
        <v>1.1</v>
      </c>
      <c r="I151" s="4">
        <f>IFERROR(__xludf.DUMMYFUNCTION("""COMPUTED_VALUE"""),1795167.0000000005)</f>
        <v>1795167</v>
      </c>
      <c r="J151" s="4">
        <f>IFERROR(__xludf.DUMMYFUNCTION("""COMPUTED_VALUE"""),0.0)</f>
        <v>0</v>
      </c>
      <c r="K151" s="4">
        <f>IFERROR(__xludf.DUMMYFUNCTION("""COMPUTED_VALUE"""),1795167.0000000005)</f>
        <v>1795167</v>
      </c>
    </row>
    <row r="152" ht="22.5" customHeight="1">
      <c r="A152" s="2" t="str">
        <f>IFERROR(__xludf.DUMMYFUNCTION("""COMPUTED_VALUE"""),"L1")</f>
        <v>L1</v>
      </c>
      <c r="B152" s="2" t="str">
        <f>IFERROR(__xludf.DUMMYFUNCTION("""COMPUTED_VALUE"""),"2026-07")</f>
        <v>2026-07</v>
      </c>
      <c r="C152" s="2" t="str">
        <f>IFERROR(__xludf.DUMMYFUNCTION("""COMPUTED_VALUE"""),"LSCINSD0005")</f>
        <v>LSCINSD0005</v>
      </c>
      <c r="D152" s="2">
        <f>IFERROR(__xludf.DUMMYFUNCTION("""COMPUTED_VALUE"""),750.0)</f>
        <v>750</v>
      </c>
      <c r="E152" s="2">
        <f>IFERROR(__xludf.DUMMYFUNCTION("""COMPUTED_VALUE"""),7.0)</f>
        <v>7</v>
      </c>
      <c r="F152" s="4">
        <f>IFERROR(__xludf.DUMMYFUNCTION("""COMPUTED_VALUE"""),1629975.0000000002)</f>
        <v>1629975</v>
      </c>
      <c r="G152" s="4">
        <f>IFERROR(__xludf.DUMMYFUNCTION("""COMPUTED_VALUE"""),1995.0)</f>
        <v>1995</v>
      </c>
      <c r="H152" s="9">
        <f>IFERROR(__xludf.DUMMYFUNCTION("""COMPUTED_VALUE"""),1.1)</f>
        <v>1.1</v>
      </c>
      <c r="I152" s="4">
        <f>IFERROR(__xludf.DUMMYFUNCTION("""COMPUTED_VALUE"""),1795167.0000000005)</f>
        <v>1795167</v>
      </c>
      <c r="J152" s="4">
        <f>IFERROR(__xludf.DUMMYFUNCTION("""COMPUTED_VALUE"""),0.0)</f>
        <v>0</v>
      </c>
      <c r="K152" s="4">
        <f>IFERROR(__xludf.DUMMYFUNCTION("""COMPUTED_VALUE"""),1795167.0000000005)</f>
        <v>1795167</v>
      </c>
    </row>
    <row r="153" ht="22.5" customHeight="1">
      <c r="A153" s="2" t="str">
        <f>IFERROR(__xludf.DUMMYFUNCTION("""COMPUTED_VALUE"""),"L1")</f>
        <v>L1</v>
      </c>
      <c r="B153" s="2" t="str">
        <f>IFERROR(__xludf.DUMMYFUNCTION("""COMPUTED_VALUE"""),"2026-08")</f>
        <v>2026-08</v>
      </c>
      <c r="C153" s="2" t="str">
        <f>IFERROR(__xludf.DUMMYFUNCTION("""COMPUTED_VALUE"""),"LSCINSD0005")</f>
        <v>LSCINSD0005</v>
      </c>
      <c r="D153" s="2">
        <f>IFERROR(__xludf.DUMMYFUNCTION("""COMPUTED_VALUE"""),750.0)</f>
        <v>750</v>
      </c>
      <c r="E153" s="2">
        <f>IFERROR(__xludf.DUMMYFUNCTION("""COMPUTED_VALUE"""),7.0)</f>
        <v>7</v>
      </c>
      <c r="F153" s="4">
        <f>IFERROR(__xludf.DUMMYFUNCTION("""COMPUTED_VALUE"""),1629975.0000000002)</f>
        <v>1629975</v>
      </c>
      <c r="G153" s="4">
        <f>IFERROR(__xludf.DUMMYFUNCTION("""COMPUTED_VALUE"""),1995.0)</f>
        <v>1995</v>
      </c>
      <c r="H153" s="9">
        <f>IFERROR(__xludf.DUMMYFUNCTION("""COMPUTED_VALUE"""),1.1)</f>
        <v>1.1</v>
      </c>
      <c r="I153" s="4">
        <f>IFERROR(__xludf.DUMMYFUNCTION("""COMPUTED_VALUE"""),1795167.0000000005)</f>
        <v>1795167</v>
      </c>
      <c r="J153" s="4">
        <f>IFERROR(__xludf.DUMMYFUNCTION("""COMPUTED_VALUE"""),0.0)</f>
        <v>0</v>
      </c>
      <c r="K153" s="4">
        <f>IFERROR(__xludf.DUMMYFUNCTION("""COMPUTED_VALUE"""),1795167.0000000005)</f>
        <v>1795167</v>
      </c>
    </row>
    <row r="154" ht="22.5" customHeight="1">
      <c r="A154" s="2" t="str">
        <f>IFERROR(__xludf.DUMMYFUNCTION("""COMPUTED_VALUE"""),"L1")</f>
        <v>L1</v>
      </c>
      <c r="B154" s="2" t="str">
        <f>IFERROR(__xludf.DUMMYFUNCTION("""COMPUTED_VALUE"""),"2026-09")</f>
        <v>2026-09</v>
      </c>
      <c r="C154" s="2" t="str">
        <f>IFERROR(__xludf.DUMMYFUNCTION("""COMPUTED_VALUE"""),"LSCINSD0005")</f>
        <v>LSCINSD0005</v>
      </c>
      <c r="D154" s="2">
        <f>IFERROR(__xludf.DUMMYFUNCTION("""COMPUTED_VALUE"""),750.0)</f>
        <v>750</v>
      </c>
      <c r="E154" s="2">
        <f>IFERROR(__xludf.DUMMYFUNCTION("""COMPUTED_VALUE"""),7.0)</f>
        <v>7</v>
      </c>
      <c r="F154" s="4">
        <f>IFERROR(__xludf.DUMMYFUNCTION("""COMPUTED_VALUE"""),1629975.0000000002)</f>
        <v>1629975</v>
      </c>
      <c r="G154" s="4">
        <f>IFERROR(__xludf.DUMMYFUNCTION("""COMPUTED_VALUE"""),1995.0)</f>
        <v>1995</v>
      </c>
      <c r="H154" s="9">
        <f>IFERROR(__xludf.DUMMYFUNCTION("""COMPUTED_VALUE"""),1.1)</f>
        <v>1.1</v>
      </c>
      <c r="I154" s="4">
        <f>IFERROR(__xludf.DUMMYFUNCTION("""COMPUTED_VALUE"""),1795167.0000000005)</f>
        <v>1795167</v>
      </c>
      <c r="J154" s="4">
        <f>IFERROR(__xludf.DUMMYFUNCTION("""COMPUTED_VALUE"""),0.0)</f>
        <v>0</v>
      </c>
      <c r="K154" s="4">
        <f>IFERROR(__xludf.DUMMYFUNCTION("""COMPUTED_VALUE"""),1795167.0000000005)</f>
        <v>1795167</v>
      </c>
    </row>
    <row r="155" ht="22.5" customHeight="1">
      <c r="A155" s="2" t="str">
        <f>IFERROR(__xludf.DUMMYFUNCTION("""COMPUTED_VALUE"""),"L1")</f>
        <v>L1</v>
      </c>
      <c r="B155" s="2" t="str">
        <f>IFERROR(__xludf.DUMMYFUNCTION("""COMPUTED_VALUE"""),"2026-10")</f>
        <v>2026-10</v>
      </c>
      <c r="C155" s="2" t="str">
        <f>IFERROR(__xludf.DUMMYFUNCTION("""COMPUTED_VALUE"""),"LSCINSD0005")</f>
        <v>LSCINSD0005</v>
      </c>
      <c r="D155" s="2">
        <f>IFERROR(__xludf.DUMMYFUNCTION("""COMPUTED_VALUE"""),750.0)</f>
        <v>750</v>
      </c>
      <c r="E155" s="2">
        <f>IFERROR(__xludf.DUMMYFUNCTION("""COMPUTED_VALUE"""),7.0)</f>
        <v>7</v>
      </c>
      <c r="F155" s="4">
        <f>IFERROR(__xludf.DUMMYFUNCTION("""COMPUTED_VALUE"""),1629975.0000000002)</f>
        <v>1629975</v>
      </c>
      <c r="G155" s="4">
        <f>IFERROR(__xludf.DUMMYFUNCTION("""COMPUTED_VALUE"""),1995.0)</f>
        <v>1995</v>
      </c>
      <c r="H155" s="9">
        <f>IFERROR(__xludf.DUMMYFUNCTION("""COMPUTED_VALUE"""),1.1)</f>
        <v>1.1</v>
      </c>
      <c r="I155" s="4">
        <f>IFERROR(__xludf.DUMMYFUNCTION("""COMPUTED_VALUE"""),1795167.0000000005)</f>
        <v>1795167</v>
      </c>
      <c r="J155" s="4">
        <f>IFERROR(__xludf.DUMMYFUNCTION("""COMPUTED_VALUE"""),0.0)</f>
        <v>0</v>
      </c>
      <c r="K155" s="4">
        <f>IFERROR(__xludf.DUMMYFUNCTION("""COMPUTED_VALUE"""),1795167.0000000005)</f>
        <v>1795167</v>
      </c>
    </row>
    <row r="156" ht="22.5" customHeight="1">
      <c r="A156" s="2" t="str">
        <f>IFERROR(__xludf.DUMMYFUNCTION("""COMPUTED_VALUE"""),"L1")</f>
        <v>L1</v>
      </c>
      <c r="B156" s="2" t="str">
        <f>IFERROR(__xludf.DUMMYFUNCTION("""COMPUTED_VALUE"""),"2026-11")</f>
        <v>2026-11</v>
      </c>
      <c r="C156" s="2" t="str">
        <f>IFERROR(__xludf.DUMMYFUNCTION("""COMPUTED_VALUE"""),"LSCINSD0005")</f>
        <v>LSCINSD0005</v>
      </c>
      <c r="D156" s="2">
        <f>IFERROR(__xludf.DUMMYFUNCTION("""COMPUTED_VALUE"""),750.0)</f>
        <v>750</v>
      </c>
      <c r="E156" s="2">
        <f>IFERROR(__xludf.DUMMYFUNCTION("""COMPUTED_VALUE"""),7.0)</f>
        <v>7</v>
      </c>
      <c r="F156" s="4">
        <f>IFERROR(__xludf.DUMMYFUNCTION("""COMPUTED_VALUE"""),1629975.0000000002)</f>
        <v>1629975</v>
      </c>
      <c r="G156" s="4">
        <f>IFERROR(__xludf.DUMMYFUNCTION("""COMPUTED_VALUE"""),1995.0)</f>
        <v>1995</v>
      </c>
      <c r="H156" s="9">
        <f>IFERROR(__xludf.DUMMYFUNCTION("""COMPUTED_VALUE"""),1.1)</f>
        <v>1.1</v>
      </c>
      <c r="I156" s="4">
        <f>IFERROR(__xludf.DUMMYFUNCTION("""COMPUTED_VALUE"""),1795167.0000000005)</f>
        <v>1795167</v>
      </c>
      <c r="J156" s="4">
        <f>IFERROR(__xludf.DUMMYFUNCTION("""COMPUTED_VALUE"""),0.0)</f>
        <v>0</v>
      </c>
      <c r="K156" s="4">
        <f>IFERROR(__xludf.DUMMYFUNCTION("""COMPUTED_VALUE"""),1795167.0000000005)</f>
        <v>1795167</v>
      </c>
    </row>
    <row r="157" ht="22.5" customHeight="1">
      <c r="A157" s="2" t="str">
        <f>IFERROR(__xludf.DUMMYFUNCTION("""COMPUTED_VALUE"""),"L1")</f>
        <v>L1</v>
      </c>
      <c r="B157" s="2" t="str">
        <f>IFERROR(__xludf.DUMMYFUNCTION("""COMPUTED_VALUE"""),"2026-12")</f>
        <v>2026-12</v>
      </c>
      <c r="C157" s="2" t="str">
        <f>IFERROR(__xludf.DUMMYFUNCTION("""COMPUTED_VALUE"""),"LSCINSD0005")</f>
        <v>LSCINSD0005</v>
      </c>
      <c r="D157" s="2">
        <f>IFERROR(__xludf.DUMMYFUNCTION("""COMPUTED_VALUE"""),750.0)</f>
        <v>750</v>
      </c>
      <c r="E157" s="2">
        <f>IFERROR(__xludf.DUMMYFUNCTION("""COMPUTED_VALUE"""),7.0)</f>
        <v>7</v>
      </c>
      <c r="F157" s="4">
        <f>IFERROR(__xludf.DUMMYFUNCTION("""COMPUTED_VALUE"""),1629975.0000000002)</f>
        <v>1629975</v>
      </c>
      <c r="G157" s="4">
        <f>IFERROR(__xludf.DUMMYFUNCTION("""COMPUTED_VALUE"""),1995.0)</f>
        <v>1995</v>
      </c>
      <c r="H157" s="9">
        <f>IFERROR(__xludf.DUMMYFUNCTION("""COMPUTED_VALUE"""),1.1)</f>
        <v>1.1</v>
      </c>
      <c r="I157" s="4">
        <f>IFERROR(__xludf.DUMMYFUNCTION("""COMPUTED_VALUE"""),1795167.0000000005)</f>
        <v>1795167</v>
      </c>
      <c r="J157" s="4">
        <f>IFERROR(__xludf.DUMMYFUNCTION("""COMPUTED_VALUE"""),0.0)</f>
        <v>0</v>
      </c>
      <c r="K157" s="4">
        <f>IFERROR(__xludf.DUMMYFUNCTION("""COMPUTED_VALUE"""),1795167.0000000005)</f>
        <v>1795167</v>
      </c>
    </row>
    <row r="158" ht="22.5" customHeight="1">
      <c r="A158" s="2" t="str">
        <f>IFERROR(__xludf.DUMMYFUNCTION("""COMPUTED_VALUE"""),"L1")</f>
        <v>L1</v>
      </c>
      <c r="B158" s="2" t="str">
        <f>IFERROR(__xludf.DUMMYFUNCTION("""COMPUTED_VALUE"""),"2026-01")</f>
        <v>2026-01</v>
      </c>
      <c r="C158" s="2" t="str">
        <f>IFERROR(__xludf.DUMMYFUNCTION("""COMPUTED_VALUE"""),"LSCINSD0005-LX")</f>
        <v>LSCINSD0005-LX</v>
      </c>
      <c r="D158" s="2">
        <f>IFERROR(__xludf.DUMMYFUNCTION("""COMPUTED_VALUE"""),247.0)</f>
        <v>247</v>
      </c>
      <c r="E158" s="2">
        <f>IFERROR(__xludf.DUMMYFUNCTION("""COMPUTED_VALUE"""),3.0)</f>
        <v>3</v>
      </c>
      <c r="F158" s="4">
        <f>IFERROR(__xludf.DUMMYFUNCTION("""COMPUTED_VALUE"""),1572061.14)</f>
        <v>1572061.14</v>
      </c>
      <c r="G158" s="4">
        <f>IFERROR(__xludf.DUMMYFUNCTION("""COMPUTED_VALUE"""),855.0)</f>
        <v>855</v>
      </c>
      <c r="H158" s="9">
        <f>IFERROR(__xludf.DUMMYFUNCTION("""COMPUTED_VALUE"""),1.1)</f>
        <v>1.1</v>
      </c>
      <c r="I158" s="4">
        <f>IFERROR(__xludf.DUMMYFUNCTION("""COMPUTED_VALUE"""),1730207.754)</f>
        <v>1730207.754</v>
      </c>
      <c r="J158" s="4">
        <f>IFERROR(__xludf.DUMMYFUNCTION("""COMPUTED_VALUE"""),0.0)</f>
        <v>0</v>
      </c>
      <c r="K158" s="4">
        <f>IFERROR(__xludf.DUMMYFUNCTION("""COMPUTED_VALUE"""),1730207.754)</f>
        <v>1730207.754</v>
      </c>
    </row>
    <row r="159" ht="22.5" customHeight="1">
      <c r="A159" s="2" t="str">
        <f>IFERROR(__xludf.DUMMYFUNCTION("""COMPUTED_VALUE"""),"L1")</f>
        <v>L1</v>
      </c>
      <c r="B159" s="2" t="str">
        <f>IFERROR(__xludf.DUMMYFUNCTION("""COMPUTED_VALUE"""),"2026-02")</f>
        <v>2026-02</v>
      </c>
      <c r="C159" s="2" t="str">
        <f>IFERROR(__xludf.DUMMYFUNCTION("""COMPUTED_VALUE"""),"LSCINSD0005-LX")</f>
        <v>LSCINSD0005-LX</v>
      </c>
      <c r="D159" s="2">
        <f>IFERROR(__xludf.DUMMYFUNCTION("""COMPUTED_VALUE"""),456.0)</f>
        <v>456</v>
      </c>
      <c r="E159" s="2">
        <f>IFERROR(__xludf.DUMMYFUNCTION("""COMPUTED_VALUE"""),6.0)</f>
        <v>6</v>
      </c>
      <c r="F159" s="4">
        <f>IFERROR(__xludf.DUMMYFUNCTION("""COMPUTED_VALUE"""),2902266.7199999997)</f>
        <v>2902266.72</v>
      </c>
      <c r="G159" s="4">
        <f>IFERROR(__xludf.DUMMYFUNCTION("""COMPUTED_VALUE"""),1710.0)</f>
        <v>1710</v>
      </c>
      <c r="H159" s="9">
        <f>IFERROR(__xludf.DUMMYFUNCTION("""COMPUTED_VALUE"""),1.1)</f>
        <v>1.1</v>
      </c>
      <c r="I159" s="4">
        <f>IFERROR(__xludf.DUMMYFUNCTION("""COMPUTED_VALUE"""),3194374.392)</f>
        <v>3194374.392</v>
      </c>
      <c r="J159" s="4">
        <f>IFERROR(__xludf.DUMMYFUNCTION("""COMPUTED_VALUE"""),0.0)</f>
        <v>0</v>
      </c>
      <c r="K159" s="4">
        <f>IFERROR(__xludf.DUMMYFUNCTION("""COMPUTED_VALUE"""),3194374.392)</f>
        <v>3194374.392</v>
      </c>
    </row>
    <row r="160" ht="22.5" customHeight="1">
      <c r="A160" s="2" t="str">
        <f>IFERROR(__xludf.DUMMYFUNCTION("""COMPUTED_VALUE"""),"L1")</f>
        <v>L1</v>
      </c>
      <c r="B160" s="2" t="str">
        <f>IFERROR(__xludf.DUMMYFUNCTION("""COMPUTED_VALUE"""),"2026-03")</f>
        <v>2026-03</v>
      </c>
      <c r="C160" s="2" t="str">
        <f>IFERROR(__xludf.DUMMYFUNCTION("""COMPUTED_VALUE"""),"LSCINSD0005-LX")</f>
        <v>LSCINSD0005-LX</v>
      </c>
      <c r="D160" s="2">
        <f>IFERROR(__xludf.DUMMYFUNCTION("""COMPUTED_VALUE"""),499.0)</f>
        <v>499</v>
      </c>
      <c r="E160" s="2">
        <f>IFERROR(__xludf.DUMMYFUNCTION("""COMPUTED_VALUE"""),6.0)</f>
        <v>6</v>
      </c>
      <c r="F160" s="4">
        <f>IFERROR(__xludf.DUMMYFUNCTION("""COMPUTED_VALUE"""),3175945.38)</f>
        <v>3175945.38</v>
      </c>
      <c r="G160" s="4">
        <f>IFERROR(__xludf.DUMMYFUNCTION("""COMPUTED_VALUE"""),1710.0)</f>
        <v>1710</v>
      </c>
      <c r="H160" s="9">
        <f>IFERROR(__xludf.DUMMYFUNCTION("""COMPUTED_VALUE"""),1.1)</f>
        <v>1.1</v>
      </c>
      <c r="I160" s="4">
        <f>IFERROR(__xludf.DUMMYFUNCTION("""COMPUTED_VALUE"""),3495420.918)</f>
        <v>3495420.918</v>
      </c>
      <c r="J160" s="4">
        <f>IFERROR(__xludf.DUMMYFUNCTION("""COMPUTED_VALUE"""),0.0)</f>
        <v>0</v>
      </c>
      <c r="K160" s="4">
        <f>IFERROR(__xludf.DUMMYFUNCTION("""COMPUTED_VALUE"""),3495420.918)</f>
        <v>3495420.918</v>
      </c>
    </row>
    <row r="161" ht="22.5" customHeight="1">
      <c r="A161" s="2" t="str">
        <f>IFERROR(__xludf.DUMMYFUNCTION("""COMPUTED_VALUE"""),"L1")</f>
        <v>L1</v>
      </c>
      <c r="B161" s="2" t="str">
        <f>IFERROR(__xludf.DUMMYFUNCTION("""COMPUTED_VALUE"""),"2026-04")</f>
        <v>2026-04</v>
      </c>
      <c r="C161" s="2" t="str">
        <f>IFERROR(__xludf.DUMMYFUNCTION("""COMPUTED_VALUE"""),"LSCINSD0005-LX")</f>
        <v>LSCINSD0005-LX</v>
      </c>
      <c r="D161" s="2">
        <f>IFERROR(__xludf.DUMMYFUNCTION("""COMPUTED_VALUE"""),499.0)</f>
        <v>499</v>
      </c>
      <c r="E161" s="2">
        <f>IFERROR(__xludf.DUMMYFUNCTION("""COMPUTED_VALUE"""),6.0)</f>
        <v>6</v>
      </c>
      <c r="F161" s="4">
        <f>IFERROR(__xludf.DUMMYFUNCTION("""COMPUTED_VALUE"""),3175945.38)</f>
        <v>3175945.38</v>
      </c>
      <c r="G161" s="4">
        <f>IFERROR(__xludf.DUMMYFUNCTION("""COMPUTED_VALUE"""),1710.0)</f>
        <v>1710</v>
      </c>
      <c r="H161" s="9">
        <f>IFERROR(__xludf.DUMMYFUNCTION("""COMPUTED_VALUE"""),1.1)</f>
        <v>1.1</v>
      </c>
      <c r="I161" s="4">
        <f>IFERROR(__xludf.DUMMYFUNCTION("""COMPUTED_VALUE"""),3495420.918)</f>
        <v>3495420.918</v>
      </c>
      <c r="J161" s="4">
        <f>IFERROR(__xludf.DUMMYFUNCTION("""COMPUTED_VALUE"""),0.0)</f>
        <v>0</v>
      </c>
      <c r="K161" s="4">
        <f>IFERROR(__xludf.DUMMYFUNCTION("""COMPUTED_VALUE"""),3495420.918)</f>
        <v>3495420.918</v>
      </c>
    </row>
    <row r="162" ht="22.5" customHeight="1">
      <c r="A162" s="2" t="str">
        <f>IFERROR(__xludf.DUMMYFUNCTION("""COMPUTED_VALUE"""),"L1")</f>
        <v>L1</v>
      </c>
      <c r="B162" s="2" t="str">
        <f>IFERROR(__xludf.DUMMYFUNCTION("""COMPUTED_VALUE"""),"2026-05")</f>
        <v>2026-05</v>
      </c>
      <c r="C162" s="2" t="str">
        <f>IFERROR(__xludf.DUMMYFUNCTION("""COMPUTED_VALUE"""),"LSCINSD0005-LX")</f>
        <v>LSCINSD0005-LX</v>
      </c>
      <c r="D162" s="2">
        <f>IFERROR(__xludf.DUMMYFUNCTION("""COMPUTED_VALUE"""),499.0)</f>
        <v>499</v>
      </c>
      <c r="E162" s="2">
        <f>IFERROR(__xludf.DUMMYFUNCTION("""COMPUTED_VALUE"""),6.0)</f>
        <v>6</v>
      </c>
      <c r="F162" s="4">
        <f>IFERROR(__xludf.DUMMYFUNCTION("""COMPUTED_VALUE"""),3175945.38)</f>
        <v>3175945.38</v>
      </c>
      <c r="G162" s="4">
        <f>IFERROR(__xludf.DUMMYFUNCTION("""COMPUTED_VALUE"""),1710.0)</f>
        <v>1710</v>
      </c>
      <c r="H162" s="9">
        <f>IFERROR(__xludf.DUMMYFUNCTION("""COMPUTED_VALUE"""),1.1)</f>
        <v>1.1</v>
      </c>
      <c r="I162" s="4">
        <f>IFERROR(__xludf.DUMMYFUNCTION("""COMPUTED_VALUE"""),3495420.918)</f>
        <v>3495420.918</v>
      </c>
      <c r="J162" s="4">
        <f>IFERROR(__xludf.DUMMYFUNCTION("""COMPUTED_VALUE"""),0.0)</f>
        <v>0</v>
      </c>
      <c r="K162" s="4">
        <f>IFERROR(__xludf.DUMMYFUNCTION("""COMPUTED_VALUE"""),3495420.918)</f>
        <v>3495420.918</v>
      </c>
    </row>
    <row r="163" ht="22.5" customHeight="1">
      <c r="A163" s="2" t="str">
        <f>IFERROR(__xludf.DUMMYFUNCTION("""COMPUTED_VALUE"""),"L1")</f>
        <v>L1</v>
      </c>
      <c r="B163" s="2" t="str">
        <f>IFERROR(__xludf.DUMMYFUNCTION("""COMPUTED_VALUE"""),"2026-06")</f>
        <v>2026-06</v>
      </c>
      <c r="C163" s="2" t="str">
        <f>IFERROR(__xludf.DUMMYFUNCTION("""COMPUTED_VALUE"""),"LSCINSD0005-LX")</f>
        <v>LSCINSD0005-LX</v>
      </c>
      <c r="D163" s="2">
        <f>IFERROR(__xludf.DUMMYFUNCTION("""COMPUTED_VALUE"""),499.0)</f>
        <v>499</v>
      </c>
      <c r="E163" s="2">
        <f>IFERROR(__xludf.DUMMYFUNCTION("""COMPUTED_VALUE"""),6.0)</f>
        <v>6</v>
      </c>
      <c r="F163" s="4">
        <f>IFERROR(__xludf.DUMMYFUNCTION("""COMPUTED_VALUE"""),3175945.38)</f>
        <v>3175945.38</v>
      </c>
      <c r="G163" s="4">
        <f>IFERROR(__xludf.DUMMYFUNCTION("""COMPUTED_VALUE"""),1710.0)</f>
        <v>1710</v>
      </c>
      <c r="H163" s="9">
        <f>IFERROR(__xludf.DUMMYFUNCTION("""COMPUTED_VALUE"""),1.1)</f>
        <v>1.1</v>
      </c>
      <c r="I163" s="4">
        <f>IFERROR(__xludf.DUMMYFUNCTION("""COMPUTED_VALUE"""),3495420.918)</f>
        <v>3495420.918</v>
      </c>
      <c r="J163" s="4">
        <f>IFERROR(__xludf.DUMMYFUNCTION("""COMPUTED_VALUE"""),0.0)</f>
        <v>0</v>
      </c>
      <c r="K163" s="4">
        <f>IFERROR(__xludf.DUMMYFUNCTION("""COMPUTED_VALUE"""),3495420.918)</f>
        <v>3495420.918</v>
      </c>
    </row>
    <row r="164" ht="22.5" customHeight="1">
      <c r="A164" s="2" t="str">
        <f>IFERROR(__xludf.DUMMYFUNCTION("""COMPUTED_VALUE"""),"L1")</f>
        <v>L1</v>
      </c>
      <c r="B164" s="2" t="str">
        <f>IFERROR(__xludf.DUMMYFUNCTION("""COMPUTED_VALUE"""),"2026-07")</f>
        <v>2026-07</v>
      </c>
      <c r="C164" s="2" t="str">
        <f>IFERROR(__xludf.DUMMYFUNCTION("""COMPUTED_VALUE"""),"LSCINSD0005-LX")</f>
        <v>LSCINSD0005-LX</v>
      </c>
      <c r="D164" s="2">
        <f>IFERROR(__xludf.DUMMYFUNCTION("""COMPUTED_VALUE"""),499.0)</f>
        <v>499</v>
      </c>
      <c r="E164" s="2">
        <f>IFERROR(__xludf.DUMMYFUNCTION("""COMPUTED_VALUE"""),6.0)</f>
        <v>6</v>
      </c>
      <c r="F164" s="4">
        <f>IFERROR(__xludf.DUMMYFUNCTION("""COMPUTED_VALUE"""),3175945.38)</f>
        <v>3175945.38</v>
      </c>
      <c r="G164" s="4">
        <f>IFERROR(__xludf.DUMMYFUNCTION("""COMPUTED_VALUE"""),1710.0)</f>
        <v>1710</v>
      </c>
      <c r="H164" s="9">
        <f>IFERROR(__xludf.DUMMYFUNCTION("""COMPUTED_VALUE"""),1.1)</f>
        <v>1.1</v>
      </c>
      <c r="I164" s="4">
        <f>IFERROR(__xludf.DUMMYFUNCTION("""COMPUTED_VALUE"""),3495420.918)</f>
        <v>3495420.918</v>
      </c>
      <c r="J164" s="4">
        <f>IFERROR(__xludf.DUMMYFUNCTION("""COMPUTED_VALUE"""),0.0)</f>
        <v>0</v>
      </c>
      <c r="K164" s="4">
        <f>IFERROR(__xludf.DUMMYFUNCTION("""COMPUTED_VALUE"""),3495420.918)</f>
        <v>3495420.918</v>
      </c>
    </row>
    <row r="165" ht="22.5" customHeight="1">
      <c r="A165" s="2" t="str">
        <f>IFERROR(__xludf.DUMMYFUNCTION("""COMPUTED_VALUE"""),"L1")</f>
        <v>L1</v>
      </c>
      <c r="B165" s="2" t="str">
        <f>IFERROR(__xludf.DUMMYFUNCTION("""COMPUTED_VALUE"""),"2026-08")</f>
        <v>2026-08</v>
      </c>
      <c r="C165" s="2" t="str">
        <f>IFERROR(__xludf.DUMMYFUNCTION("""COMPUTED_VALUE"""),"LSCINSD0005-LX")</f>
        <v>LSCINSD0005-LX</v>
      </c>
      <c r="D165" s="2">
        <f>IFERROR(__xludf.DUMMYFUNCTION("""COMPUTED_VALUE"""),499.0)</f>
        <v>499</v>
      </c>
      <c r="E165" s="2">
        <f>IFERROR(__xludf.DUMMYFUNCTION("""COMPUTED_VALUE"""),6.0)</f>
        <v>6</v>
      </c>
      <c r="F165" s="4">
        <f>IFERROR(__xludf.DUMMYFUNCTION("""COMPUTED_VALUE"""),3175945.38)</f>
        <v>3175945.38</v>
      </c>
      <c r="G165" s="4">
        <f>IFERROR(__xludf.DUMMYFUNCTION("""COMPUTED_VALUE"""),1710.0)</f>
        <v>1710</v>
      </c>
      <c r="H165" s="9">
        <f>IFERROR(__xludf.DUMMYFUNCTION("""COMPUTED_VALUE"""),1.1)</f>
        <v>1.1</v>
      </c>
      <c r="I165" s="4">
        <f>IFERROR(__xludf.DUMMYFUNCTION("""COMPUTED_VALUE"""),3495420.918)</f>
        <v>3495420.918</v>
      </c>
      <c r="J165" s="4">
        <f>IFERROR(__xludf.DUMMYFUNCTION("""COMPUTED_VALUE"""),0.0)</f>
        <v>0</v>
      </c>
      <c r="K165" s="4">
        <f>IFERROR(__xludf.DUMMYFUNCTION("""COMPUTED_VALUE"""),3495420.918)</f>
        <v>3495420.918</v>
      </c>
    </row>
    <row r="166" ht="22.5" customHeight="1">
      <c r="A166" s="2" t="str">
        <f>IFERROR(__xludf.DUMMYFUNCTION("""COMPUTED_VALUE"""),"L1")</f>
        <v>L1</v>
      </c>
      <c r="B166" s="2" t="str">
        <f>IFERROR(__xludf.DUMMYFUNCTION("""COMPUTED_VALUE"""),"2026-09")</f>
        <v>2026-09</v>
      </c>
      <c r="C166" s="2" t="str">
        <f>IFERROR(__xludf.DUMMYFUNCTION("""COMPUTED_VALUE"""),"LSCINSD0005-LX")</f>
        <v>LSCINSD0005-LX</v>
      </c>
      <c r="D166" s="2">
        <f>IFERROR(__xludf.DUMMYFUNCTION("""COMPUTED_VALUE"""),499.0)</f>
        <v>499</v>
      </c>
      <c r="E166" s="2">
        <f>IFERROR(__xludf.DUMMYFUNCTION("""COMPUTED_VALUE"""),6.0)</f>
        <v>6</v>
      </c>
      <c r="F166" s="4">
        <f>IFERROR(__xludf.DUMMYFUNCTION("""COMPUTED_VALUE"""),3175945.38)</f>
        <v>3175945.38</v>
      </c>
      <c r="G166" s="4">
        <f>IFERROR(__xludf.DUMMYFUNCTION("""COMPUTED_VALUE"""),1710.0)</f>
        <v>1710</v>
      </c>
      <c r="H166" s="9">
        <f>IFERROR(__xludf.DUMMYFUNCTION("""COMPUTED_VALUE"""),1.1)</f>
        <v>1.1</v>
      </c>
      <c r="I166" s="4">
        <f>IFERROR(__xludf.DUMMYFUNCTION("""COMPUTED_VALUE"""),3495420.918)</f>
        <v>3495420.918</v>
      </c>
      <c r="J166" s="4">
        <f>IFERROR(__xludf.DUMMYFUNCTION("""COMPUTED_VALUE"""),0.0)</f>
        <v>0</v>
      </c>
      <c r="K166" s="4">
        <f>IFERROR(__xludf.DUMMYFUNCTION("""COMPUTED_VALUE"""),3495420.918)</f>
        <v>3495420.918</v>
      </c>
    </row>
    <row r="167" ht="22.5" customHeight="1">
      <c r="A167" s="2" t="str">
        <f>IFERROR(__xludf.DUMMYFUNCTION("""COMPUTED_VALUE"""),"L1")</f>
        <v>L1</v>
      </c>
      <c r="B167" s="2" t="str">
        <f>IFERROR(__xludf.DUMMYFUNCTION("""COMPUTED_VALUE"""),"2026-10")</f>
        <v>2026-10</v>
      </c>
      <c r="C167" s="2" t="str">
        <f>IFERROR(__xludf.DUMMYFUNCTION("""COMPUTED_VALUE"""),"LSCINSD0005-LX")</f>
        <v>LSCINSD0005-LX</v>
      </c>
      <c r="D167" s="2">
        <f>IFERROR(__xludf.DUMMYFUNCTION("""COMPUTED_VALUE"""),499.0)</f>
        <v>499</v>
      </c>
      <c r="E167" s="2">
        <f>IFERROR(__xludf.DUMMYFUNCTION("""COMPUTED_VALUE"""),6.0)</f>
        <v>6</v>
      </c>
      <c r="F167" s="4">
        <f>IFERROR(__xludf.DUMMYFUNCTION("""COMPUTED_VALUE"""),3175945.38)</f>
        <v>3175945.38</v>
      </c>
      <c r="G167" s="4">
        <f>IFERROR(__xludf.DUMMYFUNCTION("""COMPUTED_VALUE"""),1710.0)</f>
        <v>1710</v>
      </c>
      <c r="H167" s="9">
        <f>IFERROR(__xludf.DUMMYFUNCTION("""COMPUTED_VALUE"""),1.1)</f>
        <v>1.1</v>
      </c>
      <c r="I167" s="4">
        <f>IFERROR(__xludf.DUMMYFUNCTION("""COMPUTED_VALUE"""),3495420.918)</f>
        <v>3495420.918</v>
      </c>
      <c r="J167" s="4">
        <f>IFERROR(__xludf.DUMMYFUNCTION("""COMPUTED_VALUE"""),0.0)</f>
        <v>0</v>
      </c>
      <c r="K167" s="4">
        <f>IFERROR(__xludf.DUMMYFUNCTION("""COMPUTED_VALUE"""),3495420.918)</f>
        <v>3495420.918</v>
      </c>
    </row>
    <row r="168" ht="22.5" customHeight="1">
      <c r="A168" s="2" t="str">
        <f>IFERROR(__xludf.DUMMYFUNCTION("""COMPUTED_VALUE"""),"L1")</f>
        <v>L1</v>
      </c>
      <c r="B168" s="2" t="str">
        <f>IFERROR(__xludf.DUMMYFUNCTION("""COMPUTED_VALUE"""),"2026-11")</f>
        <v>2026-11</v>
      </c>
      <c r="C168" s="2" t="str">
        <f>IFERROR(__xludf.DUMMYFUNCTION("""COMPUTED_VALUE"""),"LSCINSD0005-LX")</f>
        <v>LSCINSD0005-LX</v>
      </c>
      <c r="D168" s="2">
        <f>IFERROR(__xludf.DUMMYFUNCTION("""COMPUTED_VALUE"""),499.0)</f>
        <v>499</v>
      </c>
      <c r="E168" s="2">
        <f>IFERROR(__xludf.DUMMYFUNCTION("""COMPUTED_VALUE"""),6.0)</f>
        <v>6</v>
      </c>
      <c r="F168" s="4">
        <f>IFERROR(__xludf.DUMMYFUNCTION("""COMPUTED_VALUE"""),3175945.38)</f>
        <v>3175945.38</v>
      </c>
      <c r="G168" s="4">
        <f>IFERROR(__xludf.DUMMYFUNCTION("""COMPUTED_VALUE"""),1710.0)</f>
        <v>1710</v>
      </c>
      <c r="H168" s="9">
        <f>IFERROR(__xludf.DUMMYFUNCTION("""COMPUTED_VALUE"""),1.1)</f>
        <v>1.1</v>
      </c>
      <c r="I168" s="4">
        <f>IFERROR(__xludf.DUMMYFUNCTION("""COMPUTED_VALUE"""),3495420.918)</f>
        <v>3495420.918</v>
      </c>
      <c r="J168" s="4">
        <f>IFERROR(__xludf.DUMMYFUNCTION("""COMPUTED_VALUE"""),0.0)</f>
        <v>0</v>
      </c>
      <c r="K168" s="4">
        <f>IFERROR(__xludf.DUMMYFUNCTION("""COMPUTED_VALUE"""),3495420.918)</f>
        <v>3495420.918</v>
      </c>
    </row>
    <row r="169" ht="22.5" customHeight="1">
      <c r="A169" s="2" t="str">
        <f>IFERROR(__xludf.DUMMYFUNCTION("""COMPUTED_VALUE"""),"L1")</f>
        <v>L1</v>
      </c>
      <c r="B169" s="2" t="str">
        <f>IFERROR(__xludf.DUMMYFUNCTION("""COMPUTED_VALUE"""),"2026-12")</f>
        <v>2026-12</v>
      </c>
      <c r="C169" s="2" t="str">
        <f>IFERROR(__xludf.DUMMYFUNCTION("""COMPUTED_VALUE"""),"LSCINSD0005-LX")</f>
        <v>LSCINSD0005-LX</v>
      </c>
      <c r="D169" s="2">
        <f>IFERROR(__xludf.DUMMYFUNCTION("""COMPUTED_VALUE"""),499.0)</f>
        <v>499</v>
      </c>
      <c r="E169" s="2">
        <f>IFERROR(__xludf.DUMMYFUNCTION("""COMPUTED_VALUE"""),6.0)</f>
        <v>6</v>
      </c>
      <c r="F169" s="4">
        <f>IFERROR(__xludf.DUMMYFUNCTION("""COMPUTED_VALUE"""),3175945.38)</f>
        <v>3175945.38</v>
      </c>
      <c r="G169" s="4">
        <f>IFERROR(__xludf.DUMMYFUNCTION("""COMPUTED_VALUE"""),1710.0)</f>
        <v>1710</v>
      </c>
      <c r="H169" s="9">
        <f>IFERROR(__xludf.DUMMYFUNCTION("""COMPUTED_VALUE"""),1.1)</f>
        <v>1.1</v>
      </c>
      <c r="I169" s="4">
        <f>IFERROR(__xludf.DUMMYFUNCTION("""COMPUTED_VALUE"""),3495420.918)</f>
        <v>3495420.918</v>
      </c>
      <c r="J169" s="4">
        <f>IFERROR(__xludf.DUMMYFUNCTION("""COMPUTED_VALUE"""),0.0)</f>
        <v>0</v>
      </c>
      <c r="K169" s="4">
        <f>IFERROR(__xludf.DUMMYFUNCTION("""COMPUTED_VALUE"""),3495420.918)</f>
        <v>3495420.918</v>
      </c>
    </row>
    <row r="170" ht="22.5" customHeight="1">
      <c r="A170" s="2" t="str">
        <f>IFERROR(__xludf.DUMMYFUNCTION("""COMPUTED_VALUE"""),"L1")</f>
        <v>L1</v>
      </c>
      <c r="B170" s="2" t="str">
        <f>IFERROR(__xludf.DUMMYFUNCTION("""COMPUTED_VALUE"""),"2026-01")</f>
        <v>2026-01</v>
      </c>
      <c r="C170" s="2" t="str">
        <f>IFERROR(__xludf.DUMMYFUNCTION("""COMPUTED_VALUE"""),"LSCINSV0010")</f>
        <v>LSCINSV0010</v>
      </c>
      <c r="D170" s="2">
        <f>IFERROR(__xludf.DUMMYFUNCTION("""COMPUTED_VALUE"""),554.0)</f>
        <v>554</v>
      </c>
      <c r="E170" s="2">
        <f>IFERROR(__xludf.DUMMYFUNCTION("""COMPUTED_VALUE"""),5.0)</f>
        <v>5</v>
      </c>
      <c r="F170" s="4">
        <f>IFERROR(__xludf.DUMMYFUNCTION("""COMPUTED_VALUE"""),1658853.28)</f>
        <v>1658853.28</v>
      </c>
      <c r="G170" s="4">
        <f>IFERROR(__xludf.DUMMYFUNCTION("""COMPUTED_VALUE"""),1425.0)</f>
        <v>1425</v>
      </c>
      <c r="H170" s="9">
        <f>IFERROR(__xludf.DUMMYFUNCTION("""COMPUTED_VALUE"""),1.1)</f>
        <v>1.1</v>
      </c>
      <c r="I170" s="4">
        <f>IFERROR(__xludf.DUMMYFUNCTION("""COMPUTED_VALUE"""),1826306.1080000002)</f>
        <v>1826306.108</v>
      </c>
      <c r="J170" s="4">
        <f>IFERROR(__xludf.DUMMYFUNCTION("""COMPUTED_VALUE"""),848.3906666666668)</f>
        <v>848.3906667</v>
      </c>
      <c r="K170" s="4">
        <f>IFERROR(__xludf.DUMMYFUNCTION("""COMPUTED_VALUE"""),1827154.498666667)</f>
        <v>1827154.499</v>
      </c>
    </row>
    <row r="171" ht="22.5" customHeight="1">
      <c r="A171" s="2" t="str">
        <f>IFERROR(__xludf.DUMMYFUNCTION("""COMPUTED_VALUE"""),"L1")</f>
        <v>L1</v>
      </c>
      <c r="B171" s="2" t="str">
        <f>IFERROR(__xludf.DUMMYFUNCTION("""COMPUTED_VALUE"""),"2026-02")</f>
        <v>2026-02</v>
      </c>
      <c r="C171" s="2" t="str">
        <f>IFERROR(__xludf.DUMMYFUNCTION("""COMPUTED_VALUE"""),"LSCINSV0010")</f>
        <v>LSCINSV0010</v>
      </c>
      <c r="D171" s="2">
        <f>IFERROR(__xludf.DUMMYFUNCTION("""COMPUTED_VALUE"""),758.0)</f>
        <v>758</v>
      </c>
      <c r="E171" s="2">
        <f>IFERROR(__xludf.DUMMYFUNCTION("""COMPUTED_VALUE"""),7.0)</f>
        <v>7</v>
      </c>
      <c r="F171" s="4">
        <f>IFERROR(__xludf.DUMMYFUNCTION("""COMPUTED_VALUE"""),2269694.56)</f>
        <v>2269694.56</v>
      </c>
      <c r="G171" s="4">
        <f>IFERROR(__xludf.DUMMYFUNCTION("""COMPUTED_VALUE"""),1995.0)</f>
        <v>1995</v>
      </c>
      <c r="H171" s="9">
        <f>IFERROR(__xludf.DUMMYFUNCTION("""COMPUTED_VALUE"""),1.1)</f>
        <v>1.1</v>
      </c>
      <c r="I171" s="4">
        <f>IFERROR(__xludf.DUMMYFUNCTION("""COMPUTED_VALUE"""),2498858.5160000003)</f>
        <v>2498858.516</v>
      </c>
      <c r="J171" s="4">
        <f>IFERROR(__xludf.DUMMYFUNCTION("""COMPUTED_VALUE"""),1746.686666666667)</f>
        <v>1746.686667</v>
      </c>
      <c r="K171" s="4">
        <f>IFERROR(__xludf.DUMMYFUNCTION("""COMPUTED_VALUE"""),2500605.202666667)</f>
        <v>2500605.203</v>
      </c>
    </row>
    <row r="172" ht="22.5" customHeight="1">
      <c r="A172" s="2" t="str">
        <f>IFERROR(__xludf.DUMMYFUNCTION("""COMPUTED_VALUE"""),"L1")</f>
        <v>L1</v>
      </c>
      <c r="B172" s="2" t="str">
        <f>IFERROR(__xludf.DUMMYFUNCTION("""COMPUTED_VALUE"""),"2026-03")</f>
        <v>2026-03</v>
      </c>
      <c r="C172" s="2" t="str">
        <f>IFERROR(__xludf.DUMMYFUNCTION("""COMPUTED_VALUE"""),"LSCINSV0010")</f>
        <v>LSCINSV0010</v>
      </c>
      <c r="D172" s="2">
        <f>IFERROR(__xludf.DUMMYFUNCTION("""COMPUTED_VALUE"""),705.0)</f>
        <v>705</v>
      </c>
      <c r="E172" s="2">
        <f>IFERROR(__xludf.DUMMYFUNCTION("""COMPUTED_VALUE"""),6.0)</f>
        <v>6</v>
      </c>
      <c r="F172" s="4">
        <f>IFERROR(__xludf.DUMMYFUNCTION("""COMPUTED_VALUE"""),2110995.6)</f>
        <v>2110995.6</v>
      </c>
      <c r="G172" s="4">
        <f>IFERROR(__xludf.DUMMYFUNCTION("""COMPUTED_VALUE"""),1710.0)</f>
        <v>1710</v>
      </c>
      <c r="H172" s="9">
        <f>IFERROR(__xludf.DUMMYFUNCTION("""COMPUTED_VALUE"""),1.1)</f>
        <v>1.1</v>
      </c>
      <c r="I172" s="4">
        <f>IFERROR(__xludf.DUMMYFUNCTION("""COMPUTED_VALUE"""),2323976.16)</f>
        <v>2323976.16</v>
      </c>
      <c r="J172" s="4">
        <f>IFERROR(__xludf.DUMMYFUNCTION("""COMPUTED_VALUE"""),0.0)</f>
        <v>0</v>
      </c>
      <c r="K172" s="4">
        <f>IFERROR(__xludf.DUMMYFUNCTION("""COMPUTED_VALUE"""),2323976.16)</f>
        <v>2323976.16</v>
      </c>
    </row>
    <row r="173" ht="22.5" customHeight="1">
      <c r="A173" s="2" t="str">
        <f>IFERROR(__xludf.DUMMYFUNCTION("""COMPUTED_VALUE"""),"L1")</f>
        <v>L1</v>
      </c>
      <c r="B173" s="2" t="str">
        <f>IFERROR(__xludf.DUMMYFUNCTION("""COMPUTED_VALUE"""),"2026-04")</f>
        <v>2026-04</v>
      </c>
      <c r="C173" s="2" t="str">
        <f>IFERROR(__xludf.DUMMYFUNCTION("""COMPUTED_VALUE"""),"LSCINSV0010")</f>
        <v>LSCINSV0010</v>
      </c>
      <c r="D173" s="2">
        <f>IFERROR(__xludf.DUMMYFUNCTION("""COMPUTED_VALUE"""),740.0)</f>
        <v>740</v>
      </c>
      <c r="E173" s="2">
        <f>IFERROR(__xludf.DUMMYFUNCTION("""COMPUTED_VALUE"""),7.0)</f>
        <v>7</v>
      </c>
      <c r="F173" s="4">
        <f>IFERROR(__xludf.DUMMYFUNCTION("""COMPUTED_VALUE"""),2215796.8000000003)</f>
        <v>2215796.8</v>
      </c>
      <c r="G173" s="4">
        <f>IFERROR(__xludf.DUMMYFUNCTION("""COMPUTED_VALUE"""),1995.0)</f>
        <v>1995</v>
      </c>
      <c r="H173" s="9">
        <f>IFERROR(__xludf.DUMMYFUNCTION("""COMPUTED_VALUE"""),1.1)</f>
        <v>1.1</v>
      </c>
      <c r="I173" s="4">
        <f>IFERROR(__xludf.DUMMYFUNCTION("""COMPUTED_VALUE"""),2439570.9800000004)</f>
        <v>2439570.98</v>
      </c>
      <c r="J173" s="4">
        <f>IFERROR(__xludf.DUMMYFUNCTION("""COMPUTED_VALUE"""),0.0)</f>
        <v>0</v>
      </c>
      <c r="K173" s="4">
        <f>IFERROR(__xludf.DUMMYFUNCTION("""COMPUTED_VALUE"""),2439570.9800000004)</f>
        <v>2439570.98</v>
      </c>
    </row>
    <row r="174" ht="22.5" customHeight="1">
      <c r="A174" s="2" t="str">
        <f>IFERROR(__xludf.DUMMYFUNCTION("""COMPUTED_VALUE"""),"L1")</f>
        <v>L1</v>
      </c>
      <c r="B174" s="2" t="str">
        <f>IFERROR(__xludf.DUMMYFUNCTION("""COMPUTED_VALUE"""),"2026-05")</f>
        <v>2026-05</v>
      </c>
      <c r="C174" s="2" t="str">
        <f>IFERROR(__xludf.DUMMYFUNCTION("""COMPUTED_VALUE"""),"LSCINSV0010")</f>
        <v>LSCINSV0010</v>
      </c>
      <c r="D174" s="2">
        <f>IFERROR(__xludf.DUMMYFUNCTION("""COMPUTED_VALUE"""),740.0)</f>
        <v>740</v>
      </c>
      <c r="E174" s="2">
        <f>IFERROR(__xludf.DUMMYFUNCTION("""COMPUTED_VALUE"""),7.0)</f>
        <v>7</v>
      </c>
      <c r="F174" s="4">
        <f>IFERROR(__xludf.DUMMYFUNCTION("""COMPUTED_VALUE"""),2215796.8000000003)</f>
        <v>2215796.8</v>
      </c>
      <c r="G174" s="4">
        <f>IFERROR(__xludf.DUMMYFUNCTION("""COMPUTED_VALUE"""),1995.0)</f>
        <v>1995</v>
      </c>
      <c r="H174" s="9">
        <f>IFERROR(__xludf.DUMMYFUNCTION("""COMPUTED_VALUE"""),1.1)</f>
        <v>1.1</v>
      </c>
      <c r="I174" s="4">
        <f>IFERROR(__xludf.DUMMYFUNCTION("""COMPUTED_VALUE"""),2439570.9800000004)</f>
        <v>2439570.98</v>
      </c>
      <c r="J174" s="4">
        <f>IFERROR(__xludf.DUMMYFUNCTION("""COMPUTED_VALUE"""),0.0)</f>
        <v>0</v>
      </c>
      <c r="K174" s="4">
        <f>IFERROR(__xludf.DUMMYFUNCTION("""COMPUTED_VALUE"""),2439570.9800000004)</f>
        <v>2439570.98</v>
      </c>
    </row>
    <row r="175" ht="22.5" customHeight="1">
      <c r="A175" s="2" t="str">
        <f>IFERROR(__xludf.DUMMYFUNCTION("""COMPUTED_VALUE"""),"L1")</f>
        <v>L1</v>
      </c>
      <c r="B175" s="2" t="str">
        <f>IFERROR(__xludf.DUMMYFUNCTION("""COMPUTED_VALUE"""),"2026-06")</f>
        <v>2026-06</v>
      </c>
      <c r="C175" s="2" t="str">
        <f>IFERROR(__xludf.DUMMYFUNCTION("""COMPUTED_VALUE"""),"LSCINSV0010")</f>
        <v>LSCINSV0010</v>
      </c>
      <c r="D175" s="2">
        <f>IFERROR(__xludf.DUMMYFUNCTION("""COMPUTED_VALUE"""),741.0)</f>
        <v>741</v>
      </c>
      <c r="E175" s="2">
        <f>IFERROR(__xludf.DUMMYFUNCTION("""COMPUTED_VALUE"""),8.0)</f>
        <v>8</v>
      </c>
      <c r="F175" s="4">
        <f>IFERROR(__xludf.DUMMYFUNCTION("""COMPUTED_VALUE"""),2218791.12)</f>
        <v>2218791.12</v>
      </c>
      <c r="G175" s="4">
        <f>IFERROR(__xludf.DUMMYFUNCTION("""COMPUTED_VALUE"""),2280.0)</f>
        <v>2280</v>
      </c>
      <c r="H175" s="9">
        <f>IFERROR(__xludf.DUMMYFUNCTION("""COMPUTED_VALUE"""),1.1)</f>
        <v>1.1</v>
      </c>
      <c r="I175" s="4">
        <f>IFERROR(__xludf.DUMMYFUNCTION("""COMPUTED_VALUE"""),2443178.2320000003)</f>
        <v>2443178.232</v>
      </c>
      <c r="J175" s="4">
        <f>IFERROR(__xludf.DUMMYFUNCTION("""COMPUTED_VALUE"""),49.90533333333334)</f>
        <v>49.90533333</v>
      </c>
      <c r="K175" s="4">
        <f>IFERROR(__xludf.DUMMYFUNCTION("""COMPUTED_VALUE"""),2443228.1373333335)</f>
        <v>2443228.137</v>
      </c>
    </row>
    <row r="176" ht="22.5" customHeight="1">
      <c r="A176" s="2" t="str">
        <f>IFERROR(__xludf.DUMMYFUNCTION("""COMPUTED_VALUE"""),"L1")</f>
        <v>L1</v>
      </c>
      <c r="B176" s="2" t="str">
        <f>IFERROR(__xludf.DUMMYFUNCTION("""COMPUTED_VALUE"""),"2026-07")</f>
        <v>2026-07</v>
      </c>
      <c r="C176" s="2" t="str">
        <f>IFERROR(__xludf.DUMMYFUNCTION("""COMPUTED_VALUE"""),"LSCINSV0010")</f>
        <v>LSCINSV0010</v>
      </c>
      <c r="D176" s="2">
        <f>IFERROR(__xludf.DUMMYFUNCTION("""COMPUTED_VALUE"""),739.0)</f>
        <v>739</v>
      </c>
      <c r="E176" s="2">
        <f>IFERROR(__xludf.DUMMYFUNCTION("""COMPUTED_VALUE"""),7.0)</f>
        <v>7</v>
      </c>
      <c r="F176" s="4">
        <f>IFERROR(__xludf.DUMMYFUNCTION("""COMPUTED_VALUE"""),2212802.48)</f>
        <v>2212802.48</v>
      </c>
      <c r="G176" s="4">
        <f>IFERROR(__xludf.DUMMYFUNCTION("""COMPUTED_VALUE"""),1995.0)</f>
        <v>1995</v>
      </c>
      <c r="H176" s="9">
        <f>IFERROR(__xludf.DUMMYFUNCTION("""COMPUTED_VALUE"""),1.1)</f>
        <v>1.1</v>
      </c>
      <c r="I176" s="4">
        <f>IFERROR(__xludf.DUMMYFUNCTION("""COMPUTED_VALUE"""),2436277.228)</f>
        <v>2436277.228</v>
      </c>
      <c r="J176" s="4">
        <f>IFERROR(__xludf.DUMMYFUNCTION("""COMPUTED_VALUE"""),0.0)</f>
        <v>0</v>
      </c>
      <c r="K176" s="4">
        <f>IFERROR(__xludf.DUMMYFUNCTION("""COMPUTED_VALUE"""),2436277.228)</f>
        <v>2436277.228</v>
      </c>
    </row>
    <row r="177" ht="22.5" customHeight="1">
      <c r="A177" s="2" t="str">
        <f>IFERROR(__xludf.DUMMYFUNCTION("""COMPUTED_VALUE"""),"L1")</f>
        <v>L1</v>
      </c>
      <c r="B177" s="2" t="str">
        <f>IFERROR(__xludf.DUMMYFUNCTION("""COMPUTED_VALUE"""),"2026-08")</f>
        <v>2026-08</v>
      </c>
      <c r="C177" s="2" t="str">
        <f>IFERROR(__xludf.DUMMYFUNCTION("""COMPUTED_VALUE"""),"LSCINSV0010")</f>
        <v>LSCINSV0010</v>
      </c>
      <c r="D177" s="2">
        <f>IFERROR(__xludf.DUMMYFUNCTION("""COMPUTED_VALUE"""),740.0)</f>
        <v>740</v>
      </c>
      <c r="E177" s="2">
        <f>IFERROR(__xludf.DUMMYFUNCTION("""COMPUTED_VALUE"""),7.0)</f>
        <v>7</v>
      </c>
      <c r="F177" s="4">
        <f>IFERROR(__xludf.DUMMYFUNCTION("""COMPUTED_VALUE"""),2215796.8000000003)</f>
        <v>2215796.8</v>
      </c>
      <c r="G177" s="4">
        <f>IFERROR(__xludf.DUMMYFUNCTION("""COMPUTED_VALUE"""),1995.0)</f>
        <v>1995</v>
      </c>
      <c r="H177" s="9">
        <f>IFERROR(__xludf.DUMMYFUNCTION("""COMPUTED_VALUE"""),1.1)</f>
        <v>1.1</v>
      </c>
      <c r="I177" s="4">
        <f>IFERROR(__xludf.DUMMYFUNCTION("""COMPUTED_VALUE"""),2439570.9800000004)</f>
        <v>2439570.98</v>
      </c>
      <c r="J177" s="4">
        <f>IFERROR(__xludf.DUMMYFUNCTION("""COMPUTED_VALUE"""),0.0)</f>
        <v>0</v>
      </c>
      <c r="K177" s="4">
        <f>IFERROR(__xludf.DUMMYFUNCTION("""COMPUTED_VALUE"""),2439570.9800000004)</f>
        <v>2439570.98</v>
      </c>
    </row>
    <row r="178" ht="22.5" customHeight="1">
      <c r="A178" s="2" t="str">
        <f>IFERROR(__xludf.DUMMYFUNCTION("""COMPUTED_VALUE"""),"L1")</f>
        <v>L1</v>
      </c>
      <c r="B178" s="2" t="str">
        <f>IFERROR(__xludf.DUMMYFUNCTION("""COMPUTED_VALUE"""),"2026-09")</f>
        <v>2026-09</v>
      </c>
      <c r="C178" s="2" t="str">
        <f>IFERROR(__xludf.DUMMYFUNCTION("""COMPUTED_VALUE"""),"LSCINSV0010")</f>
        <v>LSCINSV0010</v>
      </c>
      <c r="D178" s="2">
        <f>IFERROR(__xludf.DUMMYFUNCTION("""COMPUTED_VALUE"""),740.0)</f>
        <v>740</v>
      </c>
      <c r="E178" s="2">
        <f>IFERROR(__xludf.DUMMYFUNCTION("""COMPUTED_VALUE"""),7.0)</f>
        <v>7</v>
      </c>
      <c r="F178" s="4">
        <f>IFERROR(__xludf.DUMMYFUNCTION("""COMPUTED_VALUE"""),2215796.8000000003)</f>
        <v>2215796.8</v>
      </c>
      <c r="G178" s="4">
        <f>IFERROR(__xludf.DUMMYFUNCTION("""COMPUTED_VALUE"""),1995.0)</f>
        <v>1995</v>
      </c>
      <c r="H178" s="9">
        <f>IFERROR(__xludf.DUMMYFUNCTION("""COMPUTED_VALUE"""),1.1)</f>
        <v>1.1</v>
      </c>
      <c r="I178" s="4">
        <f>IFERROR(__xludf.DUMMYFUNCTION("""COMPUTED_VALUE"""),2439570.9800000004)</f>
        <v>2439570.98</v>
      </c>
      <c r="J178" s="4">
        <f>IFERROR(__xludf.DUMMYFUNCTION("""COMPUTED_VALUE"""),0.0)</f>
        <v>0</v>
      </c>
      <c r="K178" s="4">
        <f>IFERROR(__xludf.DUMMYFUNCTION("""COMPUTED_VALUE"""),2439570.9800000004)</f>
        <v>2439570.98</v>
      </c>
    </row>
    <row r="179" ht="22.5" customHeight="1">
      <c r="A179" s="2" t="str">
        <f>IFERROR(__xludf.DUMMYFUNCTION("""COMPUTED_VALUE"""),"L1")</f>
        <v>L1</v>
      </c>
      <c r="B179" s="2" t="str">
        <f>IFERROR(__xludf.DUMMYFUNCTION("""COMPUTED_VALUE"""),"2026-10")</f>
        <v>2026-10</v>
      </c>
      <c r="C179" s="2" t="str">
        <f>IFERROR(__xludf.DUMMYFUNCTION("""COMPUTED_VALUE"""),"LSCINSV0010")</f>
        <v>LSCINSV0010</v>
      </c>
      <c r="D179" s="2">
        <f>IFERROR(__xludf.DUMMYFUNCTION("""COMPUTED_VALUE"""),740.0)</f>
        <v>740</v>
      </c>
      <c r="E179" s="2">
        <f>IFERROR(__xludf.DUMMYFUNCTION("""COMPUTED_VALUE"""),7.0)</f>
        <v>7</v>
      </c>
      <c r="F179" s="4">
        <f>IFERROR(__xludf.DUMMYFUNCTION("""COMPUTED_VALUE"""),2215796.8000000003)</f>
        <v>2215796.8</v>
      </c>
      <c r="G179" s="4">
        <f>IFERROR(__xludf.DUMMYFUNCTION("""COMPUTED_VALUE"""),1995.0)</f>
        <v>1995</v>
      </c>
      <c r="H179" s="9">
        <f>IFERROR(__xludf.DUMMYFUNCTION("""COMPUTED_VALUE"""),1.1)</f>
        <v>1.1</v>
      </c>
      <c r="I179" s="4">
        <f>IFERROR(__xludf.DUMMYFUNCTION("""COMPUTED_VALUE"""),2439570.9800000004)</f>
        <v>2439570.98</v>
      </c>
      <c r="J179" s="4">
        <f>IFERROR(__xludf.DUMMYFUNCTION("""COMPUTED_VALUE"""),0.0)</f>
        <v>0</v>
      </c>
      <c r="K179" s="4">
        <f>IFERROR(__xludf.DUMMYFUNCTION("""COMPUTED_VALUE"""),2439570.9800000004)</f>
        <v>2439570.98</v>
      </c>
    </row>
    <row r="180" ht="22.5" customHeight="1">
      <c r="A180" s="2" t="str">
        <f>IFERROR(__xludf.DUMMYFUNCTION("""COMPUTED_VALUE"""),"L1")</f>
        <v>L1</v>
      </c>
      <c r="B180" s="2" t="str">
        <f>IFERROR(__xludf.DUMMYFUNCTION("""COMPUTED_VALUE"""),"2026-11")</f>
        <v>2026-11</v>
      </c>
      <c r="C180" s="2" t="str">
        <f>IFERROR(__xludf.DUMMYFUNCTION("""COMPUTED_VALUE"""),"LSCINSV0010")</f>
        <v>LSCINSV0010</v>
      </c>
      <c r="D180" s="2">
        <f>IFERROR(__xludf.DUMMYFUNCTION("""COMPUTED_VALUE"""),744.0)</f>
        <v>744</v>
      </c>
      <c r="E180" s="2">
        <f>IFERROR(__xludf.DUMMYFUNCTION("""COMPUTED_VALUE"""),7.0)</f>
        <v>7</v>
      </c>
      <c r="F180" s="4">
        <f>IFERROR(__xludf.DUMMYFUNCTION("""COMPUTED_VALUE"""),2227774.08)</f>
        <v>2227774.08</v>
      </c>
      <c r="G180" s="4">
        <f>IFERROR(__xludf.DUMMYFUNCTION("""COMPUTED_VALUE"""),1995.0)</f>
        <v>1995</v>
      </c>
      <c r="H180" s="9">
        <f>IFERROR(__xludf.DUMMYFUNCTION("""COMPUTED_VALUE"""),1.1)</f>
        <v>1.1</v>
      </c>
      <c r="I180" s="4">
        <f>IFERROR(__xludf.DUMMYFUNCTION("""COMPUTED_VALUE"""),2452745.9880000004)</f>
        <v>2452745.988</v>
      </c>
      <c r="J180" s="4">
        <f>IFERROR(__xludf.DUMMYFUNCTION("""COMPUTED_VALUE"""),199.62133333333335)</f>
        <v>199.6213333</v>
      </c>
      <c r="K180" s="4">
        <f>IFERROR(__xludf.DUMMYFUNCTION("""COMPUTED_VALUE"""),2452945.6093333336)</f>
        <v>2452945.609</v>
      </c>
    </row>
    <row r="181" ht="22.5" customHeight="1">
      <c r="A181" s="2" t="str">
        <f>IFERROR(__xludf.DUMMYFUNCTION("""COMPUTED_VALUE"""),"L1")</f>
        <v>L1</v>
      </c>
      <c r="B181" s="2" t="str">
        <f>IFERROR(__xludf.DUMMYFUNCTION("""COMPUTED_VALUE"""),"2026-12")</f>
        <v>2026-12</v>
      </c>
      <c r="C181" s="2" t="str">
        <f>IFERROR(__xludf.DUMMYFUNCTION("""COMPUTED_VALUE"""),"LSCINSV0010")</f>
        <v>LSCINSV0010</v>
      </c>
      <c r="D181" s="2">
        <f>IFERROR(__xludf.DUMMYFUNCTION("""COMPUTED_VALUE"""),736.0)</f>
        <v>736</v>
      </c>
      <c r="E181" s="2">
        <f>IFERROR(__xludf.DUMMYFUNCTION("""COMPUTED_VALUE"""),7.0)</f>
        <v>7</v>
      </c>
      <c r="F181" s="4">
        <f>IFERROR(__xludf.DUMMYFUNCTION("""COMPUTED_VALUE"""),2203819.52)</f>
        <v>2203819.52</v>
      </c>
      <c r="G181" s="4">
        <f>IFERROR(__xludf.DUMMYFUNCTION("""COMPUTED_VALUE"""),1995.0)</f>
        <v>1995</v>
      </c>
      <c r="H181" s="9">
        <f>IFERROR(__xludf.DUMMYFUNCTION("""COMPUTED_VALUE"""),1.1)</f>
        <v>1.1</v>
      </c>
      <c r="I181" s="4">
        <f>IFERROR(__xludf.DUMMYFUNCTION("""COMPUTED_VALUE"""),2426395.972)</f>
        <v>2426395.972</v>
      </c>
      <c r="J181" s="4">
        <f>IFERROR(__xludf.DUMMYFUNCTION("""COMPUTED_VALUE"""),0.0)</f>
        <v>0</v>
      </c>
      <c r="K181" s="4">
        <f>IFERROR(__xludf.DUMMYFUNCTION("""COMPUTED_VALUE"""),2426395.972)</f>
        <v>2426395.972</v>
      </c>
    </row>
    <row r="182" ht="22.5" customHeight="1">
      <c r="A182" s="2" t="str">
        <f>IFERROR(__xludf.DUMMYFUNCTION("""COMPUTED_VALUE"""),"L1")</f>
        <v>L1</v>
      </c>
      <c r="B182" s="2" t="str">
        <f>IFERROR(__xludf.DUMMYFUNCTION("""COMPUTED_VALUE"""),"2026-01")</f>
        <v>2026-01</v>
      </c>
      <c r="C182" s="2" t="str">
        <f>IFERROR(__xludf.DUMMYFUNCTION("""COMPUTED_VALUE"""),"LSCINSV0010-LX")</f>
        <v>LSCINSV0010-LX</v>
      </c>
      <c r="D182" s="2">
        <f>IFERROR(__xludf.DUMMYFUNCTION("""COMPUTED_VALUE"""),312.0)</f>
        <v>312</v>
      </c>
      <c r="E182" s="2">
        <f>IFERROR(__xludf.DUMMYFUNCTION("""COMPUTED_VALUE"""),4.0)</f>
        <v>4</v>
      </c>
      <c r="F182" s="4">
        <f>IFERROR(__xludf.DUMMYFUNCTION("""COMPUTED_VALUE"""),1556836.3199999998)</f>
        <v>1556836.32</v>
      </c>
      <c r="G182" s="4">
        <f>IFERROR(__xludf.DUMMYFUNCTION("""COMPUTED_VALUE"""),1140.0)</f>
        <v>1140</v>
      </c>
      <c r="H182" s="9">
        <f>IFERROR(__xludf.DUMMYFUNCTION("""COMPUTED_VALUE"""),1.1)</f>
        <v>1.1</v>
      </c>
      <c r="I182" s="4">
        <f>IFERROR(__xludf.DUMMYFUNCTION("""COMPUTED_VALUE"""),1713773.952)</f>
        <v>1713773.952</v>
      </c>
      <c r="J182" s="4">
        <f>IFERROR(__xludf.DUMMYFUNCTION("""COMPUTED_VALUE"""),0.0)</f>
        <v>0</v>
      </c>
      <c r="K182" s="4">
        <f>IFERROR(__xludf.DUMMYFUNCTION("""COMPUTED_VALUE"""),1713773.952)</f>
        <v>1713773.952</v>
      </c>
    </row>
    <row r="183" ht="22.5" customHeight="1">
      <c r="A183" s="2" t="str">
        <f>IFERROR(__xludf.DUMMYFUNCTION("""COMPUTED_VALUE"""),"L1")</f>
        <v>L1</v>
      </c>
      <c r="B183" s="2" t="str">
        <f>IFERROR(__xludf.DUMMYFUNCTION("""COMPUTED_VALUE"""),"2026-02")</f>
        <v>2026-02</v>
      </c>
      <c r="C183" s="2" t="str">
        <f>IFERROR(__xludf.DUMMYFUNCTION("""COMPUTED_VALUE"""),"LSCINSV0010-LX")</f>
        <v>LSCINSV0010-LX</v>
      </c>
      <c r="D183" s="2">
        <f>IFERROR(__xludf.DUMMYFUNCTION("""COMPUTED_VALUE"""),492.0)</f>
        <v>492</v>
      </c>
      <c r="E183" s="2">
        <f>IFERROR(__xludf.DUMMYFUNCTION("""COMPUTED_VALUE"""),6.0)</f>
        <v>6</v>
      </c>
      <c r="F183" s="4">
        <f>IFERROR(__xludf.DUMMYFUNCTION("""COMPUTED_VALUE"""),2455011.1199999996)</f>
        <v>2455011.12</v>
      </c>
      <c r="G183" s="4">
        <f>IFERROR(__xludf.DUMMYFUNCTION("""COMPUTED_VALUE"""),1710.0)</f>
        <v>1710</v>
      </c>
      <c r="H183" s="9">
        <f>IFERROR(__xludf.DUMMYFUNCTION("""COMPUTED_VALUE"""),1.1)</f>
        <v>1.1</v>
      </c>
      <c r="I183" s="4">
        <f>IFERROR(__xludf.DUMMYFUNCTION("""COMPUTED_VALUE"""),2702393.232)</f>
        <v>2702393.232</v>
      </c>
      <c r="J183" s="4">
        <f>IFERROR(__xludf.DUMMYFUNCTION("""COMPUTED_VALUE"""),0.0)</f>
        <v>0</v>
      </c>
      <c r="K183" s="4">
        <f>IFERROR(__xludf.DUMMYFUNCTION("""COMPUTED_VALUE"""),2702393.232)</f>
        <v>2702393.232</v>
      </c>
    </row>
    <row r="184" ht="22.5" customHeight="1">
      <c r="A184" s="2" t="str">
        <f>IFERROR(__xludf.DUMMYFUNCTION("""COMPUTED_VALUE"""),"L1")</f>
        <v>L1</v>
      </c>
      <c r="B184" s="2" t="str">
        <f>IFERROR(__xludf.DUMMYFUNCTION("""COMPUTED_VALUE"""),"2026-03")</f>
        <v>2026-03</v>
      </c>
      <c r="C184" s="2" t="str">
        <f>IFERROR(__xludf.DUMMYFUNCTION("""COMPUTED_VALUE"""),"LSCINSV0010-LX")</f>
        <v>LSCINSV0010-LX</v>
      </c>
      <c r="D184" s="2">
        <f>IFERROR(__xludf.DUMMYFUNCTION("""COMPUTED_VALUE"""),492.0)</f>
        <v>492</v>
      </c>
      <c r="E184" s="2">
        <f>IFERROR(__xludf.DUMMYFUNCTION("""COMPUTED_VALUE"""),6.0)</f>
        <v>6</v>
      </c>
      <c r="F184" s="4">
        <f>IFERROR(__xludf.DUMMYFUNCTION("""COMPUTED_VALUE"""),2455011.1199999996)</f>
        <v>2455011.12</v>
      </c>
      <c r="G184" s="4">
        <f>IFERROR(__xludf.DUMMYFUNCTION("""COMPUTED_VALUE"""),1710.0)</f>
        <v>1710</v>
      </c>
      <c r="H184" s="9">
        <f>IFERROR(__xludf.DUMMYFUNCTION("""COMPUTED_VALUE"""),1.1)</f>
        <v>1.1</v>
      </c>
      <c r="I184" s="4">
        <f>IFERROR(__xludf.DUMMYFUNCTION("""COMPUTED_VALUE"""),2702393.232)</f>
        <v>2702393.232</v>
      </c>
      <c r="J184" s="4">
        <f>IFERROR(__xludf.DUMMYFUNCTION("""COMPUTED_VALUE"""),0.0)</f>
        <v>0</v>
      </c>
      <c r="K184" s="4">
        <f>IFERROR(__xludf.DUMMYFUNCTION("""COMPUTED_VALUE"""),2702393.232)</f>
        <v>2702393.232</v>
      </c>
    </row>
    <row r="185" ht="22.5" customHeight="1">
      <c r="A185" s="2" t="str">
        <f>IFERROR(__xludf.DUMMYFUNCTION("""COMPUTED_VALUE"""),"L1")</f>
        <v>L1</v>
      </c>
      <c r="B185" s="2" t="str">
        <f>IFERROR(__xludf.DUMMYFUNCTION("""COMPUTED_VALUE"""),"2026-04")</f>
        <v>2026-04</v>
      </c>
      <c r="C185" s="2" t="str">
        <f>IFERROR(__xludf.DUMMYFUNCTION("""COMPUTED_VALUE"""),"LSCINSV0010-LX")</f>
        <v>LSCINSV0010-LX</v>
      </c>
      <c r="D185" s="2">
        <f>IFERROR(__xludf.DUMMYFUNCTION("""COMPUTED_VALUE"""),492.0)</f>
        <v>492</v>
      </c>
      <c r="E185" s="2">
        <f>IFERROR(__xludf.DUMMYFUNCTION("""COMPUTED_VALUE"""),6.0)</f>
        <v>6</v>
      </c>
      <c r="F185" s="4">
        <f>IFERROR(__xludf.DUMMYFUNCTION("""COMPUTED_VALUE"""),2455011.1199999996)</f>
        <v>2455011.12</v>
      </c>
      <c r="G185" s="4">
        <f>IFERROR(__xludf.DUMMYFUNCTION("""COMPUTED_VALUE"""),1710.0)</f>
        <v>1710</v>
      </c>
      <c r="H185" s="9">
        <f>IFERROR(__xludf.DUMMYFUNCTION("""COMPUTED_VALUE"""),1.1)</f>
        <v>1.1</v>
      </c>
      <c r="I185" s="4">
        <f>IFERROR(__xludf.DUMMYFUNCTION("""COMPUTED_VALUE"""),2702393.232)</f>
        <v>2702393.232</v>
      </c>
      <c r="J185" s="4">
        <f>IFERROR(__xludf.DUMMYFUNCTION("""COMPUTED_VALUE"""),0.0)</f>
        <v>0</v>
      </c>
      <c r="K185" s="4">
        <f>IFERROR(__xludf.DUMMYFUNCTION("""COMPUTED_VALUE"""),2702393.232)</f>
        <v>2702393.232</v>
      </c>
    </row>
    <row r="186" ht="22.5" customHeight="1">
      <c r="A186" s="2" t="str">
        <f>IFERROR(__xludf.DUMMYFUNCTION("""COMPUTED_VALUE"""),"L1")</f>
        <v>L1</v>
      </c>
      <c r="B186" s="2" t="str">
        <f>IFERROR(__xludf.DUMMYFUNCTION("""COMPUTED_VALUE"""),"2026-05")</f>
        <v>2026-05</v>
      </c>
      <c r="C186" s="2" t="str">
        <f>IFERROR(__xludf.DUMMYFUNCTION("""COMPUTED_VALUE"""),"LSCINSV0010-LX")</f>
        <v>LSCINSV0010-LX</v>
      </c>
      <c r="D186" s="2">
        <f>IFERROR(__xludf.DUMMYFUNCTION("""COMPUTED_VALUE"""),492.0)</f>
        <v>492</v>
      </c>
      <c r="E186" s="2">
        <f>IFERROR(__xludf.DUMMYFUNCTION("""COMPUTED_VALUE"""),6.0)</f>
        <v>6</v>
      </c>
      <c r="F186" s="4">
        <f>IFERROR(__xludf.DUMMYFUNCTION("""COMPUTED_VALUE"""),2455011.1199999996)</f>
        <v>2455011.12</v>
      </c>
      <c r="G186" s="4">
        <f>IFERROR(__xludf.DUMMYFUNCTION("""COMPUTED_VALUE"""),1710.0)</f>
        <v>1710</v>
      </c>
      <c r="H186" s="9">
        <f>IFERROR(__xludf.DUMMYFUNCTION("""COMPUTED_VALUE"""),1.1)</f>
        <v>1.1</v>
      </c>
      <c r="I186" s="4">
        <f>IFERROR(__xludf.DUMMYFUNCTION("""COMPUTED_VALUE"""),2702393.232)</f>
        <v>2702393.232</v>
      </c>
      <c r="J186" s="4">
        <f>IFERROR(__xludf.DUMMYFUNCTION("""COMPUTED_VALUE"""),0.0)</f>
        <v>0</v>
      </c>
      <c r="K186" s="4">
        <f>IFERROR(__xludf.DUMMYFUNCTION("""COMPUTED_VALUE"""),2702393.232)</f>
        <v>2702393.232</v>
      </c>
    </row>
    <row r="187" ht="22.5" customHeight="1">
      <c r="A187" s="2" t="str">
        <f>IFERROR(__xludf.DUMMYFUNCTION("""COMPUTED_VALUE"""),"L1")</f>
        <v>L1</v>
      </c>
      <c r="B187" s="2" t="str">
        <f>IFERROR(__xludf.DUMMYFUNCTION("""COMPUTED_VALUE"""),"2026-06")</f>
        <v>2026-06</v>
      </c>
      <c r="C187" s="2" t="str">
        <f>IFERROR(__xludf.DUMMYFUNCTION("""COMPUTED_VALUE"""),"LSCINSV0010-LX")</f>
        <v>LSCINSV0010-LX</v>
      </c>
      <c r="D187" s="2">
        <f>IFERROR(__xludf.DUMMYFUNCTION("""COMPUTED_VALUE"""),492.0)</f>
        <v>492</v>
      </c>
      <c r="E187" s="2">
        <f>IFERROR(__xludf.DUMMYFUNCTION("""COMPUTED_VALUE"""),6.0)</f>
        <v>6</v>
      </c>
      <c r="F187" s="4">
        <f>IFERROR(__xludf.DUMMYFUNCTION("""COMPUTED_VALUE"""),2455011.1199999996)</f>
        <v>2455011.12</v>
      </c>
      <c r="G187" s="4">
        <f>IFERROR(__xludf.DUMMYFUNCTION("""COMPUTED_VALUE"""),1710.0)</f>
        <v>1710</v>
      </c>
      <c r="H187" s="9">
        <f>IFERROR(__xludf.DUMMYFUNCTION("""COMPUTED_VALUE"""),1.1)</f>
        <v>1.1</v>
      </c>
      <c r="I187" s="4">
        <f>IFERROR(__xludf.DUMMYFUNCTION("""COMPUTED_VALUE"""),2702393.232)</f>
        <v>2702393.232</v>
      </c>
      <c r="J187" s="4">
        <f>IFERROR(__xludf.DUMMYFUNCTION("""COMPUTED_VALUE"""),0.0)</f>
        <v>0</v>
      </c>
      <c r="K187" s="4">
        <f>IFERROR(__xludf.DUMMYFUNCTION("""COMPUTED_VALUE"""),2702393.232)</f>
        <v>2702393.232</v>
      </c>
    </row>
    <row r="188" ht="22.5" customHeight="1">
      <c r="A188" s="2" t="str">
        <f>IFERROR(__xludf.DUMMYFUNCTION("""COMPUTED_VALUE"""),"L1")</f>
        <v>L1</v>
      </c>
      <c r="B188" s="2" t="str">
        <f>IFERROR(__xludf.DUMMYFUNCTION("""COMPUTED_VALUE"""),"2026-07")</f>
        <v>2026-07</v>
      </c>
      <c r="C188" s="2" t="str">
        <f>IFERROR(__xludf.DUMMYFUNCTION("""COMPUTED_VALUE"""),"LSCINSV0010-LX")</f>
        <v>LSCINSV0010-LX</v>
      </c>
      <c r="D188" s="2">
        <f>IFERROR(__xludf.DUMMYFUNCTION("""COMPUTED_VALUE"""),492.0)</f>
        <v>492</v>
      </c>
      <c r="E188" s="2">
        <f>IFERROR(__xludf.DUMMYFUNCTION("""COMPUTED_VALUE"""),6.0)</f>
        <v>6</v>
      </c>
      <c r="F188" s="4">
        <f>IFERROR(__xludf.DUMMYFUNCTION("""COMPUTED_VALUE"""),2455011.1199999996)</f>
        <v>2455011.12</v>
      </c>
      <c r="G188" s="4">
        <f>IFERROR(__xludf.DUMMYFUNCTION("""COMPUTED_VALUE"""),1710.0)</f>
        <v>1710</v>
      </c>
      <c r="H188" s="9">
        <f>IFERROR(__xludf.DUMMYFUNCTION("""COMPUTED_VALUE"""),1.1)</f>
        <v>1.1</v>
      </c>
      <c r="I188" s="4">
        <f>IFERROR(__xludf.DUMMYFUNCTION("""COMPUTED_VALUE"""),2702393.232)</f>
        <v>2702393.232</v>
      </c>
      <c r="J188" s="4">
        <f>IFERROR(__xludf.DUMMYFUNCTION("""COMPUTED_VALUE"""),0.0)</f>
        <v>0</v>
      </c>
      <c r="K188" s="4">
        <f>IFERROR(__xludf.DUMMYFUNCTION("""COMPUTED_VALUE"""),2702393.232)</f>
        <v>2702393.232</v>
      </c>
    </row>
    <row r="189" ht="22.5" customHeight="1">
      <c r="A189" s="2" t="str">
        <f>IFERROR(__xludf.DUMMYFUNCTION("""COMPUTED_VALUE"""),"L1")</f>
        <v>L1</v>
      </c>
      <c r="B189" s="2" t="str">
        <f>IFERROR(__xludf.DUMMYFUNCTION("""COMPUTED_VALUE"""),"2026-08")</f>
        <v>2026-08</v>
      </c>
      <c r="C189" s="2" t="str">
        <f>IFERROR(__xludf.DUMMYFUNCTION("""COMPUTED_VALUE"""),"LSCINSV0010-LX")</f>
        <v>LSCINSV0010-LX</v>
      </c>
      <c r="D189" s="2">
        <f>IFERROR(__xludf.DUMMYFUNCTION("""COMPUTED_VALUE"""),492.0)</f>
        <v>492</v>
      </c>
      <c r="E189" s="2">
        <f>IFERROR(__xludf.DUMMYFUNCTION("""COMPUTED_VALUE"""),6.0)</f>
        <v>6</v>
      </c>
      <c r="F189" s="4">
        <f>IFERROR(__xludf.DUMMYFUNCTION("""COMPUTED_VALUE"""),2455011.1199999996)</f>
        <v>2455011.12</v>
      </c>
      <c r="G189" s="4">
        <f>IFERROR(__xludf.DUMMYFUNCTION("""COMPUTED_VALUE"""),1710.0)</f>
        <v>1710</v>
      </c>
      <c r="H189" s="9">
        <f>IFERROR(__xludf.DUMMYFUNCTION("""COMPUTED_VALUE"""),1.1)</f>
        <v>1.1</v>
      </c>
      <c r="I189" s="4">
        <f>IFERROR(__xludf.DUMMYFUNCTION("""COMPUTED_VALUE"""),2702393.232)</f>
        <v>2702393.232</v>
      </c>
      <c r="J189" s="4">
        <f>IFERROR(__xludf.DUMMYFUNCTION("""COMPUTED_VALUE"""),0.0)</f>
        <v>0</v>
      </c>
      <c r="K189" s="4">
        <f>IFERROR(__xludf.DUMMYFUNCTION("""COMPUTED_VALUE"""),2702393.232)</f>
        <v>2702393.232</v>
      </c>
    </row>
    <row r="190" ht="22.5" customHeight="1">
      <c r="A190" s="2" t="str">
        <f>IFERROR(__xludf.DUMMYFUNCTION("""COMPUTED_VALUE"""),"L1")</f>
        <v>L1</v>
      </c>
      <c r="B190" s="2" t="str">
        <f>IFERROR(__xludf.DUMMYFUNCTION("""COMPUTED_VALUE"""),"2026-09")</f>
        <v>2026-09</v>
      </c>
      <c r="C190" s="2" t="str">
        <f>IFERROR(__xludf.DUMMYFUNCTION("""COMPUTED_VALUE"""),"LSCINSV0010-LX")</f>
        <v>LSCINSV0010-LX</v>
      </c>
      <c r="D190" s="2">
        <f>IFERROR(__xludf.DUMMYFUNCTION("""COMPUTED_VALUE"""),492.0)</f>
        <v>492</v>
      </c>
      <c r="E190" s="2">
        <f>IFERROR(__xludf.DUMMYFUNCTION("""COMPUTED_VALUE"""),6.0)</f>
        <v>6</v>
      </c>
      <c r="F190" s="4">
        <f>IFERROR(__xludf.DUMMYFUNCTION("""COMPUTED_VALUE"""),2455011.1199999996)</f>
        <v>2455011.12</v>
      </c>
      <c r="G190" s="4">
        <f>IFERROR(__xludf.DUMMYFUNCTION("""COMPUTED_VALUE"""),1710.0)</f>
        <v>1710</v>
      </c>
      <c r="H190" s="9">
        <f>IFERROR(__xludf.DUMMYFUNCTION("""COMPUTED_VALUE"""),1.1)</f>
        <v>1.1</v>
      </c>
      <c r="I190" s="4">
        <f>IFERROR(__xludf.DUMMYFUNCTION("""COMPUTED_VALUE"""),2702393.232)</f>
        <v>2702393.232</v>
      </c>
      <c r="J190" s="4">
        <f>IFERROR(__xludf.DUMMYFUNCTION("""COMPUTED_VALUE"""),0.0)</f>
        <v>0</v>
      </c>
      <c r="K190" s="4">
        <f>IFERROR(__xludf.DUMMYFUNCTION("""COMPUTED_VALUE"""),2702393.232)</f>
        <v>2702393.232</v>
      </c>
    </row>
    <row r="191" ht="22.5" customHeight="1">
      <c r="A191" s="2" t="str">
        <f>IFERROR(__xludf.DUMMYFUNCTION("""COMPUTED_VALUE"""),"L1")</f>
        <v>L1</v>
      </c>
      <c r="B191" s="2" t="str">
        <f>IFERROR(__xludf.DUMMYFUNCTION("""COMPUTED_VALUE"""),"2026-10")</f>
        <v>2026-10</v>
      </c>
      <c r="C191" s="2" t="str">
        <f>IFERROR(__xludf.DUMMYFUNCTION("""COMPUTED_VALUE"""),"LSCINSV0010-LX")</f>
        <v>LSCINSV0010-LX</v>
      </c>
      <c r="D191" s="2">
        <f>IFERROR(__xludf.DUMMYFUNCTION("""COMPUTED_VALUE"""),492.0)</f>
        <v>492</v>
      </c>
      <c r="E191" s="2">
        <f>IFERROR(__xludf.DUMMYFUNCTION("""COMPUTED_VALUE"""),6.0)</f>
        <v>6</v>
      </c>
      <c r="F191" s="4">
        <f>IFERROR(__xludf.DUMMYFUNCTION("""COMPUTED_VALUE"""),2455011.1199999996)</f>
        <v>2455011.12</v>
      </c>
      <c r="G191" s="4">
        <f>IFERROR(__xludf.DUMMYFUNCTION("""COMPUTED_VALUE"""),1710.0)</f>
        <v>1710</v>
      </c>
      <c r="H191" s="9">
        <f>IFERROR(__xludf.DUMMYFUNCTION("""COMPUTED_VALUE"""),1.1)</f>
        <v>1.1</v>
      </c>
      <c r="I191" s="4">
        <f>IFERROR(__xludf.DUMMYFUNCTION("""COMPUTED_VALUE"""),2702393.232)</f>
        <v>2702393.232</v>
      </c>
      <c r="J191" s="4">
        <f>IFERROR(__xludf.DUMMYFUNCTION("""COMPUTED_VALUE"""),0.0)</f>
        <v>0</v>
      </c>
      <c r="K191" s="4">
        <f>IFERROR(__xludf.DUMMYFUNCTION("""COMPUTED_VALUE"""),2702393.232)</f>
        <v>2702393.232</v>
      </c>
    </row>
    <row r="192" ht="22.5" customHeight="1">
      <c r="A192" s="2" t="str">
        <f>IFERROR(__xludf.DUMMYFUNCTION("""COMPUTED_VALUE"""),"L1")</f>
        <v>L1</v>
      </c>
      <c r="B192" s="2" t="str">
        <f>IFERROR(__xludf.DUMMYFUNCTION("""COMPUTED_VALUE"""),"2026-11")</f>
        <v>2026-11</v>
      </c>
      <c r="C192" s="2" t="str">
        <f>IFERROR(__xludf.DUMMYFUNCTION("""COMPUTED_VALUE"""),"LSCINSV0010-LX")</f>
        <v>LSCINSV0010-LX</v>
      </c>
      <c r="D192" s="2">
        <f>IFERROR(__xludf.DUMMYFUNCTION("""COMPUTED_VALUE"""),492.0)</f>
        <v>492</v>
      </c>
      <c r="E192" s="2">
        <f>IFERROR(__xludf.DUMMYFUNCTION("""COMPUTED_VALUE"""),6.0)</f>
        <v>6</v>
      </c>
      <c r="F192" s="4">
        <f>IFERROR(__xludf.DUMMYFUNCTION("""COMPUTED_VALUE"""),2455011.1199999996)</f>
        <v>2455011.12</v>
      </c>
      <c r="G192" s="4">
        <f>IFERROR(__xludf.DUMMYFUNCTION("""COMPUTED_VALUE"""),1710.0)</f>
        <v>1710</v>
      </c>
      <c r="H192" s="9">
        <f>IFERROR(__xludf.DUMMYFUNCTION("""COMPUTED_VALUE"""),1.1)</f>
        <v>1.1</v>
      </c>
      <c r="I192" s="4">
        <f>IFERROR(__xludf.DUMMYFUNCTION("""COMPUTED_VALUE"""),2702393.232)</f>
        <v>2702393.232</v>
      </c>
      <c r="J192" s="4">
        <f>IFERROR(__xludf.DUMMYFUNCTION("""COMPUTED_VALUE"""),0.0)</f>
        <v>0</v>
      </c>
      <c r="K192" s="4">
        <f>IFERROR(__xludf.DUMMYFUNCTION("""COMPUTED_VALUE"""),2702393.232)</f>
        <v>2702393.232</v>
      </c>
    </row>
    <row r="193" ht="22.5" customHeight="1">
      <c r="A193" s="2" t="str">
        <f>IFERROR(__xludf.DUMMYFUNCTION("""COMPUTED_VALUE"""),"L1")</f>
        <v>L1</v>
      </c>
      <c r="B193" s="2" t="str">
        <f>IFERROR(__xludf.DUMMYFUNCTION("""COMPUTED_VALUE"""),"2026-12")</f>
        <v>2026-12</v>
      </c>
      <c r="C193" s="2" t="str">
        <f>IFERROR(__xludf.DUMMYFUNCTION("""COMPUTED_VALUE"""),"LSCINSV0010-LX")</f>
        <v>LSCINSV0010-LX</v>
      </c>
      <c r="D193" s="2">
        <f>IFERROR(__xludf.DUMMYFUNCTION("""COMPUTED_VALUE"""),492.0)</f>
        <v>492</v>
      </c>
      <c r="E193" s="2">
        <f>IFERROR(__xludf.DUMMYFUNCTION("""COMPUTED_VALUE"""),6.0)</f>
        <v>6</v>
      </c>
      <c r="F193" s="4">
        <f>IFERROR(__xludf.DUMMYFUNCTION("""COMPUTED_VALUE"""),2455011.1199999996)</f>
        <v>2455011.12</v>
      </c>
      <c r="G193" s="4">
        <f>IFERROR(__xludf.DUMMYFUNCTION("""COMPUTED_VALUE"""),1710.0)</f>
        <v>1710</v>
      </c>
      <c r="H193" s="9">
        <f>IFERROR(__xludf.DUMMYFUNCTION("""COMPUTED_VALUE"""),1.1)</f>
        <v>1.1</v>
      </c>
      <c r="I193" s="4">
        <f>IFERROR(__xludf.DUMMYFUNCTION("""COMPUTED_VALUE"""),2702393.232)</f>
        <v>2702393.232</v>
      </c>
      <c r="J193" s="4">
        <f>IFERROR(__xludf.DUMMYFUNCTION("""COMPUTED_VALUE"""),0.0)</f>
        <v>0</v>
      </c>
      <c r="K193" s="4">
        <f>IFERROR(__xludf.DUMMYFUNCTION("""COMPUTED_VALUE"""),2702393.232)</f>
        <v>2702393.232</v>
      </c>
    </row>
    <row r="194" ht="22.5" customHeight="1">
      <c r="A194" s="2" t="str">
        <f>IFERROR(__xludf.DUMMYFUNCTION("""COMPUTED_VALUE"""),"L1")</f>
        <v>L1</v>
      </c>
      <c r="B194" s="2" t="str">
        <f>IFERROR(__xludf.DUMMYFUNCTION("""COMPUTED_VALUE"""),"2026-01")</f>
        <v>2026-01</v>
      </c>
      <c r="C194" s="2" t="str">
        <f>IFERROR(__xludf.DUMMYFUNCTION("""COMPUTED_VALUE"""),"LSCTRSD0002")</f>
        <v>LSCTRSD0002</v>
      </c>
      <c r="D194" s="2">
        <f>IFERROR(__xludf.DUMMYFUNCTION("""COMPUTED_VALUE"""),0.0)</f>
        <v>0</v>
      </c>
      <c r="E194" s="2">
        <f>IFERROR(__xludf.DUMMYFUNCTION("""COMPUTED_VALUE"""),0.0)</f>
        <v>0</v>
      </c>
      <c r="F194" s="4">
        <f>IFERROR(__xludf.DUMMYFUNCTION("""COMPUTED_VALUE"""),0.0)</f>
        <v>0</v>
      </c>
      <c r="G194" s="4">
        <f>IFERROR(__xludf.DUMMYFUNCTION("""COMPUTED_VALUE"""),0.0)</f>
        <v>0</v>
      </c>
      <c r="H194" s="9">
        <f>IFERROR(__xludf.DUMMYFUNCTION("""COMPUTED_VALUE"""),1.1)</f>
        <v>1.1</v>
      </c>
      <c r="I194" s="4">
        <f>IFERROR(__xludf.DUMMYFUNCTION("""COMPUTED_VALUE"""),0.0)</f>
        <v>0</v>
      </c>
      <c r="J194" s="4">
        <f>IFERROR(__xludf.DUMMYFUNCTION("""COMPUTED_VALUE"""),0.0)</f>
        <v>0</v>
      </c>
      <c r="K194" s="4">
        <f>IFERROR(__xludf.DUMMYFUNCTION("""COMPUTED_VALUE"""),0.0)</f>
        <v>0</v>
      </c>
    </row>
    <row r="195" ht="22.5" customHeight="1">
      <c r="A195" s="2" t="str">
        <f>IFERROR(__xludf.DUMMYFUNCTION("""COMPUTED_VALUE"""),"L1")</f>
        <v>L1</v>
      </c>
      <c r="B195" s="2" t="str">
        <f>IFERROR(__xludf.DUMMYFUNCTION("""COMPUTED_VALUE"""),"2026-02")</f>
        <v>2026-02</v>
      </c>
      <c r="C195" s="2" t="str">
        <f>IFERROR(__xludf.DUMMYFUNCTION("""COMPUTED_VALUE"""),"LSCTRSD0002")</f>
        <v>LSCTRSD0002</v>
      </c>
      <c r="D195" s="2">
        <f>IFERROR(__xludf.DUMMYFUNCTION("""COMPUTED_VALUE"""),222.0)</f>
        <v>222</v>
      </c>
      <c r="E195" s="2">
        <f>IFERROR(__xludf.DUMMYFUNCTION("""COMPUTED_VALUE"""),6.0)</f>
        <v>6</v>
      </c>
      <c r="F195" s="4">
        <f>IFERROR(__xludf.DUMMYFUNCTION("""COMPUTED_VALUE"""),482472.60000000003)</f>
        <v>482472.6</v>
      </c>
      <c r="G195" s="4">
        <f>IFERROR(__xludf.DUMMYFUNCTION("""COMPUTED_VALUE"""),1710.0)</f>
        <v>1710</v>
      </c>
      <c r="H195" s="9">
        <f>IFERROR(__xludf.DUMMYFUNCTION("""COMPUTED_VALUE"""),1.1)</f>
        <v>1.1</v>
      </c>
      <c r="I195" s="4">
        <f>IFERROR(__xludf.DUMMYFUNCTION("""COMPUTED_VALUE"""),532600.8600000001)</f>
        <v>532600.86</v>
      </c>
      <c r="J195" s="4">
        <f>IFERROR(__xludf.DUMMYFUNCTION("""COMPUTED_VALUE"""),0.0)</f>
        <v>0</v>
      </c>
      <c r="K195" s="4">
        <f>IFERROR(__xludf.DUMMYFUNCTION("""COMPUTED_VALUE"""),532600.8600000001)</f>
        <v>532600.86</v>
      </c>
    </row>
    <row r="196" ht="22.5" customHeight="1">
      <c r="A196" s="2" t="str">
        <f>IFERROR(__xludf.DUMMYFUNCTION("""COMPUTED_VALUE"""),"L1")</f>
        <v>L1</v>
      </c>
      <c r="B196" s="2" t="str">
        <f>IFERROR(__xludf.DUMMYFUNCTION("""COMPUTED_VALUE"""),"2026-03")</f>
        <v>2026-03</v>
      </c>
      <c r="C196" s="2" t="str">
        <f>IFERROR(__xludf.DUMMYFUNCTION("""COMPUTED_VALUE"""),"LSCTRSD0002")</f>
        <v>LSCTRSD0002</v>
      </c>
      <c r="D196" s="2">
        <f>IFERROR(__xludf.DUMMYFUNCTION("""COMPUTED_VALUE"""),750.0)</f>
        <v>750</v>
      </c>
      <c r="E196" s="2">
        <f>IFERROR(__xludf.DUMMYFUNCTION("""COMPUTED_VALUE"""),19.0)</f>
        <v>19</v>
      </c>
      <c r="F196" s="4">
        <f>IFERROR(__xludf.DUMMYFUNCTION("""COMPUTED_VALUE"""),1629975.0000000002)</f>
        <v>1629975</v>
      </c>
      <c r="G196" s="4">
        <f>IFERROR(__xludf.DUMMYFUNCTION("""COMPUTED_VALUE"""),5415.0)</f>
        <v>5415</v>
      </c>
      <c r="H196" s="9">
        <f>IFERROR(__xludf.DUMMYFUNCTION("""COMPUTED_VALUE"""),1.1)</f>
        <v>1.1</v>
      </c>
      <c r="I196" s="4">
        <f>IFERROR(__xludf.DUMMYFUNCTION("""COMPUTED_VALUE"""),1798929.0000000005)</f>
        <v>1798929</v>
      </c>
      <c r="J196" s="4">
        <f>IFERROR(__xludf.DUMMYFUNCTION("""COMPUTED_VALUE"""),0.0)</f>
        <v>0</v>
      </c>
      <c r="K196" s="4">
        <f>IFERROR(__xludf.DUMMYFUNCTION("""COMPUTED_VALUE"""),1798929.0000000005)</f>
        <v>1798929</v>
      </c>
    </row>
    <row r="197" ht="22.5" customHeight="1">
      <c r="A197" s="2" t="str">
        <f>IFERROR(__xludf.DUMMYFUNCTION("""COMPUTED_VALUE"""),"L1")</f>
        <v>L1</v>
      </c>
      <c r="B197" s="2" t="str">
        <f>IFERROR(__xludf.DUMMYFUNCTION("""COMPUTED_VALUE"""),"2026-04")</f>
        <v>2026-04</v>
      </c>
      <c r="C197" s="2" t="str">
        <f>IFERROR(__xludf.DUMMYFUNCTION("""COMPUTED_VALUE"""),"LSCTRSD0002")</f>
        <v>LSCTRSD0002</v>
      </c>
      <c r="D197" s="2">
        <f>IFERROR(__xludf.DUMMYFUNCTION("""COMPUTED_VALUE"""),750.0)</f>
        <v>750</v>
      </c>
      <c r="E197" s="2">
        <f>IFERROR(__xludf.DUMMYFUNCTION("""COMPUTED_VALUE"""),19.0)</f>
        <v>19</v>
      </c>
      <c r="F197" s="4">
        <f>IFERROR(__xludf.DUMMYFUNCTION("""COMPUTED_VALUE"""),1629975.0000000002)</f>
        <v>1629975</v>
      </c>
      <c r="G197" s="4">
        <f>IFERROR(__xludf.DUMMYFUNCTION("""COMPUTED_VALUE"""),5415.0)</f>
        <v>5415</v>
      </c>
      <c r="H197" s="9">
        <f>IFERROR(__xludf.DUMMYFUNCTION("""COMPUTED_VALUE"""),1.1)</f>
        <v>1.1</v>
      </c>
      <c r="I197" s="4">
        <f>IFERROR(__xludf.DUMMYFUNCTION("""COMPUTED_VALUE"""),1798929.0000000005)</f>
        <v>1798929</v>
      </c>
      <c r="J197" s="4">
        <f>IFERROR(__xludf.DUMMYFUNCTION("""COMPUTED_VALUE"""),0.0)</f>
        <v>0</v>
      </c>
      <c r="K197" s="4">
        <f>IFERROR(__xludf.DUMMYFUNCTION("""COMPUTED_VALUE"""),1798929.0000000005)</f>
        <v>1798929</v>
      </c>
    </row>
    <row r="198" ht="22.5" customHeight="1">
      <c r="A198" s="2" t="str">
        <f>IFERROR(__xludf.DUMMYFUNCTION("""COMPUTED_VALUE"""),"L1")</f>
        <v>L1</v>
      </c>
      <c r="B198" s="2" t="str">
        <f>IFERROR(__xludf.DUMMYFUNCTION("""COMPUTED_VALUE"""),"2026-05")</f>
        <v>2026-05</v>
      </c>
      <c r="C198" s="2" t="str">
        <f>IFERROR(__xludf.DUMMYFUNCTION("""COMPUTED_VALUE"""),"LSCTRSD0002")</f>
        <v>LSCTRSD0002</v>
      </c>
      <c r="D198" s="2">
        <f>IFERROR(__xludf.DUMMYFUNCTION("""COMPUTED_VALUE"""),750.0)</f>
        <v>750</v>
      </c>
      <c r="E198" s="2">
        <f>IFERROR(__xludf.DUMMYFUNCTION("""COMPUTED_VALUE"""),19.0)</f>
        <v>19</v>
      </c>
      <c r="F198" s="4">
        <f>IFERROR(__xludf.DUMMYFUNCTION("""COMPUTED_VALUE"""),1629975.0000000002)</f>
        <v>1629975</v>
      </c>
      <c r="G198" s="4">
        <f>IFERROR(__xludf.DUMMYFUNCTION("""COMPUTED_VALUE"""),5415.0)</f>
        <v>5415</v>
      </c>
      <c r="H198" s="9">
        <f>IFERROR(__xludf.DUMMYFUNCTION("""COMPUTED_VALUE"""),1.1)</f>
        <v>1.1</v>
      </c>
      <c r="I198" s="4">
        <f>IFERROR(__xludf.DUMMYFUNCTION("""COMPUTED_VALUE"""),1798929.0000000005)</f>
        <v>1798929</v>
      </c>
      <c r="J198" s="4">
        <f>IFERROR(__xludf.DUMMYFUNCTION("""COMPUTED_VALUE"""),0.0)</f>
        <v>0</v>
      </c>
      <c r="K198" s="4">
        <f>IFERROR(__xludf.DUMMYFUNCTION("""COMPUTED_VALUE"""),1798929.0000000005)</f>
        <v>1798929</v>
      </c>
    </row>
    <row r="199" ht="22.5" customHeight="1">
      <c r="A199" s="2" t="str">
        <f>IFERROR(__xludf.DUMMYFUNCTION("""COMPUTED_VALUE"""),"L1")</f>
        <v>L1</v>
      </c>
      <c r="B199" s="2" t="str">
        <f>IFERROR(__xludf.DUMMYFUNCTION("""COMPUTED_VALUE"""),"2026-06")</f>
        <v>2026-06</v>
      </c>
      <c r="C199" s="2" t="str">
        <f>IFERROR(__xludf.DUMMYFUNCTION("""COMPUTED_VALUE"""),"LSCTRSD0002")</f>
        <v>LSCTRSD0002</v>
      </c>
      <c r="D199" s="2">
        <f>IFERROR(__xludf.DUMMYFUNCTION("""COMPUTED_VALUE"""),750.0)</f>
        <v>750</v>
      </c>
      <c r="E199" s="2">
        <f>IFERROR(__xludf.DUMMYFUNCTION("""COMPUTED_VALUE"""),19.0)</f>
        <v>19</v>
      </c>
      <c r="F199" s="4">
        <f>IFERROR(__xludf.DUMMYFUNCTION("""COMPUTED_VALUE"""),1629975.0000000002)</f>
        <v>1629975</v>
      </c>
      <c r="G199" s="4">
        <f>IFERROR(__xludf.DUMMYFUNCTION("""COMPUTED_VALUE"""),5415.0)</f>
        <v>5415</v>
      </c>
      <c r="H199" s="9">
        <f>IFERROR(__xludf.DUMMYFUNCTION("""COMPUTED_VALUE"""),1.1)</f>
        <v>1.1</v>
      </c>
      <c r="I199" s="4">
        <f>IFERROR(__xludf.DUMMYFUNCTION("""COMPUTED_VALUE"""),1798929.0000000005)</f>
        <v>1798929</v>
      </c>
      <c r="J199" s="4">
        <f>IFERROR(__xludf.DUMMYFUNCTION("""COMPUTED_VALUE"""),0.0)</f>
        <v>0</v>
      </c>
      <c r="K199" s="4">
        <f>IFERROR(__xludf.DUMMYFUNCTION("""COMPUTED_VALUE"""),1798929.0000000005)</f>
        <v>1798929</v>
      </c>
    </row>
    <row r="200" ht="22.5" customHeight="1">
      <c r="A200" s="2" t="str">
        <f>IFERROR(__xludf.DUMMYFUNCTION("""COMPUTED_VALUE"""),"L1")</f>
        <v>L1</v>
      </c>
      <c r="B200" s="2" t="str">
        <f>IFERROR(__xludf.DUMMYFUNCTION("""COMPUTED_VALUE"""),"2026-07")</f>
        <v>2026-07</v>
      </c>
      <c r="C200" s="2" t="str">
        <f>IFERROR(__xludf.DUMMYFUNCTION("""COMPUTED_VALUE"""),"LSCTRSD0002")</f>
        <v>LSCTRSD0002</v>
      </c>
      <c r="D200" s="2">
        <f>IFERROR(__xludf.DUMMYFUNCTION("""COMPUTED_VALUE"""),750.0)</f>
        <v>750</v>
      </c>
      <c r="E200" s="2">
        <f>IFERROR(__xludf.DUMMYFUNCTION("""COMPUTED_VALUE"""),19.0)</f>
        <v>19</v>
      </c>
      <c r="F200" s="4">
        <f>IFERROR(__xludf.DUMMYFUNCTION("""COMPUTED_VALUE"""),1629975.0000000002)</f>
        <v>1629975</v>
      </c>
      <c r="G200" s="4">
        <f>IFERROR(__xludf.DUMMYFUNCTION("""COMPUTED_VALUE"""),5415.0)</f>
        <v>5415</v>
      </c>
      <c r="H200" s="9">
        <f>IFERROR(__xludf.DUMMYFUNCTION("""COMPUTED_VALUE"""),1.1)</f>
        <v>1.1</v>
      </c>
      <c r="I200" s="4">
        <f>IFERROR(__xludf.DUMMYFUNCTION("""COMPUTED_VALUE"""),1798929.0000000005)</f>
        <v>1798929</v>
      </c>
      <c r="J200" s="4">
        <f>IFERROR(__xludf.DUMMYFUNCTION("""COMPUTED_VALUE"""),0.0)</f>
        <v>0</v>
      </c>
      <c r="K200" s="4">
        <f>IFERROR(__xludf.DUMMYFUNCTION("""COMPUTED_VALUE"""),1798929.0000000005)</f>
        <v>1798929</v>
      </c>
    </row>
    <row r="201" ht="22.5" customHeight="1">
      <c r="A201" s="2" t="str">
        <f>IFERROR(__xludf.DUMMYFUNCTION("""COMPUTED_VALUE"""),"L1")</f>
        <v>L1</v>
      </c>
      <c r="B201" s="2" t="str">
        <f>IFERROR(__xludf.DUMMYFUNCTION("""COMPUTED_VALUE"""),"2026-08")</f>
        <v>2026-08</v>
      </c>
      <c r="C201" s="2" t="str">
        <f>IFERROR(__xludf.DUMMYFUNCTION("""COMPUTED_VALUE"""),"LSCTRSD0002")</f>
        <v>LSCTRSD0002</v>
      </c>
      <c r="D201" s="2">
        <f>IFERROR(__xludf.DUMMYFUNCTION("""COMPUTED_VALUE"""),750.0)</f>
        <v>750</v>
      </c>
      <c r="E201" s="2">
        <f>IFERROR(__xludf.DUMMYFUNCTION("""COMPUTED_VALUE"""),19.0)</f>
        <v>19</v>
      </c>
      <c r="F201" s="4">
        <f>IFERROR(__xludf.DUMMYFUNCTION("""COMPUTED_VALUE"""),1629975.0000000002)</f>
        <v>1629975</v>
      </c>
      <c r="G201" s="4">
        <f>IFERROR(__xludf.DUMMYFUNCTION("""COMPUTED_VALUE"""),5415.0)</f>
        <v>5415</v>
      </c>
      <c r="H201" s="9">
        <f>IFERROR(__xludf.DUMMYFUNCTION("""COMPUTED_VALUE"""),1.1)</f>
        <v>1.1</v>
      </c>
      <c r="I201" s="4">
        <f>IFERROR(__xludf.DUMMYFUNCTION("""COMPUTED_VALUE"""),1798929.0000000005)</f>
        <v>1798929</v>
      </c>
      <c r="J201" s="4">
        <f>IFERROR(__xludf.DUMMYFUNCTION("""COMPUTED_VALUE"""),0.0)</f>
        <v>0</v>
      </c>
      <c r="K201" s="4">
        <f>IFERROR(__xludf.DUMMYFUNCTION("""COMPUTED_VALUE"""),1798929.0000000005)</f>
        <v>1798929</v>
      </c>
    </row>
    <row r="202" ht="22.5" customHeight="1">
      <c r="A202" s="2" t="str">
        <f>IFERROR(__xludf.DUMMYFUNCTION("""COMPUTED_VALUE"""),"L1")</f>
        <v>L1</v>
      </c>
      <c r="B202" s="2" t="str">
        <f>IFERROR(__xludf.DUMMYFUNCTION("""COMPUTED_VALUE"""),"2026-09")</f>
        <v>2026-09</v>
      </c>
      <c r="C202" s="2" t="str">
        <f>IFERROR(__xludf.DUMMYFUNCTION("""COMPUTED_VALUE"""),"LSCTRSD0002")</f>
        <v>LSCTRSD0002</v>
      </c>
      <c r="D202" s="2">
        <f>IFERROR(__xludf.DUMMYFUNCTION("""COMPUTED_VALUE"""),750.0)</f>
        <v>750</v>
      </c>
      <c r="E202" s="2">
        <f>IFERROR(__xludf.DUMMYFUNCTION("""COMPUTED_VALUE"""),19.0)</f>
        <v>19</v>
      </c>
      <c r="F202" s="4">
        <f>IFERROR(__xludf.DUMMYFUNCTION("""COMPUTED_VALUE"""),1629975.0000000002)</f>
        <v>1629975</v>
      </c>
      <c r="G202" s="4">
        <f>IFERROR(__xludf.DUMMYFUNCTION("""COMPUTED_VALUE"""),5415.0)</f>
        <v>5415</v>
      </c>
      <c r="H202" s="9">
        <f>IFERROR(__xludf.DUMMYFUNCTION("""COMPUTED_VALUE"""),1.1)</f>
        <v>1.1</v>
      </c>
      <c r="I202" s="4">
        <f>IFERROR(__xludf.DUMMYFUNCTION("""COMPUTED_VALUE"""),1798929.0000000005)</f>
        <v>1798929</v>
      </c>
      <c r="J202" s="4">
        <f>IFERROR(__xludf.DUMMYFUNCTION("""COMPUTED_VALUE"""),0.0)</f>
        <v>0</v>
      </c>
      <c r="K202" s="4">
        <f>IFERROR(__xludf.DUMMYFUNCTION("""COMPUTED_VALUE"""),1798929.0000000005)</f>
        <v>1798929</v>
      </c>
    </row>
    <row r="203" ht="22.5" customHeight="1">
      <c r="A203" s="2" t="str">
        <f>IFERROR(__xludf.DUMMYFUNCTION("""COMPUTED_VALUE"""),"L1")</f>
        <v>L1</v>
      </c>
      <c r="B203" s="2" t="str">
        <f>IFERROR(__xludf.DUMMYFUNCTION("""COMPUTED_VALUE"""),"2026-10")</f>
        <v>2026-10</v>
      </c>
      <c r="C203" s="2" t="str">
        <f>IFERROR(__xludf.DUMMYFUNCTION("""COMPUTED_VALUE"""),"LSCTRSD0002")</f>
        <v>LSCTRSD0002</v>
      </c>
      <c r="D203" s="2">
        <f>IFERROR(__xludf.DUMMYFUNCTION("""COMPUTED_VALUE"""),750.0)</f>
        <v>750</v>
      </c>
      <c r="E203" s="2">
        <f>IFERROR(__xludf.DUMMYFUNCTION("""COMPUTED_VALUE"""),19.0)</f>
        <v>19</v>
      </c>
      <c r="F203" s="4">
        <f>IFERROR(__xludf.DUMMYFUNCTION("""COMPUTED_VALUE"""),1629975.0000000002)</f>
        <v>1629975</v>
      </c>
      <c r="G203" s="4">
        <f>IFERROR(__xludf.DUMMYFUNCTION("""COMPUTED_VALUE"""),5415.0)</f>
        <v>5415</v>
      </c>
      <c r="H203" s="9">
        <f>IFERROR(__xludf.DUMMYFUNCTION("""COMPUTED_VALUE"""),1.1)</f>
        <v>1.1</v>
      </c>
      <c r="I203" s="4">
        <f>IFERROR(__xludf.DUMMYFUNCTION("""COMPUTED_VALUE"""),1798929.0000000005)</f>
        <v>1798929</v>
      </c>
      <c r="J203" s="4">
        <f>IFERROR(__xludf.DUMMYFUNCTION("""COMPUTED_VALUE"""),0.0)</f>
        <v>0</v>
      </c>
      <c r="K203" s="4">
        <f>IFERROR(__xludf.DUMMYFUNCTION("""COMPUTED_VALUE"""),1798929.0000000005)</f>
        <v>1798929</v>
      </c>
    </row>
    <row r="204" ht="22.5" customHeight="1">
      <c r="A204" s="2" t="str">
        <f>IFERROR(__xludf.DUMMYFUNCTION("""COMPUTED_VALUE"""),"L1")</f>
        <v>L1</v>
      </c>
      <c r="B204" s="2" t="str">
        <f>IFERROR(__xludf.DUMMYFUNCTION("""COMPUTED_VALUE"""),"2026-11")</f>
        <v>2026-11</v>
      </c>
      <c r="C204" s="2" t="str">
        <f>IFERROR(__xludf.DUMMYFUNCTION("""COMPUTED_VALUE"""),"LSCTRSD0002")</f>
        <v>LSCTRSD0002</v>
      </c>
      <c r="D204" s="2">
        <f>IFERROR(__xludf.DUMMYFUNCTION("""COMPUTED_VALUE"""),750.0)</f>
        <v>750</v>
      </c>
      <c r="E204" s="2">
        <f>IFERROR(__xludf.DUMMYFUNCTION("""COMPUTED_VALUE"""),19.0)</f>
        <v>19</v>
      </c>
      <c r="F204" s="4">
        <f>IFERROR(__xludf.DUMMYFUNCTION("""COMPUTED_VALUE"""),1629975.0000000002)</f>
        <v>1629975</v>
      </c>
      <c r="G204" s="4">
        <f>IFERROR(__xludf.DUMMYFUNCTION("""COMPUTED_VALUE"""),5415.0)</f>
        <v>5415</v>
      </c>
      <c r="H204" s="9">
        <f>IFERROR(__xludf.DUMMYFUNCTION("""COMPUTED_VALUE"""),1.1)</f>
        <v>1.1</v>
      </c>
      <c r="I204" s="4">
        <f>IFERROR(__xludf.DUMMYFUNCTION("""COMPUTED_VALUE"""),1798929.0000000005)</f>
        <v>1798929</v>
      </c>
      <c r="J204" s="4">
        <f>IFERROR(__xludf.DUMMYFUNCTION("""COMPUTED_VALUE"""),0.0)</f>
        <v>0</v>
      </c>
      <c r="K204" s="4">
        <f>IFERROR(__xludf.DUMMYFUNCTION("""COMPUTED_VALUE"""),1798929.0000000005)</f>
        <v>1798929</v>
      </c>
    </row>
    <row r="205" ht="22.5" customHeight="1">
      <c r="A205" s="2" t="str">
        <f>IFERROR(__xludf.DUMMYFUNCTION("""COMPUTED_VALUE"""),"L1")</f>
        <v>L1</v>
      </c>
      <c r="B205" s="2" t="str">
        <f>IFERROR(__xludf.DUMMYFUNCTION("""COMPUTED_VALUE"""),"2026-12")</f>
        <v>2026-12</v>
      </c>
      <c r="C205" s="2" t="str">
        <f>IFERROR(__xludf.DUMMYFUNCTION("""COMPUTED_VALUE"""),"LSCTRSD0002")</f>
        <v>LSCTRSD0002</v>
      </c>
      <c r="D205" s="2">
        <f>IFERROR(__xludf.DUMMYFUNCTION("""COMPUTED_VALUE"""),750.0)</f>
        <v>750</v>
      </c>
      <c r="E205" s="2">
        <f>IFERROR(__xludf.DUMMYFUNCTION("""COMPUTED_VALUE"""),19.0)</f>
        <v>19</v>
      </c>
      <c r="F205" s="4">
        <f>IFERROR(__xludf.DUMMYFUNCTION("""COMPUTED_VALUE"""),1629975.0000000002)</f>
        <v>1629975</v>
      </c>
      <c r="G205" s="4">
        <f>IFERROR(__xludf.DUMMYFUNCTION("""COMPUTED_VALUE"""),5415.0)</f>
        <v>5415</v>
      </c>
      <c r="H205" s="9">
        <f>IFERROR(__xludf.DUMMYFUNCTION("""COMPUTED_VALUE"""),1.1)</f>
        <v>1.1</v>
      </c>
      <c r="I205" s="4">
        <f>IFERROR(__xludf.DUMMYFUNCTION("""COMPUTED_VALUE"""),1798929.0000000005)</f>
        <v>1798929</v>
      </c>
      <c r="J205" s="4">
        <f>IFERROR(__xludf.DUMMYFUNCTION("""COMPUTED_VALUE"""),0.0)</f>
        <v>0</v>
      </c>
      <c r="K205" s="4">
        <f>IFERROR(__xludf.DUMMYFUNCTION("""COMPUTED_VALUE"""),1798929.0000000005)</f>
        <v>1798929</v>
      </c>
    </row>
    <row r="206" ht="22.5" customHeight="1">
      <c r="A206" s="2" t="str">
        <f>IFERROR(__xludf.DUMMYFUNCTION("""COMPUTED_VALUE"""),"L1")</f>
        <v>L1</v>
      </c>
      <c r="B206" s="2" t="str">
        <f>IFERROR(__xludf.DUMMYFUNCTION("""COMPUTED_VALUE"""),"2026-01")</f>
        <v>2026-01</v>
      </c>
      <c r="C206" s="2" t="str">
        <f>IFERROR(__xludf.DUMMYFUNCTION("""COMPUTED_VALUE"""),"LSCTRSD0002-LX")</f>
        <v>LSCTRSD0002-LX</v>
      </c>
      <c r="D206" s="2">
        <f>IFERROR(__xludf.DUMMYFUNCTION("""COMPUTED_VALUE"""),0.0)</f>
        <v>0</v>
      </c>
      <c r="E206" s="2">
        <f>IFERROR(__xludf.DUMMYFUNCTION("""COMPUTED_VALUE"""),0.0)</f>
        <v>0</v>
      </c>
      <c r="F206" s="4">
        <f>IFERROR(__xludf.DUMMYFUNCTION("""COMPUTED_VALUE"""),0.0)</f>
        <v>0</v>
      </c>
      <c r="G206" s="4">
        <f>IFERROR(__xludf.DUMMYFUNCTION("""COMPUTED_VALUE"""),0.0)</f>
        <v>0</v>
      </c>
      <c r="H206" s="9">
        <f>IFERROR(__xludf.DUMMYFUNCTION("""COMPUTED_VALUE"""),1.1)</f>
        <v>1.1</v>
      </c>
      <c r="I206" s="4">
        <f>IFERROR(__xludf.DUMMYFUNCTION("""COMPUTED_VALUE"""),0.0)</f>
        <v>0</v>
      </c>
      <c r="J206" s="4">
        <f>IFERROR(__xludf.DUMMYFUNCTION("""COMPUTED_VALUE"""),20260.707)</f>
        <v>20260.707</v>
      </c>
      <c r="K206" s="4">
        <f>IFERROR(__xludf.DUMMYFUNCTION("""COMPUTED_VALUE"""),20260.707)</f>
        <v>20260.707</v>
      </c>
    </row>
    <row r="207" ht="22.5" customHeight="1">
      <c r="A207" s="2" t="str">
        <f>IFERROR(__xludf.DUMMYFUNCTION("""COMPUTED_VALUE"""),"L1")</f>
        <v>L1</v>
      </c>
      <c r="B207" s="2" t="str">
        <f>IFERROR(__xludf.DUMMYFUNCTION("""COMPUTED_VALUE"""),"2026-02")</f>
        <v>2026-02</v>
      </c>
      <c r="C207" s="2" t="str">
        <f>IFERROR(__xludf.DUMMYFUNCTION("""COMPUTED_VALUE"""),"LSCTRSD0002-LX")</f>
        <v>LSCTRSD0002-LX</v>
      </c>
      <c r="D207" s="2">
        <f>IFERROR(__xludf.DUMMYFUNCTION("""COMPUTED_VALUE"""),0.0)</f>
        <v>0</v>
      </c>
      <c r="E207" s="2">
        <f>IFERROR(__xludf.DUMMYFUNCTION("""COMPUTED_VALUE"""),0.0)</f>
        <v>0</v>
      </c>
      <c r="F207" s="4">
        <f>IFERROR(__xludf.DUMMYFUNCTION("""COMPUTED_VALUE"""),0.0)</f>
        <v>0</v>
      </c>
      <c r="G207" s="4">
        <f>IFERROR(__xludf.DUMMYFUNCTION("""COMPUTED_VALUE"""),0.0)</f>
        <v>0</v>
      </c>
      <c r="H207" s="9">
        <f>IFERROR(__xludf.DUMMYFUNCTION("""COMPUTED_VALUE"""),1.1)</f>
        <v>1.1</v>
      </c>
      <c r="I207" s="4">
        <f>IFERROR(__xludf.DUMMYFUNCTION("""COMPUTED_VALUE"""),0.0)</f>
        <v>0</v>
      </c>
      <c r="J207" s="4">
        <f>IFERROR(__xludf.DUMMYFUNCTION("""COMPUTED_VALUE"""),0.0)</f>
        <v>0</v>
      </c>
      <c r="K207" s="4">
        <f>IFERROR(__xludf.DUMMYFUNCTION("""COMPUTED_VALUE"""),0.0)</f>
        <v>0</v>
      </c>
    </row>
    <row r="208" ht="22.5" customHeight="1">
      <c r="A208" s="2" t="str">
        <f>IFERROR(__xludf.DUMMYFUNCTION("""COMPUTED_VALUE"""),"L1")</f>
        <v>L1</v>
      </c>
      <c r="B208" s="2" t="str">
        <f>IFERROR(__xludf.DUMMYFUNCTION("""COMPUTED_VALUE"""),"2026-03")</f>
        <v>2026-03</v>
      </c>
      <c r="C208" s="2" t="str">
        <f>IFERROR(__xludf.DUMMYFUNCTION("""COMPUTED_VALUE"""),"LSCTRSD0002-LX")</f>
        <v>LSCTRSD0002-LX</v>
      </c>
      <c r="D208" s="2">
        <f>IFERROR(__xludf.DUMMYFUNCTION("""COMPUTED_VALUE"""),325.0)</f>
        <v>325</v>
      </c>
      <c r="E208" s="2">
        <f>IFERROR(__xludf.DUMMYFUNCTION("""COMPUTED_VALUE"""),12.0)</f>
        <v>12</v>
      </c>
      <c r="F208" s="4">
        <f>IFERROR(__xludf.DUMMYFUNCTION("""COMPUTED_VALUE"""),2068501.5)</f>
        <v>2068501.5</v>
      </c>
      <c r="G208" s="4">
        <f>IFERROR(__xludf.DUMMYFUNCTION("""COMPUTED_VALUE"""),3420.0)</f>
        <v>3420</v>
      </c>
      <c r="H208" s="9">
        <f>IFERROR(__xludf.DUMMYFUNCTION("""COMPUTED_VALUE"""),1.1)</f>
        <v>1.1</v>
      </c>
      <c r="I208" s="4">
        <f>IFERROR(__xludf.DUMMYFUNCTION("""COMPUTED_VALUE"""),2279113.6500000004)</f>
        <v>2279113.65</v>
      </c>
      <c r="J208" s="4">
        <f>IFERROR(__xludf.DUMMYFUNCTION("""COMPUTED_VALUE"""),0.0)</f>
        <v>0</v>
      </c>
      <c r="K208" s="4">
        <f>IFERROR(__xludf.DUMMYFUNCTION("""COMPUTED_VALUE"""),2279113.6500000004)</f>
        <v>2279113.65</v>
      </c>
    </row>
    <row r="209" ht="22.5" customHeight="1">
      <c r="A209" s="2" t="str">
        <f>IFERROR(__xludf.DUMMYFUNCTION("""COMPUTED_VALUE"""),"L1")</f>
        <v>L1</v>
      </c>
      <c r="B209" s="2" t="str">
        <f>IFERROR(__xludf.DUMMYFUNCTION("""COMPUTED_VALUE"""),"2026-04")</f>
        <v>2026-04</v>
      </c>
      <c r="C209" s="2" t="str">
        <f>IFERROR(__xludf.DUMMYFUNCTION("""COMPUTED_VALUE"""),"LSCTRSD0002-LX")</f>
        <v>LSCTRSD0002-LX</v>
      </c>
      <c r="D209" s="2">
        <f>IFERROR(__xludf.DUMMYFUNCTION("""COMPUTED_VALUE"""),499.0)</f>
        <v>499</v>
      </c>
      <c r="E209" s="2">
        <f>IFERROR(__xludf.DUMMYFUNCTION("""COMPUTED_VALUE"""),18.0)</f>
        <v>18</v>
      </c>
      <c r="F209" s="4">
        <f>IFERROR(__xludf.DUMMYFUNCTION("""COMPUTED_VALUE"""),3175945.38)</f>
        <v>3175945.38</v>
      </c>
      <c r="G209" s="4">
        <f>IFERROR(__xludf.DUMMYFUNCTION("""COMPUTED_VALUE"""),5130.0)</f>
        <v>5130</v>
      </c>
      <c r="H209" s="9">
        <f>IFERROR(__xludf.DUMMYFUNCTION("""COMPUTED_VALUE"""),1.1)</f>
        <v>1.1</v>
      </c>
      <c r="I209" s="4">
        <f>IFERROR(__xludf.DUMMYFUNCTION("""COMPUTED_VALUE"""),3499182.918)</f>
        <v>3499182.918</v>
      </c>
      <c r="J209" s="4">
        <f>IFERROR(__xludf.DUMMYFUNCTION("""COMPUTED_VALUE"""),0.0)</f>
        <v>0</v>
      </c>
      <c r="K209" s="4">
        <f>IFERROR(__xludf.DUMMYFUNCTION("""COMPUTED_VALUE"""),3499182.918)</f>
        <v>3499182.918</v>
      </c>
    </row>
    <row r="210" ht="22.5" customHeight="1">
      <c r="A210" s="2" t="str">
        <f>IFERROR(__xludf.DUMMYFUNCTION("""COMPUTED_VALUE"""),"L1")</f>
        <v>L1</v>
      </c>
      <c r="B210" s="2" t="str">
        <f>IFERROR(__xludf.DUMMYFUNCTION("""COMPUTED_VALUE"""),"2026-05")</f>
        <v>2026-05</v>
      </c>
      <c r="C210" s="2" t="str">
        <f>IFERROR(__xludf.DUMMYFUNCTION("""COMPUTED_VALUE"""),"LSCTRSD0002-LX")</f>
        <v>LSCTRSD0002-LX</v>
      </c>
      <c r="D210" s="2">
        <f>IFERROR(__xludf.DUMMYFUNCTION("""COMPUTED_VALUE"""),499.0)</f>
        <v>499</v>
      </c>
      <c r="E210" s="2">
        <f>IFERROR(__xludf.DUMMYFUNCTION("""COMPUTED_VALUE"""),18.0)</f>
        <v>18</v>
      </c>
      <c r="F210" s="4">
        <f>IFERROR(__xludf.DUMMYFUNCTION("""COMPUTED_VALUE"""),3175945.38)</f>
        <v>3175945.38</v>
      </c>
      <c r="G210" s="4">
        <f>IFERROR(__xludf.DUMMYFUNCTION("""COMPUTED_VALUE"""),5130.0)</f>
        <v>5130</v>
      </c>
      <c r="H210" s="9">
        <f>IFERROR(__xludf.DUMMYFUNCTION("""COMPUTED_VALUE"""),1.1)</f>
        <v>1.1</v>
      </c>
      <c r="I210" s="4">
        <f>IFERROR(__xludf.DUMMYFUNCTION("""COMPUTED_VALUE"""),3499182.918)</f>
        <v>3499182.918</v>
      </c>
      <c r="J210" s="4">
        <f>IFERROR(__xludf.DUMMYFUNCTION("""COMPUTED_VALUE"""),0.0)</f>
        <v>0</v>
      </c>
      <c r="K210" s="4">
        <f>IFERROR(__xludf.DUMMYFUNCTION("""COMPUTED_VALUE"""),3499182.918)</f>
        <v>3499182.918</v>
      </c>
    </row>
    <row r="211" ht="22.5" customHeight="1">
      <c r="A211" s="2" t="str">
        <f>IFERROR(__xludf.DUMMYFUNCTION("""COMPUTED_VALUE"""),"L1")</f>
        <v>L1</v>
      </c>
      <c r="B211" s="2" t="str">
        <f>IFERROR(__xludf.DUMMYFUNCTION("""COMPUTED_VALUE"""),"2026-06")</f>
        <v>2026-06</v>
      </c>
      <c r="C211" s="2" t="str">
        <f>IFERROR(__xludf.DUMMYFUNCTION("""COMPUTED_VALUE"""),"LSCTRSD0002-LX")</f>
        <v>LSCTRSD0002-LX</v>
      </c>
      <c r="D211" s="2">
        <f>IFERROR(__xludf.DUMMYFUNCTION("""COMPUTED_VALUE"""),499.0)</f>
        <v>499</v>
      </c>
      <c r="E211" s="2">
        <f>IFERROR(__xludf.DUMMYFUNCTION("""COMPUTED_VALUE"""),18.0)</f>
        <v>18</v>
      </c>
      <c r="F211" s="4">
        <f>IFERROR(__xludf.DUMMYFUNCTION("""COMPUTED_VALUE"""),3175945.38)</f>
        <v>3175945.38</v>
      </c>
      <c r="G211" s="4">
        <f>IFERROR(__xludf.DUMMYFUNCTION("""COMPUTED_VALUE"""),5130.0)</f>
        <v>5130</v>
      </c>
      <c r="H211" s="9">
        <f>IFERROR(__xludf.DUMMYFUNCTION("""COMPUTED_VALUE"""),1.1)</f>
        <v>1.1</v>
      </c>
      <c r="I211" s="4">
        <f>IFERROR(__xludf.DUMMYFUNCTION("""COMPUTED_VALUE"""),3499182.918)</f>
        <v>3499182.918</v>
      </c>
      <c r="J211" s="4">
        <f>IFERROR(__xludf.DUMMYFUNCTION("""COMPUTED_VALUE"""),0.0)</f>
        <v>0</v>
      </c>
      <c r="K211" s="4">
        <f>IFERROR(__xludf.DUMMYFUNCTION("""COMPUTED_VALUE"""),3499182.918)</f>
        <v>3499182.918</v>
      </c>
    </row>
    <row r="212" ht="22.5" customHeight="1">
      <c r="A212" s="2" t="str">
        <f>IFERROR(__xludf.DUMMYFUNCTION("""COMPUTED_VALUE"""),"L1")</f>
        <v>L1</v>
      </c>
      <c r="B212" s="2" t="str">
        <f>IFERROR(__xludf.DUMMYFUNCTION("""COMPUTED_VALUE"""),"2026-07")</f>
        <v>2026-07</v>
      </c>
      <c r="C212" s="2" t="str">
        <f>IFERROR(__xludf.DUMMYFUNCTION("""COMPUTED_VALUE"""),"LSCTRSD0002-LX")</f>
        <v>LSCTRSD0002-LX</v>
      </c>
      <c r="D212" s="2">
        <f>IFERROR(__xludf.DUMMYFUNCTION("""COMPUTED_VALUE"""),499.0)</f>
        <v>499</v>
      </c>
      <c r="E212" s="2">
        <f>IFERROR(__xludf.DUMMYFUNCTION("""COMPUTED_VALUE"""),18.0)</f>
        <v>18</v>
      </c>
      <c r="F212" s="4">
        <f>IFERROR(__xludf.DUMMYFUNCTION("""COMPUTED_VALUE"""),3175945.38)</f>
        <v>3175945.38</v>
      </c>
      <c r="G212" s="4">
        <f>IFERROR(__xludf.DUMMYFUNCTION("""COMPUTED_VALUE"""),5130.0)</f>
        <v>5130</v>
      </c>
      <c r="H212" s="9">
        <f>IFERROR(__xludf.DUMMYFUNCTION("""COMPUTED_VALUE"""),1.1)</f>
        <v>1.1</v>
      </c>
      <c r="I212" s="4">
        <f>IFERROR(__xludf.DUMMYFUNCTION("""COMPUTED_VALUE"""),3499182.918)</f>
        <v>3499182.918</v>
      </c>
      <c r="J212" s="4">
        <f>IFERROR(__xludf.DUMMYFUNCTION("""COMPUTED_VALUE"""),0.0)</f>
        <v>0</v>
      </c>
      <c r="K212" s="4">
        <f>IFERROR(__xludf.DUMMYFUNCTION("""COMPUTED_VALUE"""),3499182.918)</f>
        <v>3499182.918</v>
      </c>
    </row>
    <row r="213" ht="22.5" customHeight="1">
      <c r="A213" s="2" t="str">
        <f>IFERROR(__xludf.DUMMYFUNCTION("""COMPUTED_VALUE"""),"L1")</f>
        <v>L1</v>
      </c>
      <c r="B213" s="2" t="str">
        <f>IFERROR(__xludf.DUMMYFUNCTION("""COMPUTED_VALUE"""),"2026-08")</f>
        <v>2026-08</v>
      </c>
      <c r="C213" s="2" t="str">
        <f>IFERROR(__xludf.DUMMYFUNCTION("""COMPUTED_VALUE"""),"LSCTRSD0002-LX")</f>
        <v>LSCTRSD0002-LX</v>
      </c>
      <c r="D213" s="2">
        <f>IFERROR(__xludf.DUMMYFUNCTION("""COMPUTED_VALUE"""),499.0)</f>
        <v>499</v>
      </c>
      <c r="E213" s="2">
        <f>IFERROR(__xludf.DUMMYFUNCTION("""COMPUTED_VALUE"""),18.0)</f>
        <v>18</v>
      </c>
      <c r="F213" s="4">
        <f>IFERROR(__xludf.DUMMYFUNCTION("""COMPUTED_VALUE"""),3175945.38)</f>
        <v>3175945.38</v>
      </c>
      <c r="G213" s="4">
        <f>IFERROR(__xludf.DUMMYFUNCTION("""COMPUTED_VALUE"""),5130.0)</f>
        <v>5130</v>
      </c>
      <c r="H213" s="9">
        <f>IFERROR(__xludf.DUMMYFUNCTION("""COMPUTED_VALUE"""),1.1)</f>
        <v>1.1</v>
      </c>
      <c r="I213" s="4">
        <f>IFERROR(__xludf.DUMMYFUNCTION("""COMPUTED_VALUE"""),3499182.918)</f>
        <v>3499182.918</v>
      </c>
      <c r="J213" s="4">
        <f>IFERROR(__xludf.DUMMYFUNCTION("""COMPUTED_VALUE"""),0.0)</f>
        <v>0</v>
      </c>
      <c r="K213" s="4">
        <f>IFERROR(__xludf.DUMMYFUNCTION("""COMPUTED_VALUE"""),3499182.918)</f>
        <v>3499182.918</v>
      </c>
    </row>
    <row r="214" ht="22.5" customHeight="1">
      <c r="A214" s="2" t="str">
        <f>IFERROR(__xludf.DUMMYFUNCTION("""COMPUTED_VALUE"""),"L1")</f>
        <v>L1</v>
      </c>
      <c r="B214" s="2" t="str">
        <f>IFERROR(__xludf.DUMMYFUNCTION("""COMPUTED_VALUE"""),"2026-09")</f>
        <v>2026-09</v>
      </c>
      <c r="C214" s="2" t="str">
        <f>IFERROR(__xludf.DUMMYFUNCTION("""COMPUTED_VALUE"""),"LSCTRSD0002-LX")</f>
        <v>LSCTRSD0002-LX</v>
      </c>
      <c r="D214" s="2">
        <f>IFERROR(__xludf.DUMMYFUNCTION("""COMPUTED_VALUE"""),499.0)</f>
        <v>499</v>
      </c>
      <c r="E214" s="2">
        <f>IFERROR(__xludf.DUMMYFUNCTION("""COMPUTED_VALUE"""),18.0)</f>
        <v>18</v>
      </c>
      <c r="F214" s="4">
        <f>IFERROR(__xludf.DUMMYFUNCTION("""COMPUTED_VALUE"""),3175945.38)</f>
        <v>3175945.38</v>
      </c>
      <c r="G214" s="4">
        <f>IFERROR(__xludf.DUMMYFUNCTION("""COMPUTED_VALUE"""),5130.0)</f>
        <v>5130</v>
      </c>
      <c r="H214" s="9">
        <f>IFERROR(__xludf.DUMMYFUNCTION("""COMPUTED_VALUE"""),1.1)</f>
        <v>1.1</v>
      </c>
      <c r="I214" s="4">
        <f>IFERROR(__xludf.DUMMYFUNCTION("""COMPUTED_VALUE"""),3499182.918)</f>
        <v>3499182.918</v>
      </c>
      <c r="J214" s="4">
        <f>IFERROR(__xludf.DUMMYFUNCTION("""COMPUTED_VALUE"""),0.0)</f>
        <v>0</v>
      </c>
      <c r="K214" s="4">
        <f>IFERROR(__xludf.DUMMYFUNCTION("""COMPUTED_VALUE"""),3499182.918)</f>
        <v>3499182.918</v>
      </c>
    </row>
    <row r="215" ht="22.5" customHeight="1">
      <c r="A215" s="2" t="str">
        <f>IFERROR(__xludf.DUMMYFUNCTION("""COMPUTED_VALUE"""),"L1")</f>
        <v>L1</v>
      </c>
      <c r="B215" s="2" t="str">
        <f>IFERROR(__xludf.DUMMYFUNCTION("""COMPUTED_VALUE"""),"2026-10")</f>
        <v>2026-10</v>
      </c>
      <c r="C215" s="2" t="str">
        <f>IFERROR(__xludf.DUMMYFUNCTION("""COMPUTED_VALUE"""),"LSCTRSD0002-LX")</f>
        <v>LSCTRSD0002-LX</v>
      </c>
      <c r="D215" s="2">
        <f>IFERROR(__xludf.DUMMYFUNCTION("""COMPUTED_VALUE"""),499.0)</f>
        <v>499</v>
      </c>
      <c r="E215" s="2">
        <f>IFERROR(__xludf.DUMMYFUNCTION("""COMPUTED_VALUE"""),18.0)</f>
        <v>18</v>
      </c>
      <c r="F215" s="4">
        <f>IFERROR(__xludf.DUMMYFUNCTION("""COMPUTED_VALUE"""),3175945.38)</f>
        <v>3175945.38</v>
      </c>
      <c r="G215" s="4">
        <f>IFERROR(__xludf.DUMMYFUNCTION("""COMPUTED_VALUE"""),5130.0)</f>
        <v>5130</v>
      </c>
      <c r="H215" s="9">
        <f>IFERROR(__xludf.DUMMYFUNCTION("""COMPUTED_VALUE"""),1.1)</f>
        <v>1.1</v>
      </c>
      <c r="I215" s="4">
        <f>IFERROR(__xludf.DUMMYFUNCTION("""COMPUTED_VALUE"""),3499182.918)</f>
        <v>3499182.918</v>
      </c>
      <c r="J215" s="4">
        <f>IFERROR(__xludf.DUMMYFUNCTION("""COMPUTED_VALUE"""),0.0)</f>
        <v>0</v>
      </c>
      <c r="K215" s="4">
        <f>IFERROR(__xludf.DUMMYFUNCTION("""COMPUTED_VALUE"""),3499182.918)</f>
        <v>3499182.918</v>
      </c>
    </row>
    <row r="216" ht="22.5" customHeight="1">
      <c r="A216" s="2" t="str">
        <f>IFERROR(__xludf.DUMMYFUNCTION("""COMPUTED_VALUE"""),"L1")</f>
        <v>L1</v>
      </c>
      <c r="B216" s="2" t="str">
        <f>IFERROR(__xludf.DUMMYFUNCTION("""COMPUTED_VALUE"""),"2026-11")</f>
        <v>2026-11</v>
      </c>
      <c r="C216" s="2" t="str">
        <f>IFERROR(__xludf.DUMMYFUNCTION("""COMPUTED_VALUE"""),"LSCTRSD0002-LX")</f>
        <v>LSCTRSD0002-LX</v>
      </c>
      <c r="D216" s="2">
        <f>IFERROR(__xludf.DUMMYFUNCTION("""COMPUTED_VALUE"""),499.0)</f>
        <v>499</v>
      </c>
      <c r="E216" s="2">
        <f>IFERROR(__xludf.DUMMYFUNCTION("""COMPUTED_VALUE"""),18.0)</f>
        <v>18</v>
      </c>
      <c r="F216" s="4">
        <f>IFERROR(__xludf.DUMMYFUNCTION("""COMPUTED_VALUE"""),3175945.38)</f>
        <v>3175945.38</v>
      </c>
      <c r="G216" s="4">
        <f>IFERROR(__xludf.DUMMYFUNCTION("""COMPUTED_VALUE"""),5130.0)</f>
        <v>5130</v>
      </c>
      <c r="H216" s="9">
        <f>IFERROR(__xludf.DUMMYFUNCTION("""COMPUTED_VALUE"""),1.1)</f>
        <v>1.1</v>
      </c>
      <c r="I216" s="4">
        <f>IFERROR(__xludf.DUMMYFUNCTION("""COMPUTED_VALUE"""),3499182.918)</f>
        <v>3499182.918</v>
      </c>
      <c r="J216" s="4">
        <f>IFERROR(__xludf.DUMMYFUNCTION("""COMPUTED_VALUE"""),0.0)</f>
        <v>0</v>
      </c>
      <c r="K216" s="4">
        <f>IFERROR(__xludf.DUMMYFUNCTION("""COMPUTED_VALUE"""),3499182.918)</f>
        <v>3499182.918</v>
      </c>
    </row>
    <row r="217" ht="22.5" customHeight="1">
      <c r="A217" s="2" t="str">
        <f>IFERROR(__xludf.DUMMYFUNCTION("""COMPUTED_VALUE"""),"L1")</f>
        <v>L1</v>
      </c>
      <c r="B217" s="2" t="str">
        <f>IFERROR(__xludf.DUMMYFUNCTION("""COMPUTED_VALUE"""),"2026-12")</f>
        <v>2026-12</v>
      </c>
      <c r="C217" s="2" t="str">
        <f>IFERROR(__xludf.DUMMYFUNCTION("""COMPUTED_VALUE"""),"LSCTRSD0002-LX")</f>
        <v>LSCTRSD0002-LX</v>
      </c>
      <c r="D217" s="2">
        <f>IFERROR(__xludf.DUMMYFUNCTION("""COMPUTED_VALUE"""),499.0)</f>
        <v>499</v>
      </c>
      <c r="E217" s="2">
        <f>IFERROR(__xludf.DUMMYFUNCTION("""COMPUTED_VALUE"""),18.0)</f>
        <v>18</v>
      </c>
      <c r="F217" s="4">
        <f>IFERROR(__xludf.DUMMYFUNCTION("""COMPUTED_VALUE"""),3175945.38)</f>
        <v>3175945.38</v>
      </c>
      <c r="G217" s="4">
        <f>IFERROR(__xludf.DUMMYFUNCTION("""COMPUTED_VALUE"""),5130.0)</f>
        <v>5130</v>
      </c>
      <c r="H217" s="9">
        <f>IFERROR(__xludf.DUMMYFUNCTION("""COMPUTED_VALUE"""),1.1)</f>
        <v>1.1</v>
      </c>
      <c r="I217" s="4">
        <f>IFERROR(__xludf.DUMMYFUNCTION("""COMPUTED_VALUE"""),3499182.918)</f>
        <v>3499182.918</v>
      </c>
      <c r="J217" s="4">
        <f>IFERROR(__xludf.DUMMYFUNCTION("""COMPUTED_VALUE"""),0.0)</f>
        <v>0</v>
      </c>
      <c r="K217" s="4">
        <f>IFERROR(__xludf.DUMMYFUNCTION("""COMPUTED_VALUE"""),3499182.918)</f>
        <v>3499182.918</v>
      </c>
    </row>
    <row r="218" ht="22.5" customHeight="1">
      <c r="A218" s="2" t="str">
        <f>IFERROR(__xludf.DUMMYFUNCTION("""COMPUTED_VALUE"""),"L1")</f>
        <v>L1</v>
      </c>
      <c r="B218" s="2" t="str">
        <f>IFERROR(__xludf.DUMMYFUNCTION("""COMPUTED_VALUE"""),"2026-01")</f>
        <v>2026-01</v>
      </c>
      <c r="C218" s="2" t="str">
        <f>IFERROR(__xludf.DUMMYFUNCTION("""COMPUTED_VALUE"""),"LSCTRSV0007")</f>
        <v>LSCTRSV0007</v>
      </c>
      <c r="D218" s="2">
        <f>IFERROR(__xludf.DUMMYFUNCTION("""COMPUTED_VALUE"""),0.0)</f>
        <v>0</v>
      </c>
      <c r="E218" s="2">
        <f>IFERROR(__xludf.DUMMYFUNCTION("""COMPUTED_VALUE"""),0.0)</f>
        <v>0</v>
      </c>
      <c r="F218" s="4">
        <f>IFERROR(__xludf.DUMMYFUNCTION("""COMPUTED_VALUE"""),0.0)</f>
        <v>0</v>
      </c>
      <c r="G218" s="4">
        <f>IFERROR(__xludf.DUMMYFUNCTION("""COMPUTED_VALUE"""),0.0)</f>
        <v>0</v>
      </c>
      <c r="H218" s="9">
        <f>IFERROR(__xludf.DUMMYFUNCTION("""COMPUTED_VALUE"""),1.1)</f>
        <v>1.1</v>
      </c>
      <c r="I218" s="4">
        <f>IFERROR(__xludf.DUMMYFUNCTION("""COMPUTED_VALUE"""),0.0)</f>
        <v>0</v>
      </c>
      <c r="J218" s="4">
        <f>IFERROR(__xludf.DUMMYFUNCTION("""COMPUTED_VALUE"""),0.0)</f>
        <v>0</v>
      </c>
      <c r="K218" s="4">
        <f>IFERROR(__xludf.DUMMYFUNCTION("""COMPUTED_VALUE"""),0.0)</f>
        <v>0</v>
      </c>
    </row>
    <row r="219" ht="22.5" customHeight="1">
      <c r="A219" s="2" t="str">
        <f>IFERROR(__xludf.DUMMYFUNCTION("""COMPUTED_VALUE"""),"L1")</f>
        <v>L1</v>
      </c>
      <c r="B219" s="2" t="str">
        <f>IFERROR(__xludf.DUMMYFUNCTION("""COMPUTED_VALUE"""),"2026-02")</f>
        <v>2026-02</v>
      </c>
      <c r="C219" s="2" t="str">
        <f>IFERROR(__xludf.DUMMYFUNCTION("""COMPUTED_VALUE"""),"LSCTRSV0007")</f>
        <v>LSCTRSV0007</v>
      </c>
      <c r="D219" s="2">
        <f>IFERROR(__xludf.DUMMYFUNCTION("""COMPUTED_VALUE"""),254.0)</f>
        <v>254</v>
      </c>
      <c r="E219" s="2">
        <f>IFERROR(__xludf.DUMMYFUNCTION("""COMPUTED_VALUE"""),7.0)</f>
        <v>7</v>
      </c>
      <c r="F219" s="4">
        <f>IFERROR(__xludf.DUMMYFUNCTION("""COMPUTED_VALUE"""),760557.28)</f>
        <v>760557.28</v>
      </c>
      <c r="G219" s="4">
        <f>IFERROR(__xludf.DUMMYFUNCTION("""COMPUTED_VALUE"""),1995.0)</f>
        <v>1995</v>
      </c>
      <c r="H219" s="9">
        <f>IFERROR(__xludf.DUMMYFUNCTION("""COMPUTED_VALUE"""),1.1)</f>
        <v>1.1</v>
      </c>
      <c r="I219" s="4">
        <f>IFERROR(__xludf.DUMMYFUNCTION("""COMPUTED_VALUE"""),838807.5080000001)</f>
        <v>838807.508</v>
      </c>
      <c r="J219" s="4">
        <f>IFERROR(__xludf.DUMMYFUNCTION("""COMPUTED_VALUE"""),0.0)</f>
        <v>0</v>
      </c>
      <c r="K219" s="4">
        <f>IFERROR(__xludf.DUMMYFUNCTION("""COMPUTED_VALUE"""),838807.5080000001)</f>
        <v>838807.508</v>
      </c>
    </row>
    <row r="220" ht="22.5" customHeight="1">
      <c r="A220" s="2" t="str">
        <f>IFERROR(__xludf.DUMMYFUNCTION("""COMPUTED_VALUE"""),"L1")</f>
        <v>L1</v>
      </c>
      <c r="B220" s="2" t="str">
        <f>IFERROR(__xludf.DUMMYFUNCTION("""COMPUTED_VALUE"""),"2026-03")</f>
        <v>2026-03</v>
      </c>
      <c r="C220" s="2" t="str">
        <f>IFERROR(__xludf.DUMMYFUNCTION("""COMPUTED_VALUE"""),"LSCTRSV0007")</f>
        <v>LSCTRSV0007</v>
      </c>
      <c r="D220" s="2">
        <f>IFERROR(__xludf.DUMMYFUNCTION("""COMPUTED_VALUE"""),740.0)</f>
        <v>740</v>
      </c>
      <c r="E220" s="2">
        <f>IFERROR(__xludf.DUMMYFUNCTION("""COMPUTED_VALUE"""),19.0)</f>
        <v>19</v>
      </c>
      <c r="F220" s="4">
        <f>IFERROR(__xludf.DUMMYFUNCTION("""COMPUTED_VALUE"""),2215796.8000000003)</f>
        <v>2215796.8</v>
      </c>
      <c r="G220" s="4">
        <f>IFERROR(__xludf.DUMMYFUNCTION("""COMPUTED_VALUE"""),5415.0)</f>
        <v>5415</v>
      </c>
      <c r="H220" s="9">
        <f>IFERROR(__xludf.DUMMYFUNCTION("""COMPUTED_VALUE"""),1.1)</f>
        <v>1.1</v>
      </c>
      <c r="I220" s="4">
        <f>IFERROR(__xludf.DUMMYFUNCTION("""COMPUTED_VALUE"""),2443332.9800000004)</f>
        <v>2443332.98</v>
      </c>
      <c r="J220" s="4">
        <f>IFERROR(__xludf.DUMMYFUNCTION("""COMPUTED_VALUE"""),0.0)</f>
        <v>0</v>
      </c>
      <c r="K220" s="4">
        <f>IFERROR(__xludf.DUMMYFUNCTION("""COMPUTED_VALUE"""),2443332.9800000004)</f>
        <v>2443332.98</v>
      </c>
    </row>
    <row r="221" ht="22.5" customHeight="1">
      <c r="A221" s="2" t="str">
        <f>IFERROR(__xludf.DUMMYFUNCTION("""COMPUTED_VALUE"""),"L1")</f>
        <v>L1</v>
      </c>
      <c r="B221" s="2" t="str">
        <f>IFERROR(__xludf.DUMMYFUNCTION("""COMPUTED_VALUE"""),"2026-04")</f>
        <v>2026-04</v>
      </c>
      <c r="C221" s="2" t="str">
        <f>IFERROR(__xludf.DUMMYFUNCTION("""COMPUTED_VALUE"""),"LSCTRSV0007")</f>
        <v>LSCTRSV0007</v>
      </c>
      <c r="D221" s="2">
        <f>IFERROR(__xludf.DUMMYFUNCTION("""COMPUTED_VALUE"""),740.0)</f>
        <v>740</v>
      </c>
      <c r="E221" s="2">
        <f>IFERROR(__xludf.DUMMYFUNCTION("""COMPUTED_VALUE"""),19.0)</f>
        <v>19</v>
      </c>
      <c r="F221" s="4">
        <f>IFERROR(__xludf.DUMMYFUNCTION("""COMPUTED_VALUE"""),2215796.8000000003)</f>
        <v>2215796.8</v>
      </c>
      <c r="G221" s="4">
        <f>IFERROR(__xludf.DUMMYFUNCTION("""COMPUTED_VALUE"""),5415.0)</f>
        <v>5415</v>
      </c>
      <c r="H221" s="9">
        <f>IFERROR(__xludf.DUMMYFUNCTION("""COMPUTED_VALUE"""),1.1)</f>
        <v>1.1</v>
      </c>
      <c r="I221" s="4">
        <f>IFERROR(__xludf.DUMMYFUNCTION("""COMPUTED_VALUE"""),2443332.9800000004)</f>
        <v>2443332.98</v>
      </c>
      <c r="J221" s="4">
        <f>IFERROR(__xludf.DUMMYFUNCTION("""COMPUTED_VALUE"""),0.0)</f>
        <v>0</v>
      </c>
      <c r="K221" s="4">
        <f>IFERROR(__xludf.DUMMYFUNCTION("""COMPUTED_VALUE"""),2443332.9800000004)</f>
        <v>2443332.98</v>
      </c>
    </row>
    <row r="222" ht="22.5" customHeight="1">
      <c r="A222" s="2" t="str">
        <f>IFERROR(__xludf.DUMMYFUNCTION("""COMPUTED_VALUE"""),"L1")</f>
        <v>L1</v>
      </c>
      <c r="B222" s="2" t="str">
        <f>IFERROR(__xludf.DUMMYFUNCTION("""COMPUTED_VALUE"""),"2026-05")</f>
        <v>2026-05</v>
      </c>
      <c r="C222" s="2" t="str">
        <f>IFERROR(__xludf.DUMMYFUNCTION("""COMPUTED_VALUE"""),"LSCTRSV0007")</f>
        <v>LSCTRSV0007</v>
      </c>
      <c r="D222" s="2">
        <f>IFERROR(__xludf.DUMMYFUNCTION("""COMPUTED_VALUE"""),740.0)</f>
        <v>740</v>
      </c>
      <c r="E222" s="2">
        <f>IFERROR(__xludf.DUMMYFUNCTION("""COMPUTED_VALUE"""),19.0)</f>
        <v>19</v>
      </c>
      <c r="F222" s="4">
        <f>IFERROR(__xludf.DUMMYFUNCTION("""COMPUTED_VALUE"""),2215796.8000000003)</f>
        <v>2215796.8</v>
      </c>
      <c r="G222" s="4">
        <f>IFERROR(__xludf.DUMMYFUNCTION("""COMPUTED_VALUE"""),5415.0)</f>
        <v>5415</v>
      </c>
      <c r="H222" s="9">
        <f>IFERROR(__xludf.DUMMYFUNCTION("""COMPUTED_VALUE"""),1.1)</f>
        <v>1.1</v>
      </c>
      <c r="I222" s="4">
        <f>IFERROR(__xludf.DUMMYFUNCTION("""COMPUTED_VALUE"""),2443332.9800000004)</f>
        <v>2443332.98</v>
      </c>
      <c r="J222" s="4">
        <f>IFERROR(__xludf.DUMMYFUNCTION("""COMPUTED_VALUE"""),0.0)</f>
        <v>0</v>
      </c>
      <c r="K222" s="4">
        <f>IFERROR(__xludf.DUMMYFUNCTION("""COMPUTED_VALUE"""),2443332.9800000004)</f>
        <v>2443332.98</v>
      </c>
    </row>
    <row r="223" ht="22.5" customHeight="1">
      <c r="A223" s="2" t="str">
        <f>IFERROR(__xludf.DUMMYFUNCTION("""COMPUTED_VALUE"""),"L1")</f>
        <v>L1</v>
      </c>
      <c r="B223" s="2" t="str">
        <f>IFERROR(__xludf.DUMMYFUNCTION("""COMPUTED_VALUE"""),"2026-06")</f>
        <v>2026-06</v>
      </c>
      <c r="C223" s="2" t="str">
        <f>IFERROR(__xludf.DUMMYFUNCTION("""COMPUTED_VALUE"""),"LSCTRSV0007")</f>
        <v>LSCTRSV0007</v>
      </c>
      <c r="D223" s="2">
        <f>IFERROR(__xludf.DUMMYFUNCTION("""COMPUTED_VALUE"""),740.0)</f>
        <v>740</v>
      </c>
      <c r="E223" s="2">
        <f>IFERROR(__xludf.DUMMYFUNCTION("""COMPUTED_VALUE"""),19.0)</f>
        <v>19</v>
      </c>
      <c r="F223" s="4">
        <f>IFERROR(__xludf.DUMMYFUNCTION("""COMPUTED_VALUE"""),2215796.8000000003)</f>
        <v>2215796.8</v>
      </c>
      <c r="G223" s="4">
        <f>IFERROR(__xludf.DUMMYFUNCTION("""COMPUTED_VALUE"""),5415.0)</f>
        <v>5415</v>
      </c>
      <c r="H223" s="9">
        <f>IFERROR(__xludf.DUMMYFUNCTION("""COMPUTED_VALUE"""),1.1)</f>
        <v>1.1</v>
      </c>
      <c r="I223" s="4">
        <f>IFERROR(__xludf.DUMMYFUNCTION("""COMPUTED_VALUE"""),2443332.9800000004)</f>
        <v>2443332.98</v>
      </c>
      <c r="J223" s="4">
        <f>IFERROR(__xludf.DUMMYFUNCTION("""COMPUTED_VALUE"""),0.0)</f>
        <v>0</v>
      </c>
      <c r="K223" s="4">
        <f>IFERROR(__xludf.DUMMYFUNCTION("""COMPUTED_VALUE"""),2443332.9800000004)</f>
        <v>2443332.98</v>
      </c>
    </row>
    <row r="224" ht="22.5" customHeight="1">
      <c r="A224" s="2" t="str">
        <f>IFERROR(__xludf.DUMMYFUNCTION("""COMPUTED_VALUE"""),"L1")</f>
        <v>L1</v>
      </c>
      <c r="B224" s="2" t="str">
        <f>IFERROR(__xludf.DUMMYFUNCTION("""COMPUTED_VALUE"""),"2026-07")</f>
        <v>2026-07</v>
      </c>
      <c r="C224" s="2" t="str">
        <f>IFERROR(__xludf.DUMMYFUNCTION("""COMPUTED_VALUE"""),"LSCTRSV0007")</f>
        <v>LSCTRSV0007</v>
      </c>
      <c r="D224" s="2">
        <f>IFERROR(__xludf.DUMMYFUNCTION("""COMPUTED_VALUE"""),740.0)</f>
        <v>740</v>
      </c>
      <c r="E224" s="2">
        <f>IFERROR(__xludf.DUMMYFUNCTION("""COMPUTED_VALUE"""),19.0)</f>
        <v>19</v>
      </c>
      <c r="F224" s="4">
        <f>IFERROR(__xludf.DUMMYFUNCTION("""COMPUTED_VALUE"""),2215796.8000000003)</f>
        <v>2215796.8</v>
      </c>
      <c r="G224" s="4">
        <f>IFERROR(__xludf.DUMMYFUNCTION("""COMPUTED_VALUE"""),5415.0)</f>
        <v>5415</v>
      </c>
      <c r="H224" s="9">
        <f>IFERROR(__xludf.DUMMYFUNCTION("""COMPUTED_VALUE"""),1.1)</f>
        <v>1.1</v>
      </c>
      <c r="I224" s="4">
        <f>IFERROR(__xludf.DUMMYFUNCTION("""COMPUTED_VALUE"""),2443332.9800000004)</f>
        <v>2443332.98</v>
      </c>
      <c r="J224" s="4">
        <f>IFERROR(__xludf.DUMMYFUNCTION("""COMPUTED_VALUE"""),0.0)</f>
        <v>0</v>
      </c>
      <c r="K224" s="4">
        <f>IFERROR(__xludf.DUMMYFUNCTION("""COMPUTED_VALUE"""),2443332.9800000004)</f>
        <v>2443332.98</v>
      </c>
    </row>
    <row r="225" ht="22.5" customHeight="1">
      <c r="A225" s="2" t="str">
        <f>IFERROR(__xludf.DUMMYFUNCTION("""COMPUTED_VALUE"""),"L1")</f>
        <v>L1</v>
      </c>
      <c r="B225" s="2" t="str">
        <f>IFERROR(__xludf.DUMMYFUNCTION("""COMPUTED_VALUE"""),"2026-08")</f>
        <v>2026-08</v>
      </c>
      <c r="C225" s="2" t="str">
        <f>IFERROR(__xludf.DUMMYFUNCTION("""COMPUTED_VALUE"""),"LSCTRSV0007")</f>
        <v>LSCTRSV0007</v>
      </c>
      <c r="D225" s="2">
        <f>IFERROR(__xludf.DUMMYFUNCTION("""COMPUTED_VALUE"""),740.0)</f>
        <v>740</v>
      </c>
      <c r="E225" s="2">
        <f>IFERROR(__xludf.DUMMYFUNCTION("""COMPUTED_VALUE"""),19.0)</f>
        <v>19</v>
      </c>
      <c r="F225" s="4">
        <f>IFERROR(__xludf.DUMMYFUNCTION("""COMPUTED_VALUE"""),2215796.8000000003)</f>
        <v>2215796.8</v>
      </c>
      <c r="G225" s="4">
        <f>IFERROR(__xludf.DUMMYFUNCTION("""COMPUTED_VALUE"""),5415.0)</f>
        <v>5415</v>
      </c>
      <c r="H225" s="9">
        <f>IFERROR(__xludf.DUMMYFUNCTION("""COMPUTED_VALUE"""),1.1)</f>
        <v>1.1</v>
      </c>
      <c r="I225" s="4">
        <f>IFERROR(__xludf.DUMMYFUNCTION("""COMPUTED_VALUE"""),2443332.9800000004)</f>
        <v>2443332.98</v>
      </c>
      <c r="J225" s="4">
        <f>IFERROR(__xludf.DUMMYFUNCTION("""COMPUTED_VALUE"""),0.0)</f>
        <v>0</v>
      </c>
      <c r="K225" s="4">
        <f>IFERROR(__xludf.DUMMYFUNCTION("""COMPUTED_VALUE"""),2443332.9800000004)</f>
        <v>2443332.98</v>
      </c>
    </row>
    <row r="226" ht="22.5" customHeight="1">
      <c r="A226" s="2" t="str">
        <f>IFERROR(__xludf.DUMMYFUNCTION("""COMPUTED_VALUE"""),"L1")</f>
        <v>L1</v>
      </c>
      <c r="B226" s="2" t="str">
        <f>IFERROR(__xludf.DUMMYFUNCTION("""COMPUTED_VALUE"""),"2026-09")</f>
        <v>2026-09</v>
      </c>
      <c r="C226" s="2" t="str">
        <f>IFERROR(__xludf.DUMMYFUNCTION("""COMPUTED_VALUE"""),"LSCTRSV0007")</f>
        <v>LSCTRSV0007</v>
      </c>
      <c r="D226" s="2">
        <f>IFERROR(__xludf.DUMMYFUNCTION("""COMPUTED_VALUE"""),740.0)</f>
        <v>740</v>
      </c>
      <c r="E226" s="2">
        <f>IFERROR(__xludf.DUMMYFUNCTION("""COMPUTED_VALUE"""),19.0)</f>
        <v>19</v>
      </c>
      <c r="F226" s="4">
        <f>IFERROR(__xludf.DUMMYFUNCTION("""COMPUTED_VALUE"""),2215796.8000000003)</f>
        <v>2215796.8</v>
      </c>
      <c r="G226" s="4">
        <f>IFERROR(__xludf.DUMMYFUNCTION("""COMPUTED_VALUE"""),5415.0)</f>
        <v>5415</v>
      </c>
      <c r="H226" s="9">
        <f>IFERROR(__xludf.DUMMYFUNCTION("""COMPUTED_VALUE"""),1.1)</f>
        <v>1.1</v>
      </c>
      <c r="I226" s="4">
        <f>IFERROR(__xludf.DUMMYFUNCTION("""COMPUTED_VALUE"""),2443332.9800000004)</f>
        <v>2443332.98</v>
      </c>
      <c r="J226" s="4">
        <f>IFERROR(__xludf.DUMMYFUNCTION("""COMPUTED_VALUE"""),0.0)</f>
        <v>0</v>
      </c>
      <c r="K226" s="4">
        <f>IFERROR(__xludf.DUMMYFUNCTION("""COMPUTED_VALUE"""),2443332.9800000004)</f>
        <v>2443332.98</v>
      </c>
    </row>
    <row r="227" ht="22.5" customHeight="1">
      <c r="A227" s="2" t="str">
        <f>IFERROR(__xludf.DUMMYFUNCTION("""COMPUTED_VALUE"""),"L1")</f>
        <v>L1</v>
      </c>
      <c r="B227" s="2" t="str">
        <f>IFERROR(__xludf.DUMMYFUNCTION("""COMPUTED_VALUE"""),"2026-10")</f>
        <v>2026-10</v>
      </c>
      <c r="C227" s="2" t="str">
        <f>IFERROR(__xludf.DUMMYFUNCTION("""COMPUTED_VALUE"""),"LSCTRSV0007")</f>
        <v>LSCTRSV0007</v>
      </c>
      <c r="D227" s="2">
        <f>IFERROR(__xludf.DUMMYFUNCTION("""COMPUTED_VALUE"""),740.0)</f>
        <v>740</v>
      </c>
      <c r="E227" s="2">
        <f>IFERROR(__xludf.DUMMYFUNCTION("""COMPUTED_VALUE"""),19.0)</f>
        <v>19</v>
      </c>
      <c r="F227" s="4">
        <f>IFERROR(__xludf.DUMMYFUNCTION("""COMPUTED_VALUE"""),2215796.8000000003)</f>
        <v>2215796.8</v>
      </c>
      <c r="G227" s="4">
        <f>IFERROR(__xludf.DUMMYFUNCTION("""COMPUTED_VALUE"""),5415.0)</f>
        <v>5415</v>
      </c>
      <c r="H227" s="9">
        <f>IFERROR(__xludf.DUMMYFUNCTION("""COMPUTED_VALUE"""),1.1)</f>
        <v>1.1</v>
      </c>
      <c r="I227" s="4">
        <f>IFERROR(__xludf.DUMMYFUNCTION("""COMPUTED_VALUE"""),2443332.9800000004)</f>
        <v>2443332.98</v>
      </c>
      <c r="J227" s="4">
        <f>IFERROR(__xludf.DUMMYFUNCTION("""COMPUTED_VALUE"""),0.0)</f>
        <v>0</v>
      </c>
      <c r="K227" s="4">
        <f>IFERROR(__xludf.DUMMYFUNCTION("""COMPUTED_VALUE"""),2443332.9800000004)</f>
        <v>2443332.98</v>
      </c>
    </row>
    <row r="228" ht="22.5" customHeight="1">
      <c r="A228" s="2" t="str">
        <f>IFERROR(__xludf.DUMMYFUNCTION("""COMPUTED_VALUE"""),"L1")</f>
        <v>L1</v>
      </c>
      <c r="B228" s="2" t="str">
        <f>IFERROR(__xludf.DUMMYFUNCTION("""COMPUTED_VALUE"""),"2026-11")</f>
        <v>2026-11</v>
      </c>
      <c r="C228" s="2" t="str">
        <f>IFERROR(__xludf.DUMMYFUNCTION("""COMPUTED_VALUE"""),"LSCTRSV0007")</f>
        <v>LSCTRSV0007</v>
      </c>
      <c r="D228" s="2">
        <f>IFERROR(__xludf.DUMMYFUNCTION("""COMPUTED_VALUE"""),740.0)</f>
        <v>740</v>
      </c>
      <c r="E228" s="2">
        <f>IFERROR(__xludf.DUMMYFUNCTION("""COMPUTED_VALUE"""),19.0)</f>
        <v>19</v>
      </c>
      <c r="F228" s="4">
        <f>IFERROR(__xludf.DUMMYFUNCTION("""COMPUTED_VALUE"""),2215796.8000000003)</f>
        <v>2215796.8</v>
      </c>
      <c r="G228" s="4">
        <f>IFERROR(__xludf.DUMMYFUNCTION("""COMPUTED_VALUE"""),5415.0)</f>
        <v>5415</v>
      </c>
      <c r="H228" s="9">
        <f>IFERROR(__xludf.DUMMYFUNCTION("""COMPUTED_VALUE"""),1.1)</f>
        <v>1.1</v>
      </c>
      <c r="I228" s="4">
        <f>IFERROR(__xludf.DUMMYFUNCTION("""COMPUTED_VALUE"""),2443332.9800000004)</f>
        <v>2443332.98</v>
      </c>
      <c r="J228" s="4">
        <f>IFERROR(__xludf.DUMMYFUNCTION("""COMPUTED_VALUE"""),0.0)</f>
        <v>0</v>
      </c>
      <c r="K228" s="4">
        <f>IFERROR(__xludf.DUMMYFUNCTION("""COMPUTED_VALUE"""),2443332.9800000004)</f>
        <v>2443332.98</v>
      </c>
    </row>
    <row r="229" ht="22.5" customHeight="1">
      <c r="A229" s="2" t="str">
        <f>IFERROR(__xludf.DUMMYFUNCTION("""COMPUTED_VALUE"""),"L1")</f>
        <v>L1</v>
      </c>
      <c r="B229" s="2" t="str">
        <f>IFERROR(__xludf.DUMMYFUNCTION("""COMPUTED_VALUE"""),"2026-12")</f>
        <v>2026-12</v>
      </c>
      <c r="C229" s="2" t="str">
        <f>IFERROR(__xludf.DUMMYFUNCTION("""COMPUTED_VALUE"""),"LSCTRSV0007")</f>
        <v>LSCTRSV0007</v>
      </c>
      <c r="D229" s="2">
        <f>IFERROR(__xludf.DUMMYFUNCTION("""COMPUTED_VALUE"""),740.0)</f>
        <v>740</v>
      </c>
      <c r="E229" s="2">
        <f>IFERROR(__xludf.DUMMYFUNCTION("""COMPUTED_VALUE"""),19.0)</f>
        <v>19</v>
      </c>
      <c r="F229" s="4">
        <f>IFERROR(__xludf.DUMMYFUNCTION("""COMPUTED_VALUE"""),2215796.8000000003)</f>
        <v>2215796.8</v>
      </c>
      <c r="G229" s="4">
        <f>IFERROR(__xludf.DUMMYFUNCTION("""COMPUTED_VALUE"""),5415.0)</f>
        <v>5415</v>
      </c>
      <c r="H229" s="9">
        <f>IFERROR(__xludf.DUMMYFUNCTION("""COMPUTED_VALUE"""),1.1)</f>
        <v>1.1</v>
      </c>
      <c r="I229" s="4">
        <f>IFERROR(__xludf.DUMMYFUNCTION("""COMPUTED_VALUE"""),2443332.9800000004)</f>
        <v>2443332.98</v>
      </c>
      <c r="J229" s="4">
        <f>IFERROR(__xludf.DUMMYFUNCTION("""COMPUTED_VALUE"""),0.0)</f>
        <v>0</v>
      </c>
      <c r="K229" s="4">
        <f>IFERROR(__xludf.DUMMYFUNCTION("""COMPUTED_VALUE"""),2443332.9800000004)</f>
        <v>2443332.98</v>
      </c>
    </row>
    <row r="230" ht="22.5" customHeight="1">
      <c r="A230" s="2" t="str">
        <f>IFERROR(__xludf.DUMMYFUNCTION("""COMPUTED_VALUE"""),"L1")</f>
        <v>L1</v>
      </c>
      <c r="B230" s="2" t="str">
        <f>IFERROR(__xludf.DUMMYFUNCTION("""COMPUTED_VALUE"""),"2026-01")</f>
        <v>2026-01</v>
      </c>
      <c r="C230" s="2" t="str">
        <f>IFERROR(__xludf.DUMMYFUNCTION("""COMPUTED_VALUE"""),"LSCTRSV0007-LX")</f>
        <v>LSCTRSV0007-LX</v>
      </c>
      <c r="D230" s="2">
        <f>IFERROR(__xludf.DUMMYFUNCTION("""COMPUTED_VALUE"""),25.0)</f>
        <v>25</v>
      </c>
      <c r="E230" s="2">
        <f>IFERROR(__xludf.DUMMYFUNCTION("""COMPUTED_VALUE"""),1.0)</f>
        <v>1</v>
      </c>
      <c r="F230" s="4">
        <f>IFERROR(__xludf.DUMMYFUNCTION("""COMPUTED_VALUE"""),124746.49999999999)</f>
        <v>124746.5</v>
      </c>
      <c r="G230" s="4">
        <f>IFERROR(__xludf.DUMMYFUNCTION("""COMPUTED_VALUE"""),285.0)</f>
        <v>285</v>
      </c>
      <c r="H230" s="9">
        <f>IFERROR(__xludf.DUMMYFUNCTION("""COMPUTED_VALUE"""),1.1)</f>
        <v>1.1</v>
      </c>
      <c r="I230" s="4">
        <f>IFERROR(__xludf.DUMMYFUNCTION("""COMPUTED_VALUE"""),137534.65)</f>
        <v>137534.65</v>
      </c>
      <c r="J230" s="4">
        <f>IFERROR(__xludf.DUMMYFUNCTION("""COMPUTED_VALUE"""),0.0)</f>
        <v>0</v>
      </c>
      <c r="K230" s="4">
        <f>IFERROR(__xludf.DUMMYFUNCTION("""COMPUTED_VALUE"""),137534.65)</f>
        <v>137534.65</v>
      </c>
    </row>
    <row r="231" ht="22.5" customHeight="1">
      <c r="A231" s="2" t="str">
        <f>IFERROR(__xludf.DUMMYFUNCTION("""COMPUTED_VALUE"""),"L1")</f>
        <v>L1</v>
      </c>
      <c r="B231" s="2" t="str">
        <f>IFERROR(__xludf.DUMMYFUNCTION("""COMPUTED_VALUE"""),"2026-02")</f>
        <v>2026-02</v>
      </c>
      <c r="C231" s="2" t="str">
        <f>IFERROR(__xludf.DUMMYFUNCTION("""COMPUTED_VALUE"""),"LSCTRSV0007-LX")</f>
        <v>LSCTRSV0007-LX</v>
      </c>
      <c r="D231" s="2">
        <f>IFERROR(__xludf.DUMMYFUNCTION("""COMPUTED_VALUE"""),0.0)</f>
        <v>0</v>
      </c>
      <c r="E231" s="2">
        <f>IFERROR(__xludf.DUMMYFUNCTION("""COMPUTED_VALUE"""),0.0)</f>
        <v>0</v>
      </c>
      <c r="F231" s="4">
        <f>IFERROR(__xludf.DUMMYFUNCTION("""COMPUTED_VALUE"""),0.0)</f>
        <v>0</v>
      </c>
      <c r="G231" s="4">
        <f>IFERROR(__xludf.DUMMYFUNCTION("""COMPUTED_VALUE"""),0.0)</f>
        <v>0</v>
      </c>
      <c r="H231" s="9">
        <f>IFERROR(__xludf.DUMMYFUNCTION("""COMPUTED_VALUE"""),1.1)</f>
        <v>1.1</v>
      </c>
      <c r="I231" s="4">
        <f>IFERROR(__xludf.DUMMYFUNCTION("""COMPUTED_VALUE"""),0.0)</f>
        <v>0</v>
      </c>
      <c r="J231" s="4">
        <f>IFERROR(__xludf.DUMMYFUNCTION("""COMPUTED_VALUE"""),0.0)</f>
        <v>0</v>
      </c>
      <c r="K231" s="4">
        <f>IFERROR(__xludf.DUMMYFUNCTION("""COMPUTED_VALUE"""),0.0)</f>
        <v>0</v>
      </c>
    </row>
    <row r="232" ht="22.5" customHeight="1">
      <c r="A232" s="2" t="str">
        <f>IFERROR(__xludf.DUMMYFUNCTION("""COMPUTED_VALUE"""),"L1")</f>
        <v>L1</v>
      </c>
      <c r="B232" s="2" t="str">
        <f>IFERROR(__xludf.DUMMYFUNCTION("""COMPUTED_VALUE"""),"2026-03")</f>
        <v>2026-03</v>
      </c>
      <c r="C232" s="2" t="str">
        <f>IFERROR(__xludf.DUMMYFUNCTION("""COMPUTED_VALUE"""),"LSCTRSV0007-LX")</f>
        <v>LSCTRSV0007-LX</v>
      </c>
      <c r="D232" s="2">
        <f>IFERROR(__xludf.DUMMYFUNCTION("""COMPUTED_VALUE"""),403.0)</f>
        <v>403</v>
      </c>
      <c r="E232" s="2">
        <f>IFERROR(__xludf.DUMMYFUNCTION("""COMPUTED_VALUE"""),15.0)</f>
        <v>15</v>
      </c>
      <c r="F232" s="4">
        <f>IFERROR(__xludf.DUMMYFUNCTION("""COMPUTED_VALUE"""),2010913.5799999998)</f>
        <v>2010913.58</v>
      </c>
      <c r="G232" s="4">
        <f>IFERROR(__xludf.DUMMYFUNCTION("""COMPUTED_VALUE"""),4275.0)</f>
        <v>4275</v>
      </c>
      <c r="H232" s="9">
        <f>IFERROR(__xludf.DUMMYFUNCTION("""COMPUTED_VALUE"""),1.1)</f>
        <v>1.1</v>
      </c>
      <c r="I232" s="4">
        <f>IFERROR(__xludf.DUMMYFUNCTION("""COMPUTED_VALUE"""),2216707.438)</f>
        <v>2216707.438</v>
      </c>
      <c r="J232" s="4">
        <f>IFERROR(__xludf.DUMMYFUNCTION("""COMPUTED_VALUE"""),0.0)</f>
        <v>0</v>
      </c>
      <c r="K232" s="4">
        <f>IFERROR(__xludf.DUMMYFUNCTION("""COMPUTED_VALUE"""),2216707.438)</f>
        <v>2216707.438</v>
      </c>
    </row>
    <row r="233" ht="22.5" customHeight="1">
      <c r="A233" s="2" t="str">
        <f>IFERROR(__xludf.DUMMYFUNCTION("""COMPUTED_VALUE"""),"L1")</f>
        <v>L1</v>
      </c>
      <c r="B233" s="2" t="str">
        <f>IFERROR(__xludf.DUMMYFUNCTION("""COMPUTED_VALUE"""),"2026-04")</f>
        <v>2026-04</v>
      </c>
      <c r="C233" s="2" t="str">
        <f>IFERROR(__xludf.DUMMYFUNCTION("""COMPUTED_VALUE"""),"LSCTRSV0007-LX")</f>
        <v>LSCTRSV0007-LX</v>
      </c>
      <c r="D233" s="2">
        <f>IFERROR(__xludf.DUMMYFUNCTION("""COMPUTED_VALUE"""),492.0)</f>
        <v>492</v>
      </c>
      <c r="E233" s="2">
        <f>IFERROR(__xludf.DUMMYFUNCTION("""COMPUTED_VALUE"""),18.0)</f>
        <v>18</v>
      </c>
      <c r="F233" s="4">
        <f>IFERROR(__xludf.DUMMYFUNCTION("""COMPUTED_VALUE"""),2455011.1199999996)</f>
        <v>2455011.12</v>
      </c>
      <c r="G233" s="4">
        <f>IFERROR(__xludf.DUMMYFUNCTION("""COMPUTED_VALUE"""),5130.0)</f>
        <v>5130</v>
      </c>
      <c r="H233" s="9">
        <f>IFERROR(__xludf.DUMMYFUNCTION("""COMPUTED_VALUE"""),1.1)</f>
        <v>1.1</v>
      </c>
      <c r="I233" s="4">
        <f>IFERROR(__xludf.DUMMYFUNCTION("""COMPUTED_VALUE"""),2706155.232)</f>
        <v>2706155.232</v>
      </c>
      <c r="J233" s="4">
        <f>IFERROR(__xludf.DUMMYFUNCTION("""COMPUTED_VALUE"""),0.0)</f>
        <v>0</v>
      </c>
      <c r="K233" s="4">
        <f>IFERROR(__xludf.DUMMYFUNCTION("""COMPUTED_VALUE"""),2706155.232)</f>
        <v>2706155.232</v>
      </c>
    </row>
    <row r="234" ht="22.5" customHeight="1">
      <c r="A234" s="2" t="str">
        <f>IFERROR(__xludf.DUMMYFUNCTION("""COMPUTED_VALUE"""),"L1")</f>
        <v>L1</v>
      </c>
      <c r="B234" s="2" t="str">
        <f>IFERROR(__xludf.DUMMYFUNCTION("""COMPUTED_VALUE"""),"2026-05")</f>
        <v>2026-05</v>
      </c>
      <c r="C234" s="2" t="str">
        <f>IFERROR(__xludf.DUMMYFUNCTION("""COMPUTED_VALUE"""),"LSCTRSV0007-LX")</f>
        <v>LSCTRSV0007-LX</v>
      </c>
      <c r="D234" s="2">
        <f>IFERROR(__xludf.DUMMYFUNCTION("""COMPUTED_VALUE"""),493.0)</f>
        <v>493</v>
      </c>
      <c r="E234" s="2">
        <f>IFERROR(__xludf.DUMMYFUNCTION("""COMPUTED_VALUE"""),18.0)</f>
        <v>18</v>
      </c>
      <c r="F234" s="4">
        <f>IFERROR(__xludf.DUMMYFUNCTION("""COMPUTED_VALUE"""),2460000.98)</f>
        <v>2460000.98</v>
      </c>
      <c r="G234" s="4">
        <f>IFERROR(__xludf.DUMMYFUNCTION("""COMPUTED_VALUE"""),5130.0)</f>
        <v>5130</v>
      </c>
      <c r="H234" s="9">
        <f>IFERROR(__xludf.DUMMYFUNCTION("""COMPUTED_VALUE"""),1.1)</f>
        <v>1.1</v>
      </c>
      <c r="I234" s="4">
        <f>IFERROR(__xludf.DUMMYFUNCTION("""COMPUTED_VALUE"""),2711644.078)</f>
        <v>2711644.078</v>
      </c>
      <c r="J234" s="4">
        <f>IFERROR(__xludf.DUMMYFUNCTION("""COMPUTED_VALUE"""),83.16433333333333)</f>
        <v>83.16433333</v>
      </c>
      <c r="K234" s="4">
        <f>IFERROR(__xludf.DUMMYFUNCTION("""COMPUTED_VALUE"""),2711727.2423333335)</f>
        <v>2711727.242</v>
      </c>
    </row>
    <row r="235" ht="22.5" customHeight="1">
      <c r="A235" s="2" t="str">
        <f>IFERROR(__xludf.DUMMYFUNCTION("""COMPUTED_VALUE"""),"L1")</f>
        <v>L1</v>
      </c>
      <c r="B235" s="2" t="str">
        <f>IFERROR(__xludf.DUMMYFUNCTION("""COMPUTED_VALUE"""),"2026-06")</f>
        <v>2026-06</v>
      </c>
      <c r="C235" s="2" t="str">
        <f>IFERROR(__xludf.DUMMYFUNCTION("""COMPUTED_VALUE"""),"LSCTRSV0007-LX")</f>
        <v>LSCTRSV0007-LX</v>
      </c>
      <c r="D235" s="2">
        <f>IFERROR(__xludf.DUMMYFUNCTION("""COMPUTED_VALUE"""),491.0)</f>
        <v>491</v>
      </c>
      <c r="E235" s="2">
        <f>IFERROR(__xludf.DUMMYFUNCTION("""COMPUTED_VALUE"""),18.0)</f>
        <v>18</v>
      </c>
      <c r="F235" s="4">
        <f>IFERROR(__xludf.DUMMYFUNCTION("""COMPUTED_VALUE"""),2450021.26)</f>
        <v>2450021.26</v>
      </c>
      <c r="G235" s="4">
        <f>IFERROR(__xludf.DUMMYFUNCTION("""COMPUTED_VALUE"""),5130.0)</f>
        <v>5130</v>
      </c>
      <c r="H235" s="9">
        <f>IFERROR(__xludf.DUMMYFUNCTION("""COMPUTED_VALUE"""),1.1)</f>
        <v>1.1</v>
      </c>
      <c r="I235" s="4">
        <f>IFERROR(__xludf.DUMMYFUNCTION("""COMPUTED_VALUE"""),2700666.386)</f>
        <v>2700666.386</v>
      </c>
      <c r="J235" s="4">
        <f>IFERROR(__xludf.DUMMYFUNCTION("""COMPUTED_VALUE"""),0.0)</f>
        <v>0</v>
      </c>
      <c r="K235" s="4">
        <f>IFERROR(__xludf.DUMMYFUNCTION("""COMPUTED_VALUE"""),2700666.386)</f>
        <v>2700666.386</v>
      </c>
    </row>
    <row r="236" ht="22.5" customHeight="1">
      <c r="A236" s="2" t="str">
        <f>IFERROR(__xludf.DUMMYFUNCTION("""COMPUTED_VALUE"""),"L1")</f>
        <v>L1</v>
      </c>
      <c r="B236" s="2" t="str">
        <f>IFERROR(__xludf.DUMMYFUNCTION("""COMPUTED_VALUE"""),"2026-07")</f>
        <v>2026-07</v>
      </c>
      <c r="C236" s="2" t="str">
        <f>IFERROR(__xludf.DUMMYFUNCTION("""COMPUTED_VALUE"""),"LSCTRSV0007-LX")</f>
        <v>LSCTRSV0007-LX</v>
      </c>
      <c r="D236" s="2">
        <f>IFERROR(__xludf.DUMMYFUNCTION("""COMPUTED_VALUE"""),492.0)</f>
        <v>492</v>
      </c>
      <c r="E236" s="2">
        <f>IFERROR(__xludf.DUMMYFUNCTION("""COMPUTED_VALUE"""),18.0)</f>
        <v>18</v>
      </c>
      <c r="F236" s="4">
        <f>IFERROR(__xludf.DUMMYFUNCTION("""COMPUTED_VALUE"""),2455011.1199999996)</f>
        <v>2455011.12</v>
      </c>
      <c r="G236" s="4">
        <f>IFERROR(__xludf.DUMMYFUNCTION("""COMPUTED_VALUE"""),5130.0)</f>
        <v>5130</v>
      </c>
      <c r="H236" s="9">
        <f>IFERROR(__xludf.DUMMYFUNCTION("""COMPUTED_VALUE"""),1.1)</f>
        <v>1.1</v>
      </c>
      <c r="I236" s="4">
        <f>IFERROR(__xludf.DUMMYFUNCTION("""COMPUTED_VALUE"""),2706155.232)</f>
        <v>2706155.232</v>
      </c>
      <c r="J236" s="4">
        <f>IFERROR(__xludf.DUMMYFUNCTION("""COMPUTED_VALUE"""),0.0)</f>
        <v>0</v>
      </c>
      <c r="K236" s="4">
        <f>IFERROR(__xludf.DUMMYFUNCTION("""COMPUTED_VALUE"""),2706155.232)</f>
        <v>2706155.232</v>
      </c>
    </row>
    <row r="237" ht="22.5" customHeight="1">
      <c r="A237" s="2" t="str">
        <f>IFERROR(__xludf.DUMMYFUNCTION("""COMPUTED_VALUE"""),"L1")</f>
        <v>L1</v>
      </c>
      <c r="B237" s="2" t="str">
        <f>IFERROR(__xludf.DUMMYFUNCTION("""COMPUTED_VALUE"""),"2026-08")</f>
        <v>2026-08</v>
      </c>
      <c r="C237" s="2" t="str">
        <f>IFERROR(__xludf.DUMMYFUNCTION("""COMPUTED_VALUE"""),"LSCTRSV0007-LX")</f>
        <v>LSCTRSV0007-LX</v>
      </c>
      <c r="D237" s="2">
        <f>IFERROR(__xludf.DUMMYFUNCTION("""COMPUTED_VALUE"""),492.0)</f>
        <v>492</v>
      </c>
      <c r="E237" s="2">
        <f>IFERROR(__xludf.DUMMYFUNCTION("""COMPUTED_VALUE"""),18.0)</f>
        <v>18</v>
      </c>
      <c r="F237" s="4">
        <f>IFERROR(__xludf.DUMMYFUNCTION("""COMPUTED_VALUE"""),2455011.1199999996)</f>
        <v>2455011.12</v>
      </c>
      <c r="G237" s="4">
        <f>IFERROR(__xludf.DUMMYFUNCTION("""COMPUTED_VALUE"""),5130.0)</f>
        <v>5130</v>
      </c>
      <c r="H237" s="9">
        <f>IFERROR(__xludf.DUMMYFUNCTION("""COMPUTED_VALUE"""),1.1)</f>
        <v>1.1</v>
      </c>
      <c r="I237" s="4">
        <f>IFERROR(__xludf.DUMMYFUNCTION("""COMPUTED_VALUE"""),2706155.232)</f>
        <v>2706155.232</v>
      </c>
      <c r="J237" s="4">
        <f>IFERROR(__xludf.DUMMYFUNCTION("""COMPUTED_VALUE"""),0.0)</f>
        <v>0</v>
      </c>
      <c r="K237" s="4">
        <f>IFERROR(__xludf.DUMMYFUNCTION("""COMPUTED_VALUE"""),2706155.232)</f>
        <v>2706155.232</v>
      </c>
    </row>
    <row r="238" ht="22.5" customHeight="1">
      <c r="A238" s="2" t="str">
        <f>IFERROR(__xludf.DUMMYFUNCTION("""COMPUTED_VALUE"""),"L1")</f>
        <v>L1</v>
      </c>
      <c r="B238" s="2" t="str">
        <f>IFERROR(__xludf.DUMMYFUNCTION("""COMPUTED_VALUE"""),"2026-09")</f>
        <v>2026-09</v>
      </c>
      <c r="C238" s="2" t="str">
        <f>IFERROR(__xludf.DUMMYFUNCTION("""COMPUTED_VALUE"""),"LSCTRSV0007-LX")</f>
        <v>LSCTRSV0007-LX</v>
      </c>
      <c r="D238" s="2">
        <f>IFERROR(__xludf.DUMMYFUNCTION("""COMPUTED_VALUE"""),492.0)</f>
        <v>492</v>
      </c>
      <c r="E238" s="2">
        <f>IFERROR(__xludf.DUMMYFUNCTION("""COMPUTED_VALUE"""),18.0)</f>
        <v>18</v>
      </c>
      <c r="F238" s="4">
        <f>IFERROR(__xludf.DUMMYFUNCTION("""COMPUTED_VALUE"""),2455011.1199999996)</f>
        <v>2455011.12</v>
      </c>
      <c r="G238" s="4">
        <f>IFERROR(__xludf.DUMMYFUNCTION("""COMPUTED_VALUE"""),5130.0)</f>
        <v>5130</v>
      </c>
      <c r="H238" s="9">
        <f>IFERROR(__xludf.DUMMYFUNCTION("""COMPUTED_VALUE"""),1.1)</f>
        <v>1.1</v>
      </c>
      <c r="I238" s="4">
        <f>IFERROR(__xludf.DUMMYFUNCTION("""COMPUTED_VALUE"""),2706155.232)</f>
        <v>2706155.232</v>
      </c>
      <c r="J238" s="4">
        <f>IFERROR(__xludf.DUMMYFUNCTION("""COMPUTED_VALUE"""),0.0)</f>
        <v>0</v>
      </c>
      <c r="K238" s="4">
        <f>IFERROR(__xludf.DUMMYFUNCTION("""COMPUTED_VALUE"""),2706155.232)</f>
        <v>2706155.232</v>
      </c>
    </row>
    <row r="239" ht="22.5" customHeight="1">
      <c r="A239" s="2" t="str">
        <f>IFERROR(__xludf.DUMMYFUNCTION("""COMPUTED_VALUE"""),"L1")</f>
        <v>L1</v>
      </c>
      <c r="B239" s="2" t="str">
        <f>IFERROR(__xludf.DUMMYFUNCTION("""COMPUTED_VALUE"""),"2026-10")</f>
        <v>2026-10</v>
      </c>
      <c r="C239" s="2" t="str">
        <f>IFERROR(__xludf.DUMMYFUNCTION("""COMPUTED_VALUE"""),"LSCTRSV0007-LX")</f>
        <v>LSCTRSV0007-LX</v>
      </c>
      <c r="D239" s="2">
        <f>IFERROR(__xludf.DUMMYFUNCTION("""COMPUTED_VALUE"""),492.0)</f>
        <v>492</v>
      </c>
      <c r="E239" s="2">
        <f>IFERROR(__xludf.DUMMYFUNCTION("""COMPUTED_VALUE"""),18.0)</f>
        <v>18</v>
      </c>
      <c r="F239" s="4">
        <f>IFERROR(__xludf.DUMMYFUNCTION("""COMPUTED_VALUE"""),2455011.1199999996)</f>
        <v>2455011.12</v>
      </c>
      <c r="G239" s="4">
        <f>IFERROR(__xludf.DUMMYFUNCTION("""COMPUTED_VALUE"""),5130.0)</f>
        <v>5130</v>
      </c>
      <c r="H239" s="9">
        <f>IFERROR(__xludf.DUMMYFUNCTION("""COMPUTED_VALUE"""),1.1)</f>
        <v>1.1</v>
      </c>
      <c r="I239" s="4">
        <f>IFERROR(__xludf.DUMMYFUNCTION("""COMPUTED_VALUE"""),2706155.232)</f>
        <v>2706155.232</v>
      </c>
      <c r="J239" s="4">
        <f>IFERROR(__xludf.DUMMYFUNCTION("""COMPUTED_VALUE"""),0.0)</f>
        <v>0</v>
      </c>
      <c r="K239" s="4">
        <f>IFERROR(__xludf.DUMMYFUNCTION("""COMPUTED_VALUE"""),2706155.232)</f>
        <v>2706155.232</v>
      </c>
    </row>
    <row r="240" ht="22.5" customHeight="1">
      <c r="A240" s="2" t="str">
        <f>IFERROR(__xludf.DUMMYFUNCTION("""COMPUTED_VALUE"""),"L1")</f>
        <v>L1</v>
      </c>
      <c r="B240" s="2" t="str">
        <f>IFERROR(__xludf.DUMMYFUNCTION("""COMPUTED_VALUE"""),"2026-11")</f>
        <v>2026-11</v>
      </c>
      <c r="C240" s="2" t="str">
        <f>IFERROR(__xludf.DUMMYFUNCTION("""COMPUTED_VALUE"""),"LSCTRSV0007-LX")</f>
        <v>LSCTRSV0007-LX</v>
      </c>
      <c r="D240" s="2">
        <f>IFERROR(__xludf.DUMMYFUNCTION("""COMPUTED_VALUE"""),492.0)</f>
        <v>492</v>
      </c>
      <c r="E240" s="2">
        <f>IFERROR(__xludf.DUMMYFUNCTION("""COMPUTED_VALUE"""),18.0)</f>
        <v>18</v>
      </c>
      <c r="F240" s="4">
        <f>IFERROR(__xludf.DUMMYFUNCTION("""COMPUTED_VALUE"""),2455011.1199999996)</f>
        <v>2455011.12</v>
      </c>
      <c r="G240" s="4">
        <f>IFERROR(__xludf.DUMMYFUNCTION("""COMPUTED_VALUE"""),5130.0)</f>
        <v>5130</v>
      </c>
      <c r="H240" s="9">
        <f>IFERROR(__xludf.DUMMYFUNCTION("""COMPUTED_VALUE"""),1.1)</f>
        <v>1.1</v>
      </c>
      <c r="I240" s="4">
        <f>IFERROR(__xludf.DUMMYFUNCTION("""COMPUTED_VALUE"""),2706155.232)</f>
        <v>2706155.232</v>
      </c>
      <c r="J240" s="4">
        <f>IFERROR(__xludf.DUMMYFUNCTION("""COMPUTED_VALUE"""),0.0)</f>
        <v>0</v>
      </c>
      <c r="K240" s="4">
        <f>IFERROR(__xludf.DUMMYFUNCTION("""COMPUTED_VALUE"""),2706155.232)</f>
        <v>2706155.232</v>
      </c>
    </row>
    <row r="241" ht="22.5" customHeight="1">
      <c r="A241" s="2" t="str">
        <f>IFERROR(__xludf.DUMMYFUNCTION("""COMPUTED_VALUE"""),"L1")</f>
        <v>L1</v>
      </c>
      <c r="B241" s="2" t="str">
        <f>IFERROR(__xludf.DUMMYFUNCTION("""COMPUTED_VALUE"""),"2026-12")</f>
        <v>2026-12</v>
      </c>
      <c r="C241" s="2" t="str">
        <f>IFERROR(__xludf.DUMMYFUNCTION("""COMPUTED_VALUE"""),"LSCTRSV0007-LX")</f>
        <v>LSCTRSV0007-LX</v>
      </c>
      <c r="D241" s="2">
        <f>IFERROR(__xludf.DUMMYFUNCTION("""COMPUTED_VALUE"""),492.0)</f>
        <v>492</v>
      </c>
      <c r="E241" s="2">
        <f>IFERROR(__xludf.DUMMYFUNCTION("""COMPUTED_VALUE"""),18.0)</f>
        <v>18</v>
      </c>
      <c r="F241" s="4">
        <f>IFERROR(__xludf.DUMMYFUNCTION("""COMPUTED_VALUE"""),2455011.1199999996)</f>
        <v>2455011.12</v>
      </c>
      <c r="G241" s="4">
        <f>IFERROR(__xludf.DUMMYFUNCTION("""COMPUTED_VALUE"""),5130.0)</f>
        <v>5130</v>
      </c>
      <c r="H241" s="9">
        <f>IFERROR(__xludf.DUMMYFUNCTION("""COMPUTED_VALUE"""),1.1)</f>
        <v>1.1</v>
      </c>
      <c r="I241" s="4">
        <f>IFERROR(__xludf.DUMMYFUNCTION("""COMPUTED_VALUE"""),2706155.232)</f>
        <v>2706155.232</v>
      </c>
      <c r="J241" s="4">
        <f>IFERROR(__xludf.DUMMYFUNCTION("""COMPUTED_VALUE"""),0.0)</f>
        <v>0</v>
      </c>
      <c r="K241" s="4">
        <f>IFERROR(__xludf.DUMMYFUNCTION("""COMPUTED_VALUE"""),2706155.232)</f>
        <v>2706155.232</v>
      </c>
    </row>
    <row r="242" ht="22.5" customHeight="1">
      <c r="A242" s="2" t="str">
        <f>IFERROR(__xludf.DUMMYFUNCTION("""COMPUTED_VALUE"""),"L2")</f>
        <v>L2</v>
      </c>
      <c r="B242" s="2" t="str">
        <f>IFERROR(__xludf.DUMMYFUNCTION("""COMPUTED_VALUE"""),"2026-01")</f>
        <v>2026-01</v>
      </c>
      <c r="C242" s="2" t="str">
        <f>IFERROR(__xludf.DUMMYFUNCTION("""COMPUTED_VALUE"""),"CYL-SD")</f>
        <v>CYL-SD</v>
      </c>
      <c r="D242" s="2">
        <f>IFERROR(__xludf.DUMMYFUNCTION("""COMPUTED_VALUE"""),0.0)</f>
        <v>0</v>
      </c>
      <c r="E242" s="2">
        <f>IFERROR(__xludf.DUMMYFUNCTION("""COMPUTED_VALUE"""),0.0)</f>
        <v>0</v>
      </c>
      <c r="F242" s="4">
        <f>IFERROR(__xludf.DUMMYFUNCTION("""COMPUTED_VALUE"""),0.0)</f>
        <v>0</v>
      </c>
      <c r="G242" s="4">
        <f>IFERROR(__xludf.DUMMYFUNCTION("""COMPUTED_VALUE"""),0.0)</f>
        <v>0</v>
      </c>
      <c r="H242" s="9">
        <f>IFERROR(__xludf.DUMMYFUNCTION("""COMPUTED_VALUE"""),1.32264)</f>
        <v>1.32264</v>
      </c>
      <c r="I242" s="4">
        <f>IFERROR(__xludf.DUMMYFUNCTION("""COMPUTED_VALUE"""),0.0)</f>
        <v>0</v>
      </c>
      <c r="J242" s="4">
        <f>IFERROR(__xludf.DUMMYFUNCTION("""COMPUTED_VALUE"""),11868.578333333333)</f>
        <v>11868.57833</v>
      </c>
      <c r="K242" s="4">
        <f>IFERROR(__xludf.DUMMYFUNCTION("""COMPUTED_VALUE"""),11868.578333333333)</f>
        <v>11868.57833</v>
      </c>
    </row>
    <row r="243" ht="22.5" customHeight="1">
      <c r="A243" s="2" t="str">
        <f>IFERROR(__xludf.DUMMYFUNCTION("""COMPUTED_VALUE"""),"L2")</f>
        <v>L2</v>
      </c>
      <c r="B243" s="2" t="str">
        <f>IFERROR(__xludf.DUMMYFUNCTION("""COMPUTED_VALUE"""),"2026-02")</f>
        <v>2026-02</v>
      </c>
      <c r="C243" s="2" t="str">
        <f>IFERROR(__xludf.DUMMYFUNCTION("""COMPUTED_VALUE"""),"CYL-SD")</f>
        <v>CYL-SD</v>
      </c>
      <c r="D243" s="2">
        <f>IFERROR(__xludf.DUMMYFUNCTION("""COMPUTED_VALUE"""),0.0)</f>
        <v>0</v>
      </c>
      <c r="E243" s="2">
        <f>IFERROR(__xludf.DUMMYFUNCTION("""COMPUTED_VALUE"""),0.0)</f>
        <v>0</v>
      </c>
      <c r="F243" s="4">
        <f>IFERROR(__xludf.DUMMYFUNCTION("""COMPUTED_VALUE"""),0.0)</f>
        <v>0</v>
      </c>
      <c r="G243" s="4">
        <f>IFERROR(__xludf.DUMMYFUNCTION("""COMPUTED_VALUE"""),0.0)</f>
        <v>0</v>
      </c>
      <c r="H243" s="9">
        <f>IFERROR(__xludf.DUMMYFUNCTION("""COMPUTED_VALUE"""),1.32264)</f>
        <v>1.32264</v>
      </c>
      <c r="I243" s="4">
        <f>IFERROR(__xludf.DUMMYFUNCTION("""COMPUTED_VALUE"""),0.0)</f>
        <v>0</v>
      </c>
      <c r="J243" s="4">
        <f>IFERROR(__xludf.DUMMYFUNCTION("""COMPUTED_VALUE"""),11868.578333333333)</f>
        <v>11868.57833</v>
      </c>
      <c r="K243" s="4">
        <f>IFERROR(__xludf.DUMMYFUNCTION("""COMPUTED_VALUE"""),11868.578333333333)</f>
        <v>11868.57833</v>
      </c>
    </row>
    <row r="244" ht="22.5" customHeight="1">
      <c r="A244" s="2" t="str">
        <f>IFERROR(__xludf.DUMMYFUNCTION("""COMPUTED_VALUE"""),"L2")</f>
        <v>L2</v>
      </c>
      <c r="B244" s="2" t="str">
        <f>IFERROR(__xludf.DUMMYFUNCTION("""COMPUTED_VALUE"""),"2026-03")</f>
        <v>2026-03</v>
      </c>
      <c r="C244" s="2" t="str">
        <f>IFERROR(__xludf.DUMMYFUNCTION("""COMPUTED_VALUE"""),"CYL-SD")</f>
        <v>CYL-SD</v>
      </c>
      <c r="D244" s="2">
        <f>IFERROR(__xludf.DUMMYFUNCTION("""COMPUTED_VALUE"""),0.0)</f>
        <v>0</v>
      </c>
      <c r="E244" s="2">
        <f>IFERROR(__xludf.DUMMYFUNCTION("""COMPUTED_VALUE"""),0.0)</f>
        <v>0</v>
      </c>
      <c r="F244" s="4">
        <f>IFERROR(__xludf.DUMMYFUNCTION("""COMPUTED_VALUE"""),0.0)</f>
        <v>0</v>
      </c>
      <c r="G244" s="4">
        <f>IFERROR(__xludf.DUMMYFUNCTION("""COMPUTED_VALUE"""),0.0)</f>
        <v>0</v>
      </c>
      <c r="H244" s="9">
        <f>IFERROR(__xludf.DUMMYFUNCTION("""COMPUTED_VALUE"""),1.32264)</f>
        <v>1.32264</v>
      </c>
      <c r="I244" s="4">
        <f>IFERROR(__xludf.DUMMYFUNCTION("""COMPUTED_VALUE"""),0.0)</f>
        <v>0</v>
      </c>
      <c r="J244" s="4">
        <f>IFERROR(__xludf.DUMMYFUNCTION("""COMPUTED_VALUE"""),11868.578333333333)</f>
        <v>11868.57833</v>
      </c>
      <c r="K244" s="4">
        <f>IFERROR(__xludf.DUMMYFUNCTION("""COMPUTED_VALUE"""),11868.578333333333)</f>
        <v>11868.57833</v>
      </c>
    </row>
    <row r="245" ht="22.5" customHeight="1">
      <c r="A245" s="2" t="str">
        <f>IFERROR(__xludf.DUMMYFUNCTION("""COMPUTED_VALUE"""),"L2")</f>
        <v>L2</v>
      </c>
      <c r="B245" s="2" t="str">
        <f>IFERROR(__xludf.DUMMYFUNCTION("""COMPUTED_VALUE"""),"2026-04")</f>
        <v>2026-04</v>
      </c>
      <c r="C245" s="2" t="str">
        <f>IFERROR(__xludf.DUMMYFUNCTION("""COMPUTED_VALUE"""),"CYL-SD")</f>
        <v>CYL-SD</v>
      </c>
      <c r="D245" s="2">
        <f>IFERROR(__xludf.DUMMYFUNCTION("""COMPUTED_VALUE"""),0.0)</f>
        <v>0</v>
      </c>
      <c r="E245" s="2">
        <f>IFERROR(__xludf.DUMMYFUNCTION("""COMPUTED_VALUE"""),0.0)</f>
        <v>0</v>
      </c>
      <c r="F245" s="4">
        <f>IFERROR(__xludf.DUMMYFUNCTION("""COMPUTED_VALUE"""),0.0)</f>
        <v>0</v>
      </c>
      <c r="G245" s="4">
        <f>IFERROR(__xludf.DUMMYFUNCTION("""COMPUTED_VALUE"""),0.0)</f>
        <v>0</v>
      </c>
      <c r="H245" s="9">
        <f>IFERROR(__xludf.DUMMYFUNCTION("""COMPUTED_VALUE"""),1.32264)</f>
        <v>1.32264</v>
      </c>
      <c r="I245" s="4">
        <f>IFERROR(__xludf.DUMMYFUNCTION("""COMPUTED_VALUE"""),0.0)</f>
        <v>0</v>
      </c>
      <c r="J245" s="4">
        <f>IFERROR(__xludf.DUMMYFUNCTION("""COMPUTED_VALUE"""),11868.578333333333)</f>
        <v>11868.57833</v>
      </c>
      <c r="K245" s="4">
        <f>IFERROR(__xludf.DUMMYFUNCTION("""COMPUTED_VALUE"""),11868.578333333333)</f>
        <v>11868.57833</v>
      </c>
    </row>
    <row r="246" ht="22.5" customHeight="1">
      <c r="A246" s="2" t="str">
        <f>IFERROR(__xludf.DUMMYFUNCTION("""COMPUTED_VALUE"""),"L2")</f>
        <v>L2</v>
      </c>
      <c r="B246" s="2" t="str">
        <f>IFERROR(__xludf.DUMMYFUNCTION("""COMPUTED_VALUE"""),"2026-05")</f>
        <v>2026-05</v>
      </c>
      <c r="C246" s="2" t="str">
        <f>IFERROR(__xludf.DUMMYFUNCTION("""COMPUTED_VALUE"""),"CYL-SD")</f>
        <v>CYL-SD</v>
      </c>
      <c r="D246" s="2">
        <f>IFERROR(__xludf.DUMMYFUNCTION("""COMPUTED_VALUE"""),0.0)</f>
        <v>0</v>
      </c>
      <c r="E246" s="2">
        <f>IFERROR(__xludf.DUMMYFUNCTION("""COMPUTED_VALUE"""),0.0)</f>
        <v>0</v>
      </c>
      <c r="F246" s="4">
        <f>IFERROR(__xludf.DUMMYFUNCTION("""COMPUTED_VALUE"""),0.0)</f>
        <v>0</v>
      </c>
      <c r="G246" s="4">
        <f>IFERROR(__xludf.DUMMYFUNCTION("""COMPUTED_VALUE"""),0.0)</f>
        <v>0</v>
      </c>
      <c r="H246" s="9">
        <f>IFERROR(__xludf.DUMMYFUNCTION("""COMPUTED_VALUE"""),1.32264)</f>
        <v>1.32264</v>
      </c>
      <c r="I246" s="4">
        <f>IFERROR(__xludf.DUMMYFUNCTION("""COMPUTED_VALUE"""),0.0)</f>
        <v>0</v>
      </c>
      <c r="J246" s="4">
        <f>IFERROR(__xludf.DUMMYFUNCTION("""COMPUTED_VALUE"""),11868.578333333333)</f>
        <v>11868.57833</v>
      </c>
      <c r="K246" s="4">
        <f>IFERROR(__xludf.DUMMYFUNCTION("""COMPUTED_VALUE"""),11868.578333333333)</f>
        <v>11868.57833</v>
      </c>
    </row>
    <row r="247" ht="22.5" customHeight="1">
      <c r="A247" s="2" t="str">
        <f>IFERROR(__xludf.DUMMYFUNCTION("""COMPUTED_VALUE"""),"L2")</f>
        <v>L2</v>
      </c>
      <c r="B247" s="2" t="str">
        <f>IFERROR(__xludf.DUMMYFUNCTION("""COMPUTED_VALUE"""),"2026-06")</f>
        <v>2026-06</v>
      </c>
      <c r="C247" s="2" t="str">
        <f>IFERROR(__xludf.DUMMYFUNCTION("""COMPUTED_VALUE"""),"CYL-SD")</f>
        <v>CYL-SD</v>
      </c>
      <c r="D247" s="2">
        <f>IFERROR(__xludf.DUMMYFUNCTION("""COMPUTED_VALUE"""),0.0)</f>
        <v>0</v>
      </c>
      <c r="E247" s="2">
        <f>IFERROR(__xludf.DUMMYFUNCTION("""COMPUTED_VALUE"""),0.0)</f>
        <v>0</v>
      </c>
      <c r="F247" s="4">
        <f>IFERROR(__xludf.DUMMYFUNCTION("""COMPUTED_VALUE"""),0.0)</f>
        <v>0</v>
      </c>
      <c r="G247" s="4">
        <f>IFERROR(__xludf.DUMMYFUNCTION("""COMPUTED_VALUE"""),0.0)</f>
        <v>0</v>
      </c>
      <c r="H247" s="9">
        <f>IFERROR(__xludf.DUMMYFUNCTION("""COMPUTED_VALUE"""),1.32264)</f>
        <v>1.32264</v>
      </c>
      <c r="I247" s="4">
        <f>IFERROR(__xludf.DUMMYFUNCTION("""COMPUTED_VALUE"""),0.0)</f>
        <v>0</v>
      </c>
      <c r="J247" s="4">
        <f>IFERROR(__xludf.DUMMYFUNCTION("""COMPUTED_VALUE"""),11868.578333333333)</f>
        <v>11868.57833</v>
      </c>
      <c r="K247" s="4">
        <f>IFERROR(__xludf.DUMMYFUNCTION("""COMPUTED_VALUE"""),11868.578333333333)</f>
        <v>11868.57833</v>
      </c>
    </row>
    <row r="248" ht="22.5" customHeight="1">
      <c r="A248" s="2" t="str">
        <f>IFERROR(__xludf.DUMMYFUNCTION("""COMPUTED_VALUE"""),"L2")</f>
        <v>L2</v>
      </c>
      <c r="B248" s="2" t="str">
        <f>IFERROR(__xludf.DUMMYFUNCTION("""COMPUTED_VALUE"""),"2026-07")</f>
        <v>2026-07</v>
      </c>
      <c r="C248" s="2" t="str">
        <f>IFERROR(__xludf.DUMMYFUNCTION("""COMPUTED_VALUE"""),"CYL-SD")</f>
        <v>CYL-SD</v>
      </c>
      <c r="D248" s="2">
        <f>IFERROR(__xludf.DUMMYFUNCTION("""COMPUTED_VALUE"""),0.0)</f>
        <v>0</v>
      </c>
      <c r="E248" s="2">
        <f>IFERROR(__xludf.DUMMYFUNCTION("""COMPUTED_VALUE"""),0.0)</f>
        <v>0</v>
      </c>
      <c r="F248" s="4">
        <f>IFERROR(__xludf.DUMMYFUNCTION("""COMPUTED_VALUE"""),0.0)</f>
        <v>0</v>
      </c>
      <c r="G248" s="4">
        <f>IFERROR(__xludf.DUMMYFUNCTION("""COMPUTED_VALUE"""),0.0)</f>
        <v>0</v>
      </c>
      <c r="H248" s="9">
        <f>IFERROR(__xludf.DUMMYFUNCTION("""COMPUTED_VALUE"""),1.32264)</f>
        <v>1.32264</v>
      </c>
      <c r="I248" s="4">
        <f>IFERROR(__xludf.DUMMYFUNCTION("""COMPUTED_VALUE"""),0.0)</f>
        <v>0</v>
      </c>
      <c r="J248" s="4">
        <f>IFERROR(__xludf.DUMMYFUNCTION("""COMPUTED_VALUE"""),11868.578333333333)</f>
        <v>11868.57833</v>
      </c>
      <c r="K248" s="4">
        <f>IFERROR(__xludf.DUMMYFUNCTION("""COMPUTED_VALUE"""),11868.578333333333)</f>
        <v>11868.57833</v>
      </c>
    </row>
    <row r="249" ht="22.5" customHeight="1">
      <c r="A249" s="2" t="str">
        <f>IFERROR(__xludf.DUMMYFUNCTION("""COMPUTED_VALUE"""),"L2")</f>
        <v>L2</v>
      </c>
      <c r="B249" s="2" t="str">
        <f>IFERROR(__xludf.DUMMYFUNCTION("""COMPUTED_VALUE"""),"2026-08")</f>
        <v>2026-08</v>
      </c>
      <c r="C249" s="2" t="str">
        <f>IFERROR(__xludf.DUMMYFUNCTION("""COMPUTED_VALUE"""),"CYL-SD")</f>
        <v>CYL-SD</v>
      </c>
      <c r="D249" s="2">
        <f>IFERROR(__xludf.DUMMYFUNCTION("""COMPUTED_VALUE"""),0.0)</f>
        <v>0</v>
      </c>
      <c r="E249" s="2">
        <f>IFERROR(__xludf.DUMMYFUNCTION("""COMPUTED_VALUE"""),0.0)</f>
        <v>0</v>
      </c>
      <c r="F249" s="4">
        <f>IFERROR(__xludf.DUMMYFUNCTION("""COMPUTED_VALUE"""),0.0)</f>
        <v>0</v>
      </c>
      <c r="G249" s="4">
        <f>IFERROR(__xludf.DUMMYFUNCTION("""COMPUTED_VALUE"""),0.0)</f>
        <v>0</v>
      </c>
      <c r="H249" s="9">
        <f>IFERROR(__xludf.DUMMYFUNCTION("""COMPUTED_VALUE"""),1.32264)</f>
        <v>1.32264</v>
      </c>
      <c r="I249" s="4">
        <f>IFERROR(__xludf.DUMMYFUNCTION("""COMPUTED_VALUE"""),0.0)</f>
        <v>0</v>
      </c>
      <c r="J249" s="4">
        <f>IFERROR(__xludf.DUMMYFUNCTION("""COMPUTED_VALUE"""),11868.578333333333)</f>
        <v>11868.57833</v>
      </c>
      <c r="K249" s="4">
        <f>IFERROR(__xludf.DUMMYFUNCTION("""COMPUTED_VALUE"""),11868.578333333333)</f>
        <v>11868.57833</v>
      </c>
    </row>
    <row r="250" ht="22.5" customHeight="1">
      <c r="A250" s="2" t="str">
        <f>IFERROR(__xludf.DUMMYFUNCTION("""COMPUTED_VALUE"""),"L2")</f>
        <v>L2</v>
      </c>
      <c r="B250" s="2" t="str">
        <f>IFERROR(__xludf.DUMMYFUNCTION("""COMPUTED_VALUE"""),"2026-09")</f>
        <v>2026-09</v>
      </c>
      <c r="C250" s="2" t="str">
        <f>IFERROR(__xludf.DUMMYFUNCTION("""COMPUTED_VALUE"""),"CYL-SD")</f>
        <v>CYL-SD</v>
      </c>
      <c r="D250" s="2">
        <f>IFERROR(__xludf.DUMMYFUNCTION("""COMPUTED_VALUE"""),0.0)</f>
        <v>0</v>
      </c>
      <c r="E250" s="2">
        <f>IFERROR(__xludf.DUMMYFUNCTION("""COMPUTED_VALUE"""),0.0)</f>
        <v>0</v>
      </c>
      <c r="F250" s="4">
        <f>IFERROR(__xludf.DUMMYFUNCTION("""COMPUTED_VALUE"""),0.0)</f>
        <v>0</v>
      </c>
      <c r="G250" s="4">
        <f>IFERROR(__xludf.DUMMYFUNCTION("""COMPUTED_VALUE"""),0.0)</f>
        <v>0</v>
      </c>
      <c r="H250" s="9">
        <f>IFERROR(__xludf.DUMMYFUNCTION("""COMPUTED_VALUE"""),1.32264)</f>
        <v>1.32264</v>
      </c>
      <c r="I250" s="4">
        <f>IFERROR(__xludf.DUMMYFUNCTION("""COMPUTED_VALUE"""),0.0)</f>
        <v>0</v>
      </c>
      <c r="J250" s="4">
        <f>IFERROR(__xludf.DUMMYFUNCTION("""COMPUTED_VALUE"""),11868.578333333333)</f>
        <v>11868.57833</v>
      </c>
      <c r="K250" s="4">
        <f>IFERROR(__xludf.DUMMYFUNCTION("""COMPUTED_VALUE"""),11868.578333333333)</f>
        <v>11868.57833</v>
      </c>
    </row>
    <row r="251" ht="22.5" customHeight="1">
      <c r="A251" s="2" t="str">
        <f>IFERROR(__xludf.DUMMYFUNCTION("""COMPUTED_VALUE"""),"L2")</f>
        <v>L2</v>
      </c>
      <c r="B251" s="2" t="str">
        <f>IFERROR(__xludf.DUMMYFUNCTION("""COMPUTED_VALUE"""),"2026-10")</f>
        <v>2026-10</v>
      </c>
      <c r="C251" s="2" t="str">
        <f>IFERROR(__xludf.DUMMYFUNCTION("""COMPUTED_VALUE"""),"CYL-SD")</f>
        <v>CYL-SD</v>
      </c>
      <c r="D251" s="2">
        <f>IFERROR(__xludf.DUMMYFUNCTION("""COMPUTED_VALUE"""),0.0)</f>
        <v>0</v>
      </c>
      <c r="E251" s="2">
        <f>IFERROR(__xludf.DUMMYFUNCTION("""COMPUTED_VALUE"""),0.0)</f>
        <v>0</v>
      </c>
      <c r="F251" s="4">
        <f>IFERROR(__xludf.DUMMYFUNCTION("""COMPUTED_VALUE"""),0.0)</f>
        <v>0</v>
      </c>
      <c r="G251" s="4">
        <f>IFERROR(__xludf.DUMMYFUNCTION("""COMPUTED_VALUE"""),0.0)</f>
        <v>0</v>
      </c>
      <c r="H251" s="9">
        <f>IFERROR(__xludf.DUMMYFUNCTION("""COMPUTED_VALUE"""),1.32264)</f>
        <v>1.32264</v>
      </c>
      <c r="I251" s="4">
        <f>IFERROR(__xludf.DUMMYFUNCTION("""COMPUTED_VALUE"""),0.0)</f>
        <v>0</v>
      </c>
      <c r="J251" s="4">
        <f>IFERROR(__xludf.DUMMYFUNCTION("""COMPUTED_VALUE"""),11868.578333333333)</f>
        <v>11868.57833</v>
      </c>
      <c r="K251" s="4">
        <f>IFERROR(__xludf.DUMMYFUNCTION("""COMPUTED_VALUE"""),11868.578333333333)</f>
        <v>11868.57833</v>
      </c>
    </row>
    <row r="252" ht="22.5" customHeight="1">
      <c r="A252" s="2" t="str">
        <f>IFERROR(__xludf.DUMMYFUNCTION("""COMPUTED_VALUE"""),"L2")</f>
        <v>L2</v>
      </c>
      <c r="B252" s="2" t="str">
        <f>IFERROR(__xludf.DUMMYFUNCTION("""COMPUTED_VALUE"""),"2026-11")</f>
        <v>2026-11</v>
      </c>
      <c r="C252" s="2" t="str">
        <f>IFERROR(__xludf.DUMMYFUNCTION("""COMPUTED_VALUE"""),"CYL-SD")</f>
        <v>CYL-SD</v>
      </c>
      <c r="D252" s="2">
        <f>IFERROR(__xludf.DUMMYFUNCTION("""COMPUTED_VALUE"""),0.0)</f>
        <v>0</v>
      </c>
      <c r="E252" s="2">
        <f>IFERROR(__xludf.DUMMYFUNCTION("""COMPUTED_VALUE"""),0.0)</f>
        <v>0</v>
      </c>
      <c r="F252" s="4">
        <f>IFERROR(__xludf.DUMMYFUNCTION("""COMPUTED_VALUE"""),0.0)</f>
        <v>0</v>
      </c>
      <c r="G252" s="4">
        <f>IFERROR(__xludf.DUMMYFUNCTION("""COMPUTED_VALUE"""),0.0)</f>
        <v>0</v>
      </c>
      <c r="H252" s="9">
        <f>IFERROR(__xludf.DUMMYFUNCTION("""COMPUTED_VALUE"""),1.32264)</f>
        <v>1.32264</v>
      </c>
      <c r="I252" s="4">
        <f>IFERROR(__xludf.DUMMYFUNCTION("""COMPUTED_VALUE"""),0.0)</f>
        <v>0</v>
      </c>
      <c r="J252" s="4">
        <f>IFERROR(__xludf.DUMMYFUNCTION("""COMPUTED_VALUE"""),11868.578333333333)</f>
        <v>11868.57833</v>
      </c>
      <c r="K252" s="4">
        <f>IFERROR(__xludf.DUMMYFUNCTION("""COMPUTED_VALUE"""),11868.578333333333)</f>
        <v>11868.57833</v>
      </c>
    </row>
    <row r="253" ht="22.5" customHeight="1">
      <c r="A253" s="2" t="str">
        <f>IFERROR(__xludf.DUMMYFUNCTION("""COMPUTED_VALUE"""),"L2")</f>
        <v>L2</v>
      </c>
      <c r="B253" s="2" t="str">
        <f>IFERROR(__xludf.DUMMYFUNCTION("""COMPUTED_VALUE"""),"2026-12")</f>
        <v>2026-12</v>
      </c>
      <c r="C253" s="2" t="str">
        <f>IFERROR(__xludf.DUMMYFUNCTION("""COMPUTED_VALUE"""),"CYL-SD")</f>
        <v>CYL-SD</v>
      </c>
      <c r="D253" s="2">
        <f>IFERROR(__xludf.DUMMYFUNCTION("""COMPUTED_VALUE"""),0.0)</f>
        <v>0</v>
      </c>
      <c r="E253" s="2">
        <f>IFERROR(__xludf.DUMMYFUNCTION("""COMPUTED_VALUE"""),0.0)</f>
        <v>0</v>
      </c>
      <c r="F253" s="4">
        <f>IFERROR(__xludf.DUMMYFUNCTION("""COMPUTED_VALUE"""),0.0)</f>
        <v>0</v>
      </c>
      <c r="G253" s="4">
        <f>IFERROR(__xludf.DUMMYFUNCTION("""COMPUTED_VALUE"""),0.0)</f>
        <v>0</v>
      </c>
      <c r="H253" s="9">
        <f>IFERROR(__xludf.DUMMYFUNCTION("""COMPUTED_VALUE"""),1.32264)</f>
        <v>1.32264</v>
      </c>
      <c r="I253" s="4">
        <f>IFERROR(__xludf.DUMMYFUNCTION("""COMPUTED_VALUE"""),0.0)</f>
        <v>0</v>
      </c>
      <c r="J253" s="4">
        <f>IFERROR(__xludf.DUMMYFUNCTION("""COMPUTED_VALUE"""),11868.578333333333)</f>
        <v>11868.57833</v>
      </c>
      <c r="K253" s="4">
        <f>IFERROR(__xludf.DUMMYFUNCTION("""COMPUTED_VALUE"""),11868.578333333333)</f>
        <v>11868.57833</v>
      </c>
    </row>
    <row r="254" ht="22.5" customHeight="1">
      <c r="A254" s="2" t="str">
        <f>IFERROR(__xludf.DUMMYFUNCTION("""COMPUTED_VALUE"""),"L2")</f>
        <v>L2</v>
      </c>
      <c r="B254" s="2" t="str">
        <f>IFERROR(__xludf.DUMMYFUNCTION("""COMPUTED_VALUE"""),"2026-01")</f>
        <v>2026-01</v>
      </c>
      <c r="C254" s="2" t="str">
        <f>IFERROR(__xludf.DUMMYFUNCTION("""COMPUTED_VALUE"""),"CYL-SD - LX")</f>
        <v>CYL-SD - LX</v>
      </c>
      <c r="D254" s="2">
        <f>IFERROR(__xludf.DUMMYFUNCTION("""COMPUTED_VALUE"""),0.0)</f>
        <v>0</v>
      </c>
      <c r="E254" s="2">
        <f>IFERROR(__xludf.DUMMYFUNCTION("""COMPUTED_VALUE"""),0.0)</f>
        <v>0</v>
      </c>
      <c r="F254" s="4">
        <f>IFERROR(__xludf.DUMMYFUNCTION("""COMPUTED_VALUE"""),0.0)</f>
        <v>0</v>
      </c>
      <c r="G254" s="4">
        <f>IFERROR(__xludf.DUMMYFUNCTION("""COMPUTED_VALUE"""),0.0)</f>
        <v>0</v>
      </c>
      <c r="H254" s="9">
        <f>IFERROR(__xludf.DUMMYFUNCTION("""COMPUTED_VALUE"""),1.32264)</f>
        <v>1.32264</v>
      </c>
      <c r="I254" s="4">
        <f>IFERROR(__xludf.DUMMYFUNCTION("""COMPUTED_VALUE"""),0.0)</f>
        <v>0</v>
      </c>
      <c r="J254" s="4">
        <f>IFERROR(__xludf.DUMMYFUNCTION("""COMPUTED_VALUE"""),26666.818999999996)</f>
        <v>26666.819</v>
      </c>
      <c r="K254" s="4">
        <f>IFERROR(__xludf.DUMMYFUNCTION("""COMPUTED_VALUE"""),26666.818999999996)</f>
        <v>26666.819</v>
      </c>
    </row>
    <row r="255" ht="22.5" customHeight="1">
      <c r="A255" s="2" t="str">
        <f>IFERROR(__xludf.DUMMYFUNCTION("""COMPUTED_VALUE"""),"L2")</f>
        <v>L2</v>
      </c>
      <c r="B255" s="2" t="str">
        <f>IFERROR(__xludf.DUMMYFUNCTION("""COMPUTED_VALUE"""),"2026-02")</f>
        <v>2026-02</v>
      </c>
      <c r="C255" s="2" t="str">
        <f>IFERROR(__xludf.DUMMYFUNCTION("""COMPUTED_VALUE"""),"CYL-SD - LX")</f>
        <v>CYL-SD - LX</v>
      </c>
      <c r="D255" s="2">
        <f>IFERROR(__xludf.DUMMYFUNCTION("""COMPUTED_VALUE"""),0.0)</f>
        <v>0</v>
      </c>
      <c r="E255" s="2">
        <f>IFERROR(__xludf.DUMMYFUNCTION("""COMPUTED_VALUE"""),0.0)</f>
        <v>0</v>
      </c>
      <c r="F255" s="4">
        <f>IFERROR(__xludf.DUMMYFUNCTION("""COMPUTED_VALUE"""),0.0)</f>
        <v>0</v>
      </c>
      <c r="G255" s="4">
        <f>IFERROR(__xludf.DUMMYFUNCTION("""COMPUTED_VALUE"""),0.0)</f>
        <v>0</v>
      </c>
      <c r="H255" s="9">
        <f>IFERROR(__xludf.DUMMYFUNCTION("""COMPUTED_VALUE"""),1.32264)</f>
        <v>1.32264</v>
      </c>
      <c r="I255" s="4">
        <f>IFERROR(__xludf.DUMMYFUNCTION("""COMPUTED_VALUE"""),0.0)</f>
        <v>0</v>
      </c>
      <c r="J255" s="4">
        <f>IFERROR(__xludf.DUMMYFUNCTION("""COMPUTED_VALUE"""),26596.457999999995)</f>
        <v>26596.458</v>
      </c>
      <c r="K255" s="4">
        <f>IFERROR(__xludf.DUMMYFUNCTION("""COMPUTED_VALUE"""),26596.457999999995)</f>
        <v>26596.458</v>
      </c>
    </row>
    <row r="256" ht="22.5" customHeight="1">
      <c r="A256" s="2" t="str">
        <f>IFERROR(__xludf.DUMMYFUNCTION("""COMPUTED_VALUE"""),"L2")</f>
        <v>L2</v>
      </c>
      <c r="B256" s="2" t="str">
        <f>IFERROR(__xludf.DUMMYFUNCTION("""COMPUTED_VALUE"""),"2026-03")</f>
        <v>2026-03</v>
      </c>
      <c r="C256" s="2" t="str">
        <f>IFERROR(__xludf.DUMMYFUNCTION("""COMPUTED_VALUE"""),"CYL-SD - LX")</f>
        <v>CYL-SD - LX</v>
      </c>
      <c r="D256" s="2">
        <f>IFERROR(__xludf.DUMMYFUNCTION("""COMPUTED_VALUE"""),0.0)</f>
        <v>0</v>
      </c>
      <c r="E256" s="2">
        <f>IFERROR(__xludf.DUMMYFUNCTION("""COMPUTED_VALUE"""),0.0)</f>
        <v>0</v>
      </c>
      <c r="F256" s="4">
        <f>IFERROR(__xludf.DUMMYFUNCTION("""COMPUTED_VALUE"""),0.0)</f>
        <v>0</v>
      </c>
      <c r="G256" s="4">
        <f>IFERROR(__xludf.DUMMYFUNCTION("""COMPUTED_VALUE"""),0.0)</f>
        <v>0</v>
      </c>
      <c r="H256" s="9">
        <f>IFERROR(__xludf.DUMMYFUNCTION("""COMPUTED_VALUE"""),1.32264)</f>
        <v>1.32264</v>
      </c>
      <c r="I256" s="4">
        <f>IFERROR(__xludf.DUMMYFUNCTION("""COMPUTED_VALUE"""),0.0)</f>
        <v>0</v>
      </c>
      <c r="J256" s="4">
        <f>IFERROR(__xludf.DUMMYFUNCTION("""COMPUTED_VALUE"""),26526.096999999998)</f>
        <v>26526.097</v>
      </c>
      <c r="K256" s="4">
        <f>IFERROR(__xludf.DUMMYFUNCTION("""COMPUTED_VALUE"""),26526.096999999998)</f>
        <v>26526.097</v>
      </c>
    </row>
    <row r="257" ht="22.5" customHeight="1">
      <c r="A257" s="2" t="str">
        <f>IFERROR(__xludf.DUMMYFUNCTION("""COMPUTED_VALUE"""),"L2")</f>
        <v>L2</v>
      </c>
      <c r="B257" s="2" t="str">
        <f>IFERROR(__xludf.DUMMYFUNCTION("""COMPUTED_VALUE"""),"2026-04")</f>
        <v>2026-04</v>
      </c>
      <c r="C257" s="2" t="str">
        <f>IFERROR(__xludf.DUMMYFUNCTION("""COMPUTED_VALUE"""),"CYL-SD - LX")</f>
        <v>CYL-SD - LX</v>
      </c>
      <c r="D257" s="2">
        <f>IFERROR(__xludf.DUMMYFUNCTION("""COMPUTED_VALUE"""),0.0)</f>
        <v>0</v>
      </c>
      <c r="E257" s="2">
        <f>IFERROR(__xludf.DUMMYFUNCTION("""COMPUTED_VALUE"""),0.0)</f>
        <v>0</v>
      </c>
      <c r="F257" s="4">
        <f>IFERROR(__xludf.DUMMYFUNCTION("""COMPUTED_VALUE"""),0.0)</f>
        <v>0</v>
      </c>
      <c r="G257" s="4">
        <f>IFERROR(__xludf.DUMMYFUNCTION("""COMPUTED_VALUE"""),0.0)</f>
        <v>0</v>
      </c>
      <c r="H257" s="9">
        <f>IFERROR(__xludf.DUMMYFUNCTION("""COMPUTED_VALUE"""),1.32264)</f>
        <v>1.32264</v>
      </c>
      <c r="I257" s="4">
        <f>IFERROR(__xludf.DUMMYFUNCTION("""COMPUTED_VALUE"""),0.0)</f>
        <v>0</v>
      </c>
      <c r="J257" s="4">
        <f>IFERROR(__xludf.DUMMYFUNCTION("""COMPUTED_VALUE"""),26526.096999999998)</f>
        <v>26526.097</v>
      </c>
      <c r="K257" s="4">
        <f>IFERROR(__xludf.DUMMYFUNCTION("""COMPUTED_VALUE"""),26526.096999999998)</f>
        <v>26526.097</v>
      </c>
    </row>
    <row r="258" ht="22.5" customHeight="1">
      <c r="A258" s="2" t="str">
        <f>IFERROR(__xludf.DUMMYFUNCTION("""COMPUTED_VALUE"""),"L2")</f>
        <v>L2</v>
      </c>
      <c r="B258" s="2" t="str">
        <f>IFERROR(__xludf.DUMMYFUNCTION("""COMPUTED_VALUE"""),"2026-05")</f>
        <v>2026-05</v>
      </c>
      <c r="C258" s="2" t="str">
        <f>IFERROR(__xludf.DUMMYFUNCTION("""COMPUTED_VALUE"""),"CYL-SD - LX")</f>
        <v>CYL-SD - LX</v>
      </c>
      <c r="D258" s="2">
        <f>IFERROR(__xludf.DUMMYFUNCTION("""COMPUTED_VALUE"""),0.0)</f>
        <v>0</v>
      </c>
      <c r="E258" s="2">
        <f>IFERROR(__xludf.DUMMYFUNCTION("""COMPUTED_VALUE"""),0.0)</f>
        <v>0</v>
      </c>
      <c r="F258" s="4">
        <f>IFERROR(__xludf.DUMMYFUNCTION("""COMPUTED_VALUE"""),0.0)</f>
        <v>0</v>
      </c>
      <c r="G258" s="4">
        <f>IFERROR(__xludf.DUMMYFUNCTION("""COMPUTED_VALUE"""),0.0)</f>
        <v>0</v>
      </c>
      <c r="H258" s="9">
        <f>IFERROR(__xludf.DUMMYFUNCTION("""COMPUTED_VALUE"""),1.32264)</f>
        <v>1.32264</v>
      </c>
      <c r="I258" s="4">
        <f>IFERROR(__xludf.DUMMYFUNCTION("""COMPUTED_VALUE"""),0.0)</f>
        <v>0</v>
      </c>
      <c r="J258" s="4">
        <f>IFERROR(__xludf.DUMMYFUNCTION("""COMPUTED_VALUE"""),26526.096999999998)</f>
        <v>26526.097</v>
      </c>
      <c r="K258" s="4">
        <f>IFERROR(__xludf.DUMMYFUNCTION("""COMPUTED_VALUE"""),26526.096999999998)</f>
        <v>26526.097</v>
      </c>
    </row>
    <row r="259" ht="22.5" customHeight="1">
      <c r="A259" s="2" t="str">
        <f>IFERROR(__xludf.DUMMYFUNCTION("""COMPUTED_VALUE"""),"L2")</f>
        <v>L2</v>
      </c>
      <c r="B259" s="2" t="str">
        <f>IFERROR(__xludf.DUMMYFUNCTION("""COMPUTED_VALUE"""),"2026-06")</f>
        <v>2026-06</v>
      </c>
      <c r="C259" s="2" t="str">
        <f>IFERROR(__xludf.DUMMYFUNCTION("""COMPUTED_VALUE"""),"CYL-SD - LX")</f>
        <v>CYL-SD - LX</v>
      </c>
      <c r="D259" s="2">
        <f>IFERROR(__xludf.DUMMYFUNCTION("""COMPUTED_VALUE"""),0.0)</f>
        <v>0</v>
      </c>
      <c r="E259" s="2">
        <f>IFERROR(__xludf.DUMMYFUNCTION("""COMPUTED_VALUE"""),0.0)</f>
        <v>0</v>
      </c>
      <c r="F259" s="4">
        <f>IFERROR(__xludf.DUMMYFUNCTION("""COMPUTED_VALUE"""),0.0)</f>
        <v>0</v>
      </c>
      <c r="G259" s="4">
        <f>IFERROR(__xludf.DUMMYFUNCTION("""COMPUTED_VALUE"""),0.0)</f>
        <v>0</v>
      </c>
      <c r="H259" s="9">
        <f>IFERROR(__xludf.DUMMYFUNCTION("""COMPUTED_VALUE"""),1.32264)</f>
        <v>1.32264</v>
      </c>
      <c r="I259" s="4">
        <f>IFERROR(__xludf.DUMMYFUNCTION("""COMPUTED_VALUE"""),0.0)</f>
        <v>0</v>
      </c>
      <c r="J259" s="4">
        <f>IFERROR(__xludf.DUMMYFUNCTION("""COMPUTED_VALUE"""),26526.096999999998)</f>
        <v>26526.097</v>
      </c>
      <c r="K259" s="4">
        <f>IFERROR(__xludf.DUMMYFUNCTION("""COMPUTED_VALUE"""),26526.096999999998)</f>
        <v>26526.097</v>
      </c>
    </row>
    <row r="260" ht="22.5" customHeight="1">
      <c r="A260" s="2" t="str">
        <f>IFERROR(__xludf.DUMMYFUNCTION("""COMPUTED_VALUE"""),"L2")</f>
        <v>L2</v>
      </c>
      <c r="B260" s="2" t="str">
        <f>IFERROR(__xludf.DUMMYFUNCTION("""COMPUTED_VALUE"""),"2026-07")</f>
        <v>2026-07</v>
      </c>
      <c r="C260" s="2" t="str">
        <f>IFERROR(__xludf.DUMMYFUNCTION("""COMPUTED_VALUE"""),"CYL-SD - LX")</f>
        <v>CYL-SD - LX</v>
      </c>
      <c r="D260" s="2">
        <f>IFERROR(__xludf.DUMMYFUNCTION("""COMPUTED_VALUE"""),0.0)</f>
        <v>0</v>
      </c>
      <c r="E260" s="2">
        <f>IFERROR(__xludf.DUMMYFUNCTION("""COMPUTED_VALUE"""),0.0)</f>
        <v>0</v>
      </c>
      <c r="F260" s="4">
        <f>IFERROR(__xludf.DUMMYFUNCTION("""COMPUTED_VALUE"""),0.0)</f>
        <v>0</v>
      </c>
      <c r="G260" s="4">
        <f>IFERROR(__xludf.DUMMYFUNCTION("""COMPUTED_VALUE"""),0.0)</f>
        <v>0</v>
      </c>
      <c r="H260" s="9">
        <f>IFERROR(__xludf.DUMMYFUNCTION("""COMPUTED_VALUE"""),1.32264)</f>
        <v>1.32264</v>
      </c>
      <c r="I260" s="4">
        <f>IFERROR(__xludf.DUMMYFUNCTION("""COMPUTED_VALUE"""),0.0)</f>
        <v>0</v>
      </c>
      <c r="J260" s="4">
        <f>IFERROR(__xludf.DUMMYFUNCTION("""COMPUTED_VALUE"""),26526.096999999998)</f>
        <v>26526.097</v>
      </c>
      <c r="K260" s="4">
        <f>IFERROR(__xludf.DUMMYFUNCTION("""COMPUTED_VALUE"""),26526.096999999998)</f>
        <v>26526.097</v>
      </c>
    </row>
    <row r="261" ht="22.5" customHeight="1">
      <c r="A261" s="2" t="str">
        <f>IFERROR(__xludf.DUMMYFUNCTION("""COMPUTED_VALUE"""),"L2")</f>
        <v>L2</v>
      </c>
      <c r="B261" s="2" t="str">
        <f>IFERROR(__xludf.DUMMYFUNCTION("""COMPUTED_VALUE"""),"2026-08")</f>
        <v>2026-08</v>
      </c>
      <c r="C261" s="2" t="str">
        <f>IFERROR(__xludf.DUMMYFUNCTION("""COMPUTED_VALUE"""),"CYL-SD - LX")</f>
        <v>CYL-SD - LX</v>
      </c>
      <c r="D261" s="2">
        <f>IFERROR(__xludf.DUMMYFUNCTION("""COMPUTED_VALUE"""),0.0)</f>
        <v>0</v>
      </c>
      <c r="E261" s="2">
        <f>IFERROR(__xludf.DUMMYFUNCTION("""COMPUTED_VALUE"""),0.0)</f>
        <v>0</v>
      </c>
      <c r="F261" s="4">
        <f>IFERROR(__xludf.DUMMYFUNCTION("""COMPUTED_VALUE"""),0.0)</f>
        <v>0</v>
      </c>
      <c r="G261" s="4">
        <f>IFERROR(__xludf.DUMMYFUNCTION("""COMPUTED_VALUE"""),0.0)</f>
        <v>0</v>
      </c>
      <c r="H261" s="9">
        <f>IFERROR(__xludf.DUMMYFUNCTION("""COMPUTED_VALUE"""),1.32264)</f>
        <v>1.32264</v>
      </c>
      <c r="I261" s="4">
        <f>IFERROR(__xludf.DUMMYFUNCTION("""COMPUTED_VALUE"""),0.0)</f>
        <v>0</v>
      </c>
      <c r="J261" s="4">
        <f>IFERROR(__xludf.DUMMYFUNCTION("""COMPUTED_VALUE"""),26526.096999999998)</f>
        <v>26526.097</v>
      </c>
      <c r="K261" s="4">
        <f>IFERROR(__xludf.DUMMYFUNCTION("""COMPUTED_VALUE"""),26526.096999999998)</f>
        <v>26526.097</v>
      </c>
    </row>
    <row r="262" ht="22.5" customHeight="1">
      <c r="A262" s="2" t="str">
        <f>IFERROR(__xludf.DUMMYFUNCTION("""COMPUTED_VALUE"""),"L2")</f>
        <v>L2</v>
      </c>
      <c r="B262" s="2" t="str">
        <f>IFERROR(__xludf.DUMMYFUNCTION("""COMPUTED_VALUE"""),"2026-09")</f>
        <v>2026-09</v>
      </c>
      <c r="C262" s="2" t="str">
        <f>IFERROR(__xludf.DUMMYFUNCTION("""COMPUTED_VALUE"""),"CYL-SD - LX")</f>
        <v>CYL-SD - LX</v>
      </c>
      <c r="D262" s="2">
        <f>IFERROR(__xludf.DUMMYFUNCTION("""COMPUTED_VALUE"""),0.0)</f>
        <v>0</v>
      </c>
      <c r="E262" s="2">
        <f>IFERROR(__xludf.DUMMYFUNCTION("""COMPUTED_VALUE"""),0.0)</f>
        <v>0</v>
      </c>
      <c r="F262" s="4">
        <f>IFERROR(__xludf.DUMMYFUNCTION("""COMPUTED_VALUE"""),0.0)</f>
        <v>0</v>
      </c>
      <c r="G262" s="4">
        <f>IFERROR(__xludf.DUMMYFUNCTION("""COMPUTED_VALUE"""),0.0)</f>
        <v>0</v>
      </c>
      <c r="H262" s="9">
        <f>IFERROR(__xludf.DUMMYFUNCTION("""COMPUTED_VALUE"""),1.32264)</f>
        <v>1.32264</v>
      </c>
      <c r="I262" s="4">
        <f>IFERROR(__xludf.DUMMYFUNCTION("""COMPUTED_VALUE"""),0.0)</f>
        <v>0</v>
      </c>
      <c r="J262" s="4">
        <f>IFERROR(__xludf.DUMMYFUNCTION("""COMPUTED_VALUE"""),26526.096999999998)</f>
        <v>26526.097</v>
      </c>
      <c r="K262" s="4">
        <f>IFERROR(__xludf.DUMMYFUNCTION("""COMPUTED_VALUE"""),26526.096999999998)</f>
        <v>26526.097</v>
      </c>
    </row>
    <row r="263" ht="22.5" customHeight="1">
      <c r="A263" s="2" t="str">
        <f>IFERROR(__xludf.DUMMYFUNCTION("""COMPUTED_VALUE"""),"L2")</f>
        <v>L2</v>
      </c>
      <c r="B263" s="2" t="str">
        <f>IFERROR(__xludf.DUMMYFUNCTION("""COMPUTED_VALUE"""),"2026-10")</f>
        <v>2026-10</v>
      </c>
      <c r="C263" s="2" t="str">
        <f>IFERROR(__xludf.DUMMYFUNCTION("""COMPUTED_VALUE"""),"CYL-SD - LX")</f>
        <v>CYL-SD - LX</v>
      </c>
      <c r="D263" s="2">
        <f>IFERROR(__xludf.DUMMYFUNCTION("""COMPUTED_VALUE"""),0.0)</f>
        <v>0</v>
      </c>
      <c r="E263" s="2">
        <f>IFERROR(__xludf.DUMMYFUNCTION("""COMPUTED_VALUE"""),0.0)</f>
        <v>0</v>
      </c>
      <c r="F263" s="4">
        <f>IFERROR(__xludf.DUMMYFUNCTION("""COMPUTED_VALUE"""),0.0)</f>
        <v>0</v>
      </c>
      <c r="G263" s="4">
        <f>IFERROR(__xludf.DUMMYFUNCTION("""COMPUTED_VALUE"""),0.0)</f>
        <v>0</v>
      </c>
      <c r="H263" s="9">
        <f>IFERROR(__xludf.DUMMYFUNCTION("""COMPUTED_VALUE"""),1.32264)</f>
        <v>1.32264</v>
      </c>
      <c r="I263" s="4">
        <f>IFERROR(__xludf.DUMMYFUNCTION("""COMPUTED_VALUE"""),0.0)</f>
        <v>0</v>
      </c>
      <c r="J263" s="4">
        <f>IFERROR(__xludf.DUMMYFUNCTION("""COMPUTED_VALUE"""),26526.096999999998)</f>
        <v>26526.097</v>
      </c>
      <c r="K263" s="4">
        <f>IFERROR(__xludf.DUMMYFUNCTION("""COMPUTED_VALUE"""),26526.096999999998)</f>
        <v>26526.097</v>
      </c>
    </row>
    <row r="264" ht="22.5" customHeight="1">
      <c r="A264" s="2" t="str">
        <f>IFERROR(__xludf.DUMMYFUNCTION("""COMPUTED_VALUE"""),"L2")</f>
        <v>L2</v>
      </c>
      <c r="B264" s="2" t="str">
        <f>IFERROR(__xludf.DUMMYFUNCTION("""COMPUTED_VALUE"""),"2026-11")</f>
        <v>2026-11</v>
      </c>
      <c r="C264" s="2" t="str">
        <f>IFERROR(__xludf.DUMMYFUNCTION("""COMPUTED_VALUE"""),"CYL-SD - LX")</f>
        <v>CYL-SD - LX</v>
      </c>
      <c r="D264" s="2">
        <f>IFERROR(__xludf.DUMMYFUNCTION("""COMPUTED_VALUE"""),0.0)</f>
        <v>0</v>
      </c>
      <c r="E264" s="2">
        <f>IFERROR(__xludf.DUMMYFUNCTION("""COMPUTED_VALUE"""),0.0)</f>
        <v>0</v>
      </c>
      <c r="F264" s="4">
        <f>IFERROR(__xludf.DUMMYFUNCTION("""COMPUTED_VALUE"""),0.0)</f>
        <v>0</v>
      </c>
      <c r="G264" s="4">
        <f>IFERROR(__xludf.DUMMYFUNCTION("""COMPUTED_VALUE"""),0.0)</f>
        <v>0</v>
      </c>
      <c r="H264" s="9">
        <f>IFERROR(__xludf.DUMMYFUNCTION("""COMPUTED_VALUE"""),1.32264)</f>
        <v>1.32264</v>
      </c>
      <c r="I264" s="4">
        <f>IFERROR(__xludf.DUMMYFUNCTION("""COMPUTED_VALUE"""),0.0)</f>
        <v>0</v>
      </c>
      <c r="J264" s="4">
        <f>IFERROR(__xludf.DUMMYFUNCTION("""COMPUTED_VALUE"""),26526.096999999998)</f>
        <v>26526.097</v>
      </c>
      <c r="K264" s="4">
        <f>IFERROR(__xludf.DUMMYFUNCTION("""COMPUTED_VALUE"""),26526.096999999998)</f>
        <v>26526.097</v>
      </c>
    </row>
    <row r="265" ht="22.5" customHeight="1">
      <c r="A265" s="2" t="str">
        <f>IFERROR(__xludf.DUMMYFUNCTION("""COMPUTED_VALUE"""),"L2")</f>
        <v>L2</v>
      </c>
      <c r="B265" s="2" t="str">
        <f>IFERROR(__xludf.DUMMYFUNCTION("""COMPUTED_VALUE"""),"2026-12")</f>
        <v>2026-12</v>
      </c>
      <c r="C265" s="2" t="str">
        <f>IFERROR(__xludf.DUMMYFUNCTION("""COMPUTED_VALUE"""),"CYL-SD - LX")</f>
        <v>CYL-SD - LX</v>
      </c>
      <c r="D265" s="2">
        <f>IFERROR(__xludf.DUMMYFUNCTION("""COMPUTED_VALUE"""),0.0)</f>
        <v>0</v>
      </c>
      <c r="E265" s="2">
        <f>IFERROR(__xludf.DUMMYFUNCTION("""COMPUTED_VALUE"""),0.0)</f>
        <v>0</v>
      </c>
      <c r="F265" s="4">
        <f>IFERROR(__xludf.DUMMYFUNCTION("""COMPUTED_VALUE"""),0.0)</f>
        <v>0</v>
      </c>
      <c r="G265" s="4">
        <f>IFERROR(__xludf.DUMMYFUNCTION("""COMPUTED_VALUE"""),0.0)</f>
        <v>0</v>
      </c>
      <c r="H265" s="9">
        <f>IFERROR(__xludf.DUMMYFUNCTION("""COMPUTED_VALUE"""),1.32264)</f>
        <v>1.32264</v>
      </c>
      <c r="I265" s="4">
        <f>IFERROR(__xludf.DUMMYFUNCTION("""COMPUTED_VALUE"""),0.0)</f>
        <v>0</v>
      </c>
      <c r="J265" s="4">
        <f>IFERROR(__xludf.DUMMYFUNCTION("""COMPUTED_VALUE"""),26526.096999999998)</f>
        <v>26526.097</v>
      </c>
      <c r="K265" s="4">
        <f>IFERROR(__xludf.DUMMYFUNCTION("""COMPUTED_VALUE"""),26526.096999999998)</f>
        <v>26526.097</v>
      </c>
    </row>
    <row r="266" ht="22.5" customHeight="1">
      <c r="A266" s="2" t="str">
        <f>IFERROR(__xludf.DUMMYFUNCTION("""COMPUTED_VALUE"""),"L2")</f>
        <v>L2</v>
      </c>
      <c r="B266" s="2" t="str">
        <f>IFERROR(__xludf.DUMMYFUNCTION("""COMPUTED_VALUE"""),"2026-01")</f>
        <v>2026-01</v>
      </c>
      <c r="C266" s="2" t="str">
        <f>IFERROR(__xludf.DUMMYFUNCTION("""COMPUTED_VALUE"""),"CYL-SUV")</f>
        <v>CYL-SUV</v>
      </c>
      <c r="D266" s="2">
        <f>IFERROR(__xludf.DUMMYFUNCTION("""COMPUTED_VALUE"""),0.0)</f>
        <v>0</v>
      </c>
      <c r="E266" s="2">
        <f>IFERROR(__xludf.DUMMYFUNCTION("""COMPUTED_VALUE"""),0.0)</f>
        <v>0</v>
      </c>
      <c r="F266" s="4">
        <f>IFERROR(__xludf.DUMMYFUNCTION("""COMPUTED_VALUE"""),0.0)</f>
        <v>0</v>
      </c>
      <c r="G266" s="4">
        <f>IFERROR(__xludf.DUMMYFUNCTION("""COMPUTED_VALUE"""),0.0)</f>
        <v>0</v>
      </c>
      <c r="H266" s="9">
        <f>IFERROR(__xludf.DUMMYFUNCTION("""COMPUTED_VALUE"""),1.32264)</f>
        <v>1.32264</v>
      </c>
      <c r="I266" s="4">
        <f>IFERROR(__xludf.DUMMYFUNCTION("""COMPUTED_VALUE"""),0.0)</f>
        <v>0</v>
      </c>
      <c r="J266" s="4">
        <f>IFERROR(__xludf.DUMMYFUNCTION("""COMPUTED_VALUE"""),68537.9465)</f>
        <v>68537.9465</v>
      </c>
      <c r="K266" s="4">
        <f>IFERROR(__xludf.DUMMYFUNCTION("""COMPUTED_VALUE"""),68537.9465)</f>
        <v>68537.9465</v>
      </c>
    </row>
    <row r="267" ht="22.5" customHeight="1">
      <c r="A267" s="2" t="str">
        <f>IFERROR(__xludf.DUMMYFUNCTION("""COMPUTED_VALUE"""),"L2")</f>
        <v>L2</v>
      </c>
      <c r="B267" s="2" t="str">
        <f>IFERROR(__xludf.DUMMYFUNCTION("""COMPUTED_VALUE"""),"2026-02")</f>
        <v>2026-02</v>
      </c>
      <c r="C267" s="2" t="str">
        <f>IFERROR(__xludf.DUMMYFUNCTION("""COMPUTED_VALUE"""),"CYL-SUV")</f>
        <v>CYL-SUV</v>
      </c>
      <c r="D267" s="2">
        <f>IFERROR(__xludf.DUMMYFUNCTION("""COMPUTED_VALUE"""),0.0)</f>
        <v>0</v>
      </c>
      <c r="E267" s="2">
        <f>IFERROR(__xludf.DUMMYFUNCTION("""COMPUTED_VALUE"""),0.0)</f>
        <v>0</v>
      </c>
      <c r="F267" s="4">
        <f>IFERROR(__xludf.DUMMYFUNCTION("""COMPUTED_VALUE"""),0.0)</f>
        <v>0</v>
      </c>
      <c r="G267" s="4">
        <f>IFERROR(__xludf.DUMMYFUNCTION("""COMPUTED_VALUE"""),0.0)</f>
        <v>0</v>
      </c>
      <c r="H267" s="9">
        <f>IFERROR(__xludf.DUMMYFUNCTION("""COMPUTED_VALUE"""),1.32264)</f>
        <v>1.32264</v>
      </c>
      <c r="I267" s="4">
        <f>IFERROR(__xludf.DUMMYFUNCTION("""COMPUTED_VALUE"""),0.0)</f>
        <v>0</v>
      </c>
      <c r="J267" s="4">
        <f>IFERROR(__xludf.DUMMYFUNCTION("""COMPUTED_VALUE"""),68474.30866666666)</f>
        <v>68474.30867</v>
      </c>
      <c r="K267" s="4">
        <f>IFERROR(__xludf.DUMMYFUNCTION("""COMPUTED_VALUE"""),68474.30866666666)</f>
        <v>68474.30867</v>
      </c>
    </row>
    <row r="268" ht="22.5" customHeight="1">
      <c r="A268" s="2" t="str">
        <f>IFERROR(__xludf.DUMMYFUNCTION("""COMPUTED_VALUE"""),"L2")</f>
        <v>L2</v>
      </c>
      <c r="B268" s="2" t="str">
        <f>IFERROR(__xludf.DUMMYFUNCTION("""COMPUTED_VALUE"""),"2026-03")</f>
        <v>2026-03</v>
      </c>
      <c r="C268" s="2" t="str">
        <f>IFERROR(__xludf.DUMMYFUNCTION("""COMPUTED_VALUE"""),"CYL-SUV")</f>
        <v>CYL-SUV</v>
      </c>
      <c r="D268" s="2">
        <f>IFERROR(__xludf.DUMMYFUNCTION("""COMPUTED_VALUE"""),0.0)</f>
        <v>0</v>
      </c>
      <c r="E268" s="2">
        <f>IFERROR(__xludf.DUMMYFUNCTION("""COMPUTED_VALUE"""),0.0)</f>
        <v>0</v>
      </c>
      <c r="F268" s="4">
        <f>IFERROR(__xludf.DUMMYFUNCTION("""COMPUTED_VALUE"""),0.0)</f>
        <v>0</v>
      </c>
      <c r="G268" s="4">
        <f>IFERROR(__xludf.DUMMYFUNCTION("""COMPUTED_VALUE"""),0.0)</f>
        <v>0</v>
      </c>
      <c r="H268" s="9">
        <f>IFERROR(__xludf.DUMMYFUNCTION("""COMPUTED_VALUE"""),1.32264)</f>
        <v>1.32264</v>
      </c>
      <c r="I268" s="4">
        <f>IFERROR(__xludf.DUMMYFUNCTION("""COMPUTED_VALUE"""),0.0)</f>
        <v>0</v>
      </c>
      <c r="J268" s="4">
        <f>IFERROR(__xludf.DUMMYFUNCTION("""COMPUTED_VALUE"""),68474.30866666666)</f>
        <v>68474.30867</v>
      </c>
      <c r="K268" s="4">
        <f>IFERROR(__xludf.DUMMYFUNCTION("""COMPUTED_VALUE"""),68474.30866666666)</f>
        <v>68474.30867</v>
      </c>
    </row>
    <row r="269" ht="22.5" customHeight="1">
      <c r="A269" s="2" t="str">
        <f>IFERROR(__xludf.DUMMYFUNCTION("""COMPUTED_VALUE"""),"L2")</f>
        <v>L2</v>
      </c>
      <c r="B269" s="2" t="str">
        <f>IFERROR(__xludf.DUMMYFUNCTION("""COMPUTED_VALUE"""),"2026-04")</f>
        <v>2026-04</v>
      </c>
      <c r="C269" s="2" t="str">
        <f>IFERROR(__xludf.DUMMYFUNCTION("""COMPUTED_VALUE"""),"CYL-SUV")</f>
        <v>CYL-SUV</v>
      </c>
      <c r="D269" s="2">
        <f>IFERROR(__xludf.DUMMYFUNCTION("""COMPUTED_VALUE"""),0.0)</f>
        <v>0</v>
      </c>
      <c r="E269" s="2">
        <f>IFERROR(__xludf.DUMMYFUNCTION("""COMPUTED_VALUE"""),0.0)</f>
        <v>0</v>
      </c>
      <c r="F269" s="4">
        <f>IFERROR(__xludf.DUMMYFUNCTION("""COMPUTED_VALUE"""),0.0)</f>
        <v>0</v>
      </c>
      <c r="G269" s="4">
        <f>IFERROR(__xludf.DUMMYFUNCTION("""COMPUTED_VALUE"""),0.0)</f>
        <v>0</v>
      </c>
      <c r="H269" s="9">
        <f>IFERROR(__xludf.DUMMYFUNCTION("""COMPUTED_VALUE"""),1.32264)</f>
        <v>1.32264</v>
      </c>
      <c r="I269" s="4">
        <f>IFERROR(__xludf.DUMMYFUNCTION("""COMPUTED_VALUE"""),0.0)</f>
        <v>0</v>
      </c>
      <c r="J269" s="4">
        <f>IFERROR(__xludf.DUMMYFUNCTION("""COMPUTED_VALUE"""),68474.30866666666)</f>
        <v>68474.30867</v>
      </c>
      <c r="K269" s="4">
        <f>IFERROR(__xludf.DUMMYFUNCTION("""COMPUTED_VALUE"""),68474.30866666666)</f>
        <v>68474.30867</v>
      </c>
    </row>
    <row r="270" ht="22.5" customHeight="1">
      <c r="A270" s="2" t="str">
        <f>IFERROR(__xludf.DUMMYFUNCTION("""COMPUTED_VALUE"""),"L2")</f>
        <v>L2</v>
      </c>
      <c r="B270" s="2" t="str">
        <f>IFERROR(__xludf.DUMMYFUNCTION("""COMPUTED_VALUE"""),"2026-05")</f>
        <v>2026-05</v>
      </c>
      <c r="C270" s="2" t="str">
        <f>IFERROR(__xludf.DUMMYFUNCTION("""COMPUTED_VALUE"""),"CYL-SUV")</f>
        <v>CYL-SUV</v>
      </c>
      <c r="D270" s="2">
        <f>IFERROR(__xludf.DUMMYFUNCTION("""COMPUTED_VALUE"""),0.0)</f>
        <v>0</v>
      </c>
      <c r="E270" s="2">
        <f>IFERROR(__xludf.DUMMYFUNCTION("""COMPUTED_VALUE"""),0.0)</f>
        <v>0</v>
      </c>
      <c r="F270" s="4">
        <f>IFERROR(__xludf.DUMMYFUNCTION("""COMPUTED_VALUE"""),0.0)</f>
        <v>0</v>
      </c>
      <c r="G270" s="4">
        <f>IFERROR(__xludf.DUMMYFUNCTION("""COMPUTED_VALUE"""),0.0)</f>
        <v>0</v>
      </c>
      <c r="H270" s="9">
        <f>IFERROR(__xludf.DUMMYFUNCTION("""COMPUTED_VALUE"""),1.32264)</f>
        <v>1.32264</v>
      </c>
      <c r="I270" s="4">
        <f>IFERROR(__xludf.DUMMYFUNCTION("""COMPUTED_VALUE"""),0.0)</f>
        <v>0</v>
      </c>
      <c r="J270" s="4">
        <f>IFERROR(__xludf.DUMMYFUNCTION("""COMPUTED_VALUE"""),68474.30866666666)</f>
        <v>68474.30867</v>
      </c>
      <c r="K270" s="4">
        <f>IFERROR(__xludf.DUMMYFUNCTION("""COMPUTED_VALUE"""),68474.30866666666)</f>
        <v>68474.30867</v>
      </c>
    </row>
    <row r="271" ht="22.5" customHeight="1">
      <c r="A271" s="2" t="str">
        <f>IFERROR(__xludf.DUMMYFUNCTION("""COMPUTED_VALUE"""),"L2")</f>
        <v>L2</v>
      </c>
      <c r="B271" s="2" t="str">
        <f>IFERROR(__xludf.DUMMYFUNCTION("""COMPUTED_VALUE"""),"2026-06")</f>
        <v>2026-06</v>
      </c>
      <c r="C271" s="2" t="str">
        <f>IFERROR(__xludf.DUMMYFUNCTION("""COMPUTED_VALUE"""),"CYL-SUV")</f>
        <v>CYL-SUV</v>
      </c>
      <c r="D271" s="2">
        <f>IFERROR(__xludf.DUMMYFUNCTION("""COMPUTED_VALUE"""),0.0)</f>
        <v>0</v>
      </c>
      <c r="E271" s="2">
        <f>IFERROR(__xludf.DUMMYFUNCTION("""COMPUTED_VALUE"""),0.0)</f>
        <v>0</v>
      </c>
      <c r="F271" s="4">
        <f>IFERROR(__xludf.DUMMYFUNCTION("""COMPUTED_VALUE"""),0.0)</f>
        <v>0</v>
      </c>
      <c r="G271" s="4">
        <f>IFERROR(__xludf.DUMMYFUNCTION("""COMPUTED_VALUE"""),0.0)</f>
        <v>0</v>
      </c>
      <c r="H271" s="9">
        <f>IFERROR(__xludf.DUMMYFUNCTION("""COMPUTED_VALUE"""),1.32264)</f>
        <v>1.32264</v>
      </c>
      <c r="I271" s="4">
        <f>IFERROR(__xludf.DUMMYFUNCTION("""COMPUTED_VALUE"""),0.0)</f>
        <v>0</v>
      </c>
      <c r="J271" s="4">
        <f>IFERROR(__xludf.DUMMYFUNCTION("""COMPUTED_VALUE"""),68474.30866666666)</f>
        <v>68474.30867</v>
      </c>
      <c r="K271" s="4">
        <f>IFERROR(__xludf.DUMMYFUNCTION("""COMPUTED_VALUE"""),68474.30866666666)</f>
        <v>68474.30867</v>
      </c>
    </row>
    <row r="272" ht="22.5" customHeight="1">
      <c r="A272" s="2" t="str">
        <f>IFERROR(__xludf.DUMMYFUNCTION("""COMPUTED_VALUE"""),"L2")</f>
        <v>L2</v>
      </c>
      <c r="B272" s="2" t="str">
        <f>IFERROR(__xludf.DUMMYFUNCTION("""COMPUTED_VALUE"""),"2026-07")</f>
        <v>2026-07</v>
      </c>
      <c r="C272" s="2" t="str">
        <f>IFERROR(__xludf.DUMMYFUNCTION("""COMPUTED_VALUE"""),"CYL-SUV")</f>
        <v>CYL-SUV</v>
      </c>
      <c r="D272" s="2">
        <f>IFERROR(__xludf.DUMMYFUNCTION("""COMPUTED_VALUE"""),0.0)</f>
        <v>0</v>
      </c>
      <c r="E272" s="2">
        <f>IFERROR(__xludf.DUMMYFUNCTION("""COMPUTED_VALUE"""),0.0)</f>
        <v>0</v>
      </c>
      <c r="F272" s="4">
        <f>IFERROR(__xludf.DUMMYFUNCTION("""COMPUTED_VALUE"""),0.0)</f>
        <v>0</v>
      </c>
      <c r="G272" s="4">
        <f>IFERROR(__xludf.DUMMYFUNCTION("""COMPUTED_VALUE"""),0.0)</f>
        <v>0</v>
      </c>
      <c r="H272" s="9">
        <f>IFERROR(__xludf.DUMMYFUNCTION("""COMPUTED_VALUE"""),1.32264)</f>
        <v>1.32264</v>
      </c>
      <c r="I272" s="4">
        <f>IFERROR(__xludf.DUMMYFUNCTION("""COMPUTED_VALUE"""),0.0)</f>
        <v>0</v>
      </c>
      <c r="J272" s="4">
        <f>IFERROR(__xludf.DUMMYFUNCTION("""COMPUTED_VALUE"""),68474.30866666666)</f>
        <v>68474.30867</v>
      </c>
      <c r="K272" s="4">
        <f>IFERROR(__xludf.DUMMYFUNCTION("""COMPUTED_VALUE"""),68474.30866666666)</f>
        <v>68474.30867</v>
      </c>
    </row>
    <row r="273" ht="22.5" customHeight="1">
      <c r="A273" s="2" t="str">
        <f>IFERROR(__xludf.DUMMYFUNCTION("""COMPUTED_VALUE"""),"L2")</f>
        <v>L2</v>
      </c>
      <c r="B273" s="2" t="str">
        <f>IFERROR(__xludf.DUMMYFUNCTION("""COMPUTED_VALUE"""),"2026-08")</f>
        <v>2026-08</v>
      </c>
      <c r="C273" s="2" t="str">
        <f>IFERROR(__xludf.DUMMYFUNCTION("""COMPUTED_VALUE"""),"CYL-SUV")</f>
        <v>CYL-SUV</v>
      </c>
      <c r="D273" s="2">
        <f>IFERROR(__xludf.DUMMYFUNCTION("""COMPUTED_VALUE"""),0.0)</f>
        <v>0</v>
      </c>
      <c r="E273" s="2">
        <f>IFERROR(__xludf.DUMMYFUNCTION("""COMPUTED_VALUE"""),0.0)</f>
        <v>0</v>
      </c>
      <c r="F273" s="4">
        <f>IFERROR(__xludf.DUMMYFUNCTION("""COMPUTED_VALUE"""),0.0)</f>
        <v>0</v>
      </c>
      <c r="G273" s="4">
        <f>IFERROR(__xludf.DUMMYFUNCTION("""COMPUTED_VALUE"""),0.0)</f>
        <v>0</v>
      </c>
      <c r="H273" s="9">
        <f>IFERROR(__xludf.DUMMYFUNCTION("""COMPUTED_VALUE"""),1.32264)</f>
        <v>1.32264</v>
      </c>
      <c r="I273" s="4">
        <f>IFERROR(__xludf.DUMMYFUNCTION("""COMPUTED_VALUE"""),0.0)</f>
        <v>0</v>
      </c>
      <c r="J273" s="4">
        <f>IFERROR(__xludf.DUMMYFUNCTION("""COMPUTED_VALUE"""),68474.30866666666)</f>
        <v>68474.30867</v>
      </c>
      <c r="K273" s="4">
        <f>IFERROR(__xludf.DUMMYFUNCTION("""COMPUTED_VALUE"""),68474.30866666666)</f>
        <v>68474.30867</v>
      </c>
    </row>
    <row r="274" ht="22.5" customHeight="1">
      <c r="A274" s="2" t="str">
        <f>IFERROR(__xludf.DUMMYFUNCTION("""COMPUTED_VALUE"""),"L2")</f>
        <v>L2</v>
      </c>
      <c r="B274" s="2" t="str">
        <f>IFERROR(__xludf.DUMMYFUNCTION("""COMPUTED_VALUE"""),"2026-09")</f>
        <v>2026-09</v>
      </c>
      <c r="C274" s="2" t="str">
        <f>IFERROR(__xludf.DUMMYFUNCTION("""COMPUTED_VALUE"""),"CYL-SUV")</f>
        <v>CYL-SUV</v>
      </c>
      <c r="D274" s="2">
        <f>IFERROR(__xludf.DUMMYFUNCTION("""COMPUTED_VALUE"""),0.0)</f>
        <v>0</v>
      </c>
      <c r="E274" s="2">
        <f>IFERROR(__xludf.DUMMYFUNCTION("""COMPUTED_VALUE"""),0.0)</f>
        <v>0</v>
      </c>
      <c r="F274" s="4">
        <f>IFERROR(__xludf.DUMMYFUNCTION("""COMPUTED_VALUE"""),0.0)</f>
        <v>0</v>
      </c>
      <c r="G274" s="4">
        <f>IFERROR(__xludf.DUMMYFUNCTION("""COMPUTED_VALUE"""),0.0)</f>
        <v>0</v>
      </c>
      <c r="H274" s="9">
        <f>IFERROR(__xludf.DUMMYFUNCTION("""COMPUTED_VALUE"""),1.32264)</f>
        <v>1.32264</v>
      </c>
      <c r="I274" s="4">
        <f>IFERROR(__xludf.DUMMYFUNCTION("""COMPUTED_VALUE"""),0.0)</f>
        <v>0</v>
      </c>
      <c r="J274" s="4">
        <f>IFERROR(__xludf.DUMMYFUNCTION("""COMPUTED_VALUE"""),68474.30866666666)</f>
        <v>68474.30867</v>
      </c>
      <c r="K274" s="4">
        <f>IFERROR(__xludf.DUMMYFUNCTION("""COMPUTED_VALUE"""),68474.30866666666)</f>
        <v>68474.30867</v>
      </c>
    </row>
    <row r="275" ht="22.5" customHeight="1">
      <c r="A275" s="2" t="str">
        <f>IFERROR(__xludf.DUMMYFUNCTION("""COMPUTED_VALUE"""),"L2")</f>
        <v>L2</v>
      </c>
      <c r="B275" s="2" t="str">
        <f>IFERROR(__xludf.DUMMYFUNCTION("""COMPUTED_VALUE"""),"2026-10")</f>
        <v>2026-10</v>
      </c>
      <c r="C275" s="2" t="str">
        <f>IFERROR(__xludf.DUMMYFUNCTION("""COMPUTED_VALUE"""),"CYL-SUV")</f>
        <v>CYL-SUV</v>
      </c>
      <c r="D275" s="2">
        <f>IFERROR(__xludf.DUMMYFUNCTION("""COMPUTED_VALUE"""),0.0)</f>
        <v>0</v>
      </c>
      <c r="E275" s="2">
        <f>IFERROR(__xludf.DUMMYFUNCTION("""COMPUTED_VALUE"""),0.0)</f>
        <v>0</v>
      </c>
      <c r="F275" s="4">
        <f>IFERROR(__xludf.DUMMYFUNCTION("""COMPUTED_VALUE"""),0.0)</f>
        <v>0</v>
      </c>
      <c r="G275" s="4">
        <f>IFERROR(__xludf.DUMMYFUNCTION("""COMPUTED_VALUE"""),0.0)</f>
        <v>0</v>
      </c>
      <c r="H275" s="9">
        <f>IFERROR(__xludf.DUMMYFUNCTION("""COMPUTED_VALUE"""),1.32264)</f>
        <v>1.32264</v>
      </c>
      <c r="I275" s="4">
        <f>IFERROR(__xludf.DUMMYFUNCTION("""COMPUTED_VALUE"""),0.0)</f>
        <v>0</v>
      </c>
      <c r="J275" s="4">
        <f>IFERROR(__xludf.DUMMYFUNCTION("""COMPUTED_VALUE"""),68474.30866666666)</f>
        <v>68474.30867</v>
      </c>
      <c r="K275" s="4">
        <f>IFERROR(__xludf.DUMMYFUNCTION("""COMPUTED_VALUE"""),68474.30866666666)</f>
        <v>68474.30867</v>
      </c>
    </row>
    <row r="276" ht="22.5" customHeight="1">
      <c r="A276" s="2" t="str">
        <f>IFERROR(__xludf.DUMMYFUNCTION("""COMPUTED_VALUE"""),"L2")</f>
        <v>L2</v>
      </c>
      <c r="B276" s="2" t="str">
        <f>IFERROR(__xludf.DUMMYFUNCTION("""COMPUTED_VALUE"""),"2026-11")</f>
        <v>2026-11</v>
      </c>
      <c r="C276" s="2" t="str">
        <f>IFERROR(__xludf.DUMMYFUNCTION("""COMPUTED_VALUE"""),"CYL-SUV")</f>
        <v>CYL-SUV</v>
      </c>
      <c r="D276" s="2">
        <f>IFERROR(__xludf.DUMMYFUNCTION("""COMPUTED_VALUE"""),0.0)</f>
        <v>0</v>
      </c>
      <c r="E276" s="2">
        <f>IFERROR(__xludf.DUMMYFUNCTION("""COMPUTED_VALUE"""),0.0)</f>
        <v>0</v>
      </c>
      <c r="F276" s="4">
        <f>IFERROR(__xludf.DUMMYFUNCTION("""COMPUTED_VALUE"""),0.0)</f>
        <v>0</v>
      </c>
      <c r="G276" s="4">
        <f>IFERROR(__xludf.DUMMYFUNCTION("""COMPUTED_VALUE"""),0.0)</f>
        <v>0</v>
      </c>
      <c r="H276" s="9">
        <f>IFERROR(__xludf.DUMMYFUNCTION("""COMPUTED_VALUE"""),1.32264)</f>
        <v>1.32264</v>
      </c>
      <c r="I276" s="4">
        <f>IFERROR(__xludf.DUMMYFUNCTION("""COMPUTED_VALUE"""),0.0)</f>
        <v>0</v>
      </c>
      <c r="J276" s="4">
        <f>IFERROR(__xludf.DUMMYFUNCTION("""COMPUTED_VALUE"""),68474.30866666666)</f>
        <v>68474.30867</v>
      </c>
      <c r="K276" s="4">
        <f>IFERROR(__xludf.DUMMYFUNCTION("""COMPUTED_VALUE"""),68474.30866666666)</f>
        <v>68474.30867</v>
      </c>
    </row>
    <row r="277" ht="22.5" customHeight="1">
      <c r="A277" s="2" t="str">
        <f>IFERROR(__xludf.DUMMYFUNCTION("""COMPUTED_VALUE"""),"L2")</f>
        <v>L2</v>
      </c>
      <c r="B277" s="2" t="str">
        <f>IFERROR(__xludf.DUMMYFUNCTION("""COMPUTED_VALUE"""),"2026-12")</f>
        <v>2026-12</v>
      </c>
      <c r="C277" s="2" t="str">
        <f>IFERROR(__xludf.DUMMYFUNCTION("""COMPUTED_VALUE"""),"CYL-SUV")</f>
        <v>CYL-SUV</v>
      </c>
      <c r="D277" s="2">
        <f>IFERROR(__xludf.DUMMYFUNCTION("""COMPUTED_VALUE"""),0.0)</f>
        <v>0</v>
      </c>
      <c r="E277" s="2">
        <f>IFERROR(__xludf.DUMMYFUNCTION("""COMPUTED_VALUE"""),0.0)</f>
        <v>0</v>
      </c>
      <c r="F277" s="4">
        <f>IFERROR(__xludf.DUMMYFUNCTION("""COMPUTED_VALUE"""),0.0)</f>
        <v>0</v>
      </c>
      <c r="G277" s="4">
        <f>IFERROR(__xludf.DUMMYFUNCTION("""COMPUTED_VALUE"""),0.0)</f>
        <v>0</v>
      </c>
      <c r="H277" s="9">
        <f>IFERROR(__xludf.DUMMYFUNCTION("""COMPUTED_VALUE"""),1.32264)</f>
        <v>1.32264</v>
      </c>
      <c r="I277" s="4">
        <f>IFERROR(__xludf.DUMMYFUNCTION("""COMPUTED_VALUE"""),0.0)</f>
        <v>0</v>
      </c>
      <c r="J277" s="4">
        <f>IFERROR(__xludf.DUMMYFUNCTION("""COMPUTED_VALUE"""),68474.30866666666)</f>
        <v>68474.30867</v>
      </c>
      <c r="K277" s="4">
        <f>IFERROR(__xludf.DUMMYFUNCTION("""COMPUTED_VALUE"""),68474.30866666666)</f>
        <v>68474.30867</v>
      </c>
    </row>
    <row r="278" ht="22.5" customHeight="1">
      <c r="A278" s="2" t="str">
        <f>IFERROR(__xludf.DUMMYFUNCTION("""COMPUTED_VALUE"""),"L2")</f>
        <v>L2</v>
      </c>
      <c r="B278" s="2" t="str">
        <f>IFERROR(__xludf.DUMMYFUNCTION("""COMPUTED_VALUE"""),"2026-01")</f>
        <v>2026-01</v>
      </c>
      <c r="C278" s="2" t="str">
        <f>IFERROR(__xludf.DUMMYFUNCTION("""COMPUTED_VALUE"""),"CYL-SUV - LX")</f>
        <v>CYL-SUV - LX</v>
      </c>
      <c r="D278" s="2">
        <f>IFERROR(__xludf.DUMMYFUNCTION("""COMPUTED_VALUE"""),0.0)</f>
        <v>0</v>
      </c>
      <c r="E278" s="2">
        <f>IFERROR(__xludf.DUMMYFUNCTION("""COMPUTED_VALUE"""),0.0)</f>
        <v>0</v>
      </c>
      <c r="F278" s="4">
        <f>IFERROR(__xludf.DUMMYFUNCTION("""COMPUTED_VALUE"""),0.0)</f>
        <v>0</v>
      </c>
      <c r="G278" s="4">
        <f>IFERROR(__xludf.DUMMYFUNCTION("""COMPUTED_VALUE"""),0.0)</f>
        <v>0</v>
      </c>
      <c r="H278" s="9">
        <f>IFERROR(__xludf.DUMMYFUNCTION("""COMPUTED_VALUE"""),1.32264)</f>
        <v>1.32264</v>
      </c>
      <c r="I278" s="4">
        <f>IFERROR(__xludf.DUMMYFUNCTION("""COMPUTED_VALUE"""),0.0)</f>
        <v>0</v>
      </c>
      <c r="J278" s="4">
        <f>IFERROR(__xludf.DUMMYFUNCTION("""COMPUTED_VALUE"""),72097.98749999999)</f>
        <v>72097.9875</v>
      </c>
      <c r="K278" s="4">
        <f>IFERROR(__xludf.DUMMYFUNCTION("""COMPUTED_VALUE"""),72097.98749999999)</f>
        <v>72097.9875</v>
      </c>
    </row>
    <row r="279" ht="22.5" customHeight="1">
      <c r="A279" s="2" t="str">
        <f>IFERROR(__xludf.DUMMYFUNCTION("""COMPUTED_VALUE"""),"L2")</f>
        <v>L2</v>
      </c>
      <c r="B279" s="2" t="str">
        <f>IFERROR(__xludf.DUMMYFUNCTION("""COMPUTED_VALUE"""),"2026-02")</f>
        <v>2026-02</v>
      </c>
      <c r="C279" s="2" t="str">
        <f>IFERROR(__xludf.DUMMYFUNCTION("""COMPUTED_VALUE"""),"CYL-SUV - LX")</f>
        <v>CYL-SUV - LX</v>
      </c>
      <c r="D279" s="2">
        <f>IFERROR(__xludf.DUMMYFUNCTION("""COMPUTED_VALUE"""),0.0)</f>
        <v>0</v>
      </c>
      <c r="E279" s="2">
        <f>IFERROR(__xludf.DUMMYFUNCTION("""COMPUTED_VALUE"""),0.0)</f>
        <v>0</v>
      </c>
      <c r="F279" s="4">
        <f>IFERROR(__xludf.DUMMYFUNCTION("""COMPUTED_VALUE"""),0.0)</f>
        <v>0</v>
      </c>
      <c r="G279" s="4">
        <f>IFERROR(__xludf.DUMMYFUNCTION("""COMPUTED_VALUE"""),0.0)</f>
        <v>0</v>
      </c>
      <c r="H279" s="9">
        <f>IFERROR(__xludf.DUMMYFUNCTION("""COMPUTED_VALUE"""),1.32264)</f>
        <v>1.32264</v>
      </c>
      <c r="I279" s="4">
        <f>IFERROR(__xludf.DUMMYFUNCTION("""COMPUTED_VALUE"""),0.0)</f>
        <v>0</v>
      </c>
      <c r="J279" s="4">
        <f>IFERROR(__xludf.DUMMYFUNCTION("""COMPUTED_VALUE"""),71976.7125)</f>
        <v>71976.7125</v>
      </c>
      <c r="K279" s="4">
        <f>IFERROR(__xludf.DUMMYFUNCTION("""COMPUTED_VALUE"""),71976.7125)</f>
        <v>71976.7125</v>
      </c>
    </row>
    <row r="280" ht="22.5" customHeight="1">
      <c r="A280" s="2" t="str">
        <f>IFERROR(__xludf.DUMMYFUNCTION("""COMPUTED_VALUE"""),"L2")</f>
        <v>L2</v>
      </c>
      <c r="B280" s="2" t="str">
        <f>IFERROR(__xludf.DUMMYFUNCTION("""COMPUTED_VALUE"""),"2026-03")</f>
        <v>2026-03</v>
      </c>
      <c r="C280" s="2" t="str">
        <f>IFERROR(__xludf.DUMMYFUNCTION("""COMPUTED_VALUE"""),"CYL-SUV - LX")</f>
        <v>CYL-SUV - LX</v>
      </c>
      <c r="D280" s="2">
        <f>IFERROR(__xludf.DUMMYFUNCTION("""COMPUTED_VALUE"""),0.0)</f>
        <v>0</v>
      </c>
      <c r="E280" s="2">
        <f>IFERROR(__xludf.DUMMYFUNCTION("""COMPUTED_VALUE"""),0.0)</f>
        <v>0</v>
      </c>
      <c r="F280" s="4">
        <f>IFERROR(__xludf.DUMMYFUNCTION("""COMPUTED_VALUE"""),0.0)</f>
        <v>0</v>
      </c>
      <c r="G280" s="4">
        <f>IFERROR(__xludf.DUMMYFUNCTION("""COMPUTED_VALUE"""),0.0)</f>
        <v>0</v>
      </c>
      <c r="H280" s="9">
        <f>IFERROR(__xludf.DUMMYFUNCTION("""COMPUTED_VALUE"""),1.32264)</f>
        <v>1.32264</v>
      </c>
      <c r="I280" s="4">
        <f>IFERROR(__xludf.DUMMYFUNCTION("""COMPUTED_VALUE"""),0.0)</f>
        <v>0</v>
      </c>
      <c r="J280" s="4">
        <f>IFERROR(__xludf.DUMMYFUNCTION("""COMPUTED_VALUE"""),71976.7125)</f>
        <v>71976.7125</v>
      </c>
      <c r="K280" s="4">
        <f>IFERROR(__xludf.DUMMYFUNCTION("""COMPUTED_VALUE"""),71976.7125)</f>
        <v>71976.7125</v>
      </c>
    </row>
    <row r="281" ht="22.5" customHeight="1">
      <c r="A281" s="2" t="str">
        <f>IFERROR(__xludf.DUMMYFUNCTION("""COMPUTED_VALUE"""),"L2")</f>
        <v>L2</v>
      </c>
      <c r="B281" s="2" t="str">
        <f>IFERROR(__xludf.DUMMYFUNCTION("""COMPUTED_VALUE"""),"2026-04")</f>
        <v>2026-04</v>
      </c>
      <c r="C281" s="2" t="str">
        <f>IFERROR(__xludf.DUMMYFUNCTION("""COMPUTED_VALUE"""),"CYL-SUV - LX")</f>
        <v>CYL-SUV - LX</v>
      </c>
      <c r="D281" s="2">
        <f>IFERROR(__xludf.DUMMYFUNCTION("""COMPUTED_VALUE"""),0.0)</f>
        <v>0</v>
      </c>
      <c r="E281" s="2">
        <f>IFERROR(__xludf.DUMMYFUNCTION("""COMPUTED_VALUE"""),0.0)</f>
        <v>0</v>
      </c>
      <c r="F281" s="4">
        <f>IFERROR(__xludf.DUMMYFUNCTION("""COMPUTED_VALUE"""),0.0)</f>
        <v>0</v>
      </c>
      <c r="G281" s="4">
        <f>IFERROR(__xludf.DUMMYFUNCTION("""COMPUTED_VALUE"""),0.0)</f>
        <v>0</v>
      </c>
      <c r="H281" s="9">
        <f>IFERROR(__xludf.DUMMYFUNCTION("""COMPUTED_VALUE"""),1.32264)</f>
        <v>1.32264</v>
      </c>
      <c r="I281" s="4">
        <f>IFERROR(__xludf.DUMMYFUNCTION("""COMPUTED_VALUE"""),0.0)</f>
        <v>0</v>
      </c>
      <c r="J281" s="4">
        <f>IFERROR(__xludf.DUMMYFUNCTION("""COMPUTED_VALUE"""),71976.7125)</f>
        <v>71976.7125</v>
      </c>
      <c r="K281" s="4">
        <f>IFERROR(__xludf.DUMMYFUNCTION("""COMPUTED_VALUE"""),71976.7125)</f>
        <v>71976.7125</v>
      </c>
    </row>
    <row r="282" ht="22.5" customHeight="1">
      <c r="A282" s="2" t="str">
        <f>IFERROR(__xludf.DUMMYFUNCTION("""COMPUTED_VALUE"""),"L2")</f>
        <v>L2</v>
      </c>
      <c r="B282" s="2" t="str">
        <f>IFERROR(__xludf.DUMMYFUNCTION("""COMPUTED_VALUE"""),"2026-05")</f>
        <v>2026-05</v>
      </c>
      <c r="C282" s="2" t="str">
        <f>IFERROR(__xludf.DUMMYFUNCTION("""COMPUTED_VALUE"""),"CYL-SUV - LX")</f>
        <v>CYL-SUV - LX</v>
      </c>
      <c r="D282" s="2">
        <f>IFERROR(__xludf.DUMMYFUNCTION("""COMPUTED_VALUE"""),0.0)</f>
        <v>0</v>
      </c>
      <c r="E282" s="2">
        <f>IFERROR(__xludf.DUMMYFUNCTION("""COMPUTED_VALUE"""),0.0)</f>
        <v>0</v>
      </c>
      <c r="F282" s="4">
        <f>IFERROR(__xludf.DUMMYFUNCTION("""COMPUTED_VALUE"""),0.0)</f>
        <v>0</v>
      </c>
      <c r="G282" s="4">
        <f>IFERROR(__xludf.DUMMYFUNCTION("""COMPUTED_VALUE"""),0.0)</f>
        <v>0</v>
      </c>
      <c r="H282" s="9">
        <f>IFERROR(__xludf.DUMMYFUNCTION("""COMPUTED_VALUE"""),1.32264)</f>
        <v>1.32264</v>
      </c>
      <c r="I282" s="4">
        <f>IFERROR(__xludf.DUMMYFUNCTION("""COMPUTED_VALUE"""),0.0)</f>
        <v>0</v>
      </c>
      <c r="J282" s="4">
        <f>IFERROR(__xludf.DUMMYFUNCTION("""COMPUTED_VALUE"""),71976.7125)</f>
        <v>71976.7125</v>
      </c>
      <c r="K282" s="4">
        <f>IFERROR(__xludf.DUMMYFUNCTION("""COMPUTED_VALUE"""),71976.7125)</f>
        <v>71976.7125</v>
      </c>
    </row>
    <row r="283" ht="22.5" customHeight="1">
      <c r="A283" s="2" t="str">
        <f>IFERROR(__xludf.DUMMYFUNCTION("""COMPUTED_VALUE"""),"L2")</f>
        <v>L2</v>
      </c>
      <c r="B283" s="2" t="str">
        <f>IFERROR(__xludf.DUMMYFUNCTION("""COMPUTED_VALUE"""),"2026-06")</f>
        <v>2026-06</v>
      </c>
      <c r="C283" s="2" t="str">
        <f>IFERROR(__xludf.DUMMYFUNCTION("""COMPUTED_VALUE"""),"CYL-SUV - LX")</f>
        <v>CYL-SUV - LX</v>
      </c>
      <c r="D283" s="2">
        <f>IFERROR(__xludf.DUMMYFUNCTION("""COMPUTED_VALUE"""),0.0)</f>
        <v>0</v>
      </c>
      <c r="E283" s="2">
        <f>IFERROR(__xludf.DUMMYFUNCTION("""COMPUTED_VALUE"""),0.0)</f>
        <v>0</v>
      </c>
      <c r="F283" s="4">
        <f>IFERROR(__xludf.DUMMYFUNCTION("""COMPUTED_VALUE"""),0.0)</f>
        <v>0</v>
      </c>
      <c r="G283" s="4">
        <f>IFERROR(__xludf.DUMMYFUNCTION("""COMPUTED_VALUE"""),0.0)</f>
        <v>0</v>
      </c>
      <c r="H283" s="9">
        <f>IFERROR(__xludf.DUMMYFUNCTION("""COMPUTED_VALUE"""),1.32264)</f>
        <v>1.32264</v>
      </c>
      <c r="I283" s="4">
        <f>IFERROR(__xludf.DUMMYFUNCTION("""COMPUTED_VALUE"""),0.0)</f>
        <v>0</v>
      </c>
      <c r="J283" s="4">
        <f>IFERROR(__xludf.DUMMYFUNCTION("""COMPUTED_VALUE"""),71976.7125)</f>
        <v>71976.7125</v>
      </c>
      <c r="K283" s="4">
        <f>IFERROR(__xludf.DUMMYFUNCTION("""COMPUTED_VALUE"""),71976.7125)</f>
        <v>71976.7125</v>
      </c>
    </row>
    <row r="284" ht="22.5" customHeight="1">
      <c r="A284" s="2" t="str">
        <f>IFERROR(__xludf.DUMMYFUNCTION("""COMPUTED_VALUE"""),"L2")</f>
        <v>L2</v>
      </c>
      <c r="B284" s="2" t="str">
        <f>IFERROR(__xludf.DUMMYFUNCTION("""COMPUTED_VALUE"""),"2026-07")</f>
        <v>2026-07</v>
      </c>
      <c r="C284" s="2" t="str">
        <f>IFERROR(__xludf.DUMMYFUNCTION("""COMPUTED_VALUE"""),"CYL-SUV - LX")</f>
        <v>CYL-SUV - LX</v>
      </c>
      <c r="D284" s="2">
        <f>IFERROR(__xludf.DUMMYFUNCTION("""COMPUTED_VALUE"""),0.0)</f>
        <v>0</v>
      </c>
      <c r="E284" s="2">
        <f>IFERROR(__xludf.DUMMYFUNCTION("""COMPUTED_VALUE"""),0.0)</f>
        <v>0</v>
      </c>
      <c r="F284" s="4">
        <f>IFERROR(__xludf.DUMMYFUNCTION("""COMPUTED_VALUE"""),0.0)</f>
        <v>0</v>
      </c>
      <c r="G284" s="4">
        <f>IFERROR(__xludf.DUMMYFUNCTION("""COMPUTED_VALUE"""),0.0)</f>
        <v>0</v>
      </c>
      <c r="H284" s="9">
        <f>IFERROR(__xludf.DUMMYFUNCTION("""COMPUTED_VALUE"""),1.32264)</f>
        <v>1.32264</v>
      </c>
      <c r="I284" s="4">
        <f>IFERROR(__xludf.DUMMYFUNCTION("""COMPUTED_VALUE"""),0.0)</f>
        <v>0</v>
      </c>
      <c r="J284" s="4">
        <f>IFERROR(__xludf.DUMMYFUNCTION("""COMPUTED_VALUE"""),71976.7125)</f>
        <v>71976.7125</v>
      </c>
      <c r="K284" s="4">
        <f>IFERROR(__xludf.DUMMYFUNCTION("""COMPUTED_VALUE"""),71976.7125)</f>
        <v>71976.7125</v>
      </c>
    </row>
    <row r="285" ht="22.5" customHeight="1">
      <c r="A285" s="2" t="str">
        <f>IFERROR(__xludf.DUMMYFUNCTION("""COMPUTED_VALUE"""),"L2")</f>
        <v>L2</v>
      </c>
      <c r="B285" s="2" t="str">
        <f>IFERROR(__xludf.DUMMYFUNCTION("""COMPUTED_VALUE"""),"2026-08")</f>
        <v>2026-08</v>
      </c>
      <c r="C285" s="2" t="str">
        <f>IFERROR(__xludf.DUMMYFUNCTION("""COMPUTED_VALUE"""),"CYL-SUV - LX")</f>
        <v>CYL-SUV - LX</v>
      </c>
      <c r="D285" s="2">
        <f>IFERROR(__xludf.DUMMYFUNCTION("""COMPUTED_VALUE"""),0.0)</f>
        <v>0</v>
      </c>
      <c r="E285" s="2">
        <f>IFERROR(__xludf.DUMMYFUNCTION("""COMPUTED_VALUE"""),0.0)</f>
        <v>0</v>
      </c>
      <c r="F285" s="4">
        <f>IFERROR(__xludf.DUMMYFUNCTION("""COMPUTED_VALUE"""),0.0)</f>
        <v>0</v>
      </c>
      <c r="G285" s="4">
        <f>IFERROR(__xludf.DUMMYFUNCTION("""COMPUTED_VALUE"""),0.0)</f>
        <v>0</v>
      </c>
      <c r="H285" s="9">
        <f>IFERROR(__xludf.DUMMYFUNCTION("""COMPUTED_VALUE"""),1.32264)</f>
        <v>1.32264</v>
      </c>
      <c r="I285" s="4">
        <f>IFERROR(__xludf.DUMMYFUNCTION("""COMPUTED_VALUE"""),0.0)</f>
        <v>0</v>
      </c>
      <c r="J285" s="4">
        <f>IFERROR(__xludf.DUMMYFUNCTION("""COMPUTED_VALUE"""),71976.7125)</f>
        <v>71976.7125</v>
      </c>
      <c r="K285" s="4">
        <f>IFERROR(__xludf.DUMMYFUNCTION("""COMPUTED_VALUE"""),71976.7125)</f>
        <v>71976.7125</v>
      </c>
    </row>
    <row r="286" ht="22.5" customHeight="1">
      <c r="A286" s="2" t="str">
        <f>IFERROR(__xludf.DUMMYFUNCTION("""COMPUTED_VALUE"""),"L2")</f>
        <v>L2</v>
      </c>
      <c r="B286" s="2" t="str">
        <f>IFERROR(__xludf.DUMMYFUNCTION("""COMPUTED_VALUE"""),"2026-09")</f>
        <v>2026-09</v>
      </c>
      <c r="C286" s="2" t="str">
        <f>IFERROR(__xludf.DUMMYFUNCTION("""COMPUTED_VALUE"""),"CYL-SUV - LX")</f>
        <v>CYL-SUV - LX</v>
      </c>
      <c r="D286" s="2">
        <f>IFERROR(__xludf.DUMMYFUNCTION("""COMPUTED_VALUE"""),0.0)</f>
        <v>0</v>
      </c>
      <c r="E286" s="2">
        <f>IFERROR(__xludf.DUMMYFUNCTION("""COMPUTED_VALUE"""),0.0)</f>
        <v>0</v>
      </c>
      <c r="F286" s="4">
        <f>IFERROR(__xludf.DUMMYFUNCTION("""COMPUTED_VALUE"""),0.0)</f>
        <v>0</v>
      </c>
      <c r="G286" s="4">
        <f>IFERROR(__xludf.DUMMYFUNCTION("""COMPUTED_VALUE"""),0.0)</f>
        <v>0</v>
      </c>
      <c r="H286" s="9">
        <f>IFERROR(__xludf.DUMMYFUNCTION("""COMPUTED_VALUE"""),1.32264)</f>
        <v>1.32264</v>
      </c>
      <c r="I286" s="4">
        <f>IFERROR(__xludf.DUMMYFUNCTION("""COMPUTED_VALUE"""),0.0)</f>
        <v>0</v>
      </c>
      <c r="J286" s="4">
        <f>IFERROR(__xludf.DUMMYFUNCTION("""COMPUTED_VALUE"""),71976.7125)</f>
        <v>71976.7125</v>
      </c>
      <c r="K286" s="4">
        <f>IFERROR(__xludf.DUMMYFUNCTION("""COMPUTED_VALUE"""),71976.7125)</f>
        <v>71976.7125</v>
      </c>
    </row>
    <row r="287" ht="22.5" customHeight="1">
      <c r="A287" s="2" t="str">
        <f>IFERROR(__xludf.DUMMYFUNCTION("""COMPUTED_VALUE"""),"L2")</f>
        <v>L2</v>
      </c>
      <c r="B287" s="2" t="str">
        <f>IFERROR(__xludf.DUMMYFUNCTION("""COMPUTED_VALUE"""),"2026-10")</f>
        <v>2026-10</v>
      </c>
      <c r="C287" s="2" t="str">
        <f>IFERROR(__xludf.DUMMYFUNCTION("""COMPUTED_VALUE"""),"CYL-SUV - LX")</f>
        <v>CYL-SUV - LX</v>
      </c>
      <c r="D287" s="2">
        <f>IFERROR(__xludf.DUMMYFUNCTION("""COMPUTED_VALUE"""),0.0)</f>
        <v>0</v>
      </c>
      <c r="E287" s="2">
        <f>IFERROR(__xludf.DUMMYFUNCTION("""COMPUTED_VALUE"""),0.0)</f>
        <v>0</v>
      </c>
      <c r="F287" s="4">
        <f>IFERROR(__xludf.DUMMYFUNCTION("""COMPUTED_VALUE"""),0.0)</f>
        <v>0</v>
      </c>
      <c r="G287" s="4">
        <f>IFERROR(__xludf.DUMMYFUNCTION("""COMPUTED_VALUE"""),0.0)</f>
        <v>0</v>
      </c>
      <c r="H287" s="9">
        <f>IFERROR(__xludf.DUMMYFUNCTION("""COMPUTED_VALUE"""),1.32264)</f>
        <v>1.32264</v>
      </c>
      <c r="I287" s="4">
        <f>IFERROR(__xludf.DUMMYFUNCTION("""COMPUTED_VALUE"""),0.0)</f>
        <v>0</v>
      </c>
      <c r="J287" s="4">
        <f>IFERROR(__xludf.DUMMYFUNCTION("""COMPUTED_VALUE"""),71976.7125)</f>
        <v>71976.7125</v>
      </c>
      <c r="K287" s="4">
        <f>IFERROR(__xludf.DUMMYFUNCTION("""COMPUTED_VALUE"""),71976.7125)</f>
        <v>71976.7125</v>
      </c>
    </row>
    <row r="288" ht="22.5" customHeight="1">
      <c r="A288" s="2" t="str">
        <f>IFERROR(__xludf.DUMMYFUNCTION("""COMPUTED_VALUE"""),"L2")</f>
        <v>L2</v>
      </c>
      <c r="B288" s="2" t="str">
        <f>IFERROR(__xludf.DUMMYFUNCTION("""COMPUTED_VALUE"""),"2026-11")</f>
        <v>2026-11</v>
      </c>
      <c r="C288" s="2" t="str">
        <f>IFERROR(__xludf.DUMMYFUNCTION("""COMPUTED_VALUE"""),"CYL-SUV - LX")</f>
        <v>CYL-SUV - LX</v>
      </c>
      <c r="D288" s="2">
        <f>IFERROR(__xludf.DUMMYFUNCTION("""COMPUTED_VALUE"""),0.0)</f>
        <v>0</v>
      </c>
      <c r="E288" s="2">
        <f>IFERROR(__xludf.DUMMYFUNCTION("""COMPUTED_VALUE"""),0.0)</f>
        <v>0</v>
      </c>
      <c r="F288" s="4">
        <f>IFERROR(__xludf.DUMMYFUNCTION("""COMPUTED_VALUE"""),0.0)</f>
        <v>0</v>
      </c>
      <c r="G288" s="4">
        <f>IFERROR(__xludf.DUMMYFUNCTION("""COMPUTED_VALUE"""),0.0)</f>
        <v>0</v>
      </c>
      <c r="H288" s="9">
        <f>IFERROR(__xludf.DUMMYFUNCTION("""COMPUTED_VALUE"""),1.32264)</f>
        <v>1.32264</v>
      </c>
      <c r="I288" s="4">
        <f>IFERROR(__xludf.DUMMYFUNCTION("""COMPUTED_VALUE"""),0.0)</f>
        <v>0</v>
      </c>
      <c r="J288" s="4">
        <f>IFERROR(__xludf.DUMMYFUNCTION("""COMPUTED_VALUE"""),71976.7125)</f>
        <v>71976.7125</v>
      </c>
      <c r="K288" s="4">
        <f>IFERROR(__xludf.DUMMYFUNCTION("""COMPUTED_VALUE"""),71976.7125)</f>
        <v>71976.7125</v>
      </c>
    </row>
    <row r="289" ht="22.5" customHeight="1">
      <c r="A289" s="2" t="str">
        <f>IFERROR(__xludf.DUMMYFUNCTION("""COMPUTED_VALUE"""),"L2")</f>
        <v>L2</v>
      </c>
      <c r="B289" s="2" t="str">
        <f>IFERROR(__xludf.DUMMYFUNCTION("""COMPUTED_VALUE"""),"2026-12")</f>
        <v>2026-12</v>
      </c>
      <c r="C289" s="2" t="str">
        <f>IFERROR(__xludf.DUMMYFUNCTION("""COMPUTED_VALUE"""),"CYL-SUV - LX")</f>
        <v>CYL-SUV - LX</v>
      </c>
      <c r="D289" s="2">
        <f>IFERROR(__xludf.DUMMYFUNCTION("""COMPUTED_VALUE"""),0.0)</f>
        <v>0</v>
      </c>
      <c r="E289" s="2">
        <f>IFERROR(__xludf.DUMMYFUNCTION("""COMPUTED_VALUE"""),0.0)</f>
        <v>0</v>
      </c>
      <c r="F289" s="4">
        <f>IFERROR(__xludf.DUMMYFUNCTION("""COMPUTED_VALUE"""),0.0)</f>
        <v>0</v>
      </c>
      <c r="G289" s="4">
        <f>IFERROR(__xludf.DUMMYFUNCTION("""COMPUTED_VALUE"""),0.0)</f>
        <v>0</v>
      </c>
      <c r="H289" s="9">
        <f>IFERROR(__xludf.DUMMYFUNCTION("""COMPUTED_VALUE"""),1.32264)</f>
        <v>1.32264</v>
      </c>
      <c r="I289" s="4">
        <f>IFERROR(__xludf.DUMMYFUNCTION("""COMPUTED_VALUE"""),0.0)</f>
        <v>0</v>
      </c>
      <c r="J289" s="4">
        <f>IFERROR(__xludf.DUMMYFUNCTION("""COMPUTED_VALUE"""),71976.7125)</f>
        <v>71976.7125</v>
      </c>
      <c r="K289" s="4">
        <f>IFERROR(__xludf.DUMMYFUNCTION("""COMPUTED_VALUE"""),71976.7125)</f>
        <v>71976.7125</v>
      </c>
    </row>
    <row r="290" ht="22.5" customHeight="1">
      <c r="A290" s="2" t="str">
        <f>IFERROR(__xludf.DUMMYFUNCTION("""COMPUTED_VALUE"""),"L2")</f>
        <v>L2</v>
      </c>
      <c r="B290" s="2" t="str">
        <f>IFERROR(__xludf.DUMMYFUNCTION("""COMPUTED_VALUE"""),"2026-01")</f>
        <v>2026-01</v>
      </c>
      <c r="C290" s="2" t="str">
        <f>IFERROR(__xludf.DUMMYFUNCTION("""COMPUTED_VALUE"""),"DOOR-SD")</f>
        <v>DOOR-SD</v>
      </c>
      <c r="D290" s="2">
        <f>IFERROR(__xludf.DUMMYFUNCTION("""COMPUTED_VALUE"""),2536.0)</f>
        <v>2536</v>
      </c>
      <c r="E290" s="2">
        <f>IFERROR(__xludf.DUMMYFUNCTION("""COMPUTED_VALUE"""),51.0)</f>
        <v>51</v>
      </c>
      <c r="F290" s="4">
        <f>IFERROR(__xludf.DUMMYFUNCTION("""COMPUTED_VALUE"""),1684664.7999999998)</f>
        <v>1684664.8</v>
      </c>
      <c r="G290" s="4">
        <f>IFERROR(__xludf.DUMMYFUNCTION("""COMPUTED_VALUE"""),161772.0)</f>
        <v>161772</v>
      </c>
      <c r="H290" s="9">
        <f>IFERROR(__xludf.DUMMYFUNCTION("""COMPUTED_VALUE"""),1.32264)</f>
        <v>1.32264</v>
      </c>
      <c r="I290" s="4">
        <f>IFERROR(__xludf.DUMMYFUNCTION("""COMPUTED_VALUE"""),2442171.169152)</f>
        <v>2442171.169</v>
      </c>
      <c r="J290" s="4">
        <f>IFERROR(__xludf.DUMMYFUNCTION("""COMPUTED_VALUE"""),0.0)</f>
        <v>0</v>
      </c>
      <c r="K290" s="4">
        <f>IFERROR(__xludf.DUMMYFUNCTION("""COMPUTED_VALUE"""),2442171.169152)</f>
        <v>2442171.169</v>
      </c>
    </row>
    <row r="291" ht="22.5" customHeight="1">
      <c r="A291" s="2" t="str">
        <f>IFERROR(__xludf.DUMMYFUNCTION("""COMPUTED_VALUE"""),"L2")</f>
        <v>L2</v>
      </c>
      <c r="B291" s="2" t="str">
        <f>IFERROR(__xludf.DUMMYFUNCTION("""COMPUTED_VALUE"""),"2026-02")</f>
        <v>2026-02</v>
      </c>
      <c r="C291" s="2" t="str">
        <f>IFERROR(__xludf.DUMMYFUNCTION("""COMPUTED_VALUE"""),"DOOR-SD")</f>
        <v>DOOR-SD</v>
      </c>
      <c r="D291" s="2">
        <f>IFERROR(__xludf.DUMMYFUNCTION("""COMPUTED_VALUE"""),3950.0)</f>
        <v>3950</v>
      </c>
      <c r="E291" s="2">
        <f>IFERROR(__xludf.DUMMYFUNCTION("""COMPUTED_VALUE"""),79.0)</f>
        <v>79</v>
      </c>
      <c r="F291" s="4">
        <f>IFERROR(__xludf.DUMMYFUNCTION("""COMPUTED_VALUE"""),2623985.0)</f>
        <v>2623985</v>
      </c>
      <c r="G291" s="4">
        <f>IFERROR(__xludf.DUMMYFUNCTION("""COMPUTED_VALUE"""),255091.0)</f>
        <v>255091</v>
      </c>
      <c r="H291" s="9">
        <f>IFERROR(__xludf.DUMMYFUNCTION("""COMPUTED_VALUE"""),1.32264)</f>
        <v>1.32264</v>
      </c>
      <c r="I291" s="4">
        <f>IFERROR(__xludf.DUMMYFUNCTION("""COMPUTED_VALUE"""),3807981.0806400003)</f>
        <v>3807981.081</v>
      </c>
      <c r="J291" s="4">
        <f>IFERROR(__xludf.DUMMYFUNCTION("""COMPUTED_VALUE"""),0.0)</f>
        <v>0</v>
      </c>
      <c r="K291" s="4">
        <f>IFERROR(__xludf.DUMMYFUNCTION("""COMPUTED_VALUE"""),3807981.0806400003)</f>
        <v>3807981.081</v>
      </c>
    </row>
    <row r="292" ht="22.5" customHeight="1">
      <c r="A292" s="2" t="str">
        <f>IFERROR(__xludf.DUMMYFUNCTION("""COMPUTED_VALUE"""),"L2")</f>
        <v>L2</v>
      </c>
      <c r="B292" s="2" t="str">
        <f>IFERROR(__xludf.DUMMYFUNCTION("""COMPUTED_VALUE"""),"2026-03")</f>
        <v>2026-03</v>
      </c>
      <c r="C292" s="2" t="str">
        <f>IFERROR(__xludf.DUMMYFUNCTION("""COMPUTED_VALUE"""),"DOOR-SD")</f>
        <v>DOOR-SD</v>
      </c>
      <c r="D292" s="2">
        <f>IFERROR(__xludf.DUMMYFUNCTION("""COMPUTED_VALUE"""),0.0)</f>
        <v>0</v>
      </c>
      <c r="E292" s="2">
        <f>IFERROR(__xludf.DUMMYFUNCTION("""COMPUTED_VALUE"""),0.0)</f>
        <v>0</v>
      </c>
      <c r="F292" s="4">
        <f>IFERROR(__xludf.DUMMYFUNCTION("""COMPUTED_VALUE"""),0.0)</f>
        <v>0</v>
      </c>
      <c r="G292" s="4">
        <f>IFERROR(__xludf.DUMMYFUNCTION("""COMPUTED_VALUE"""),0.0)</f>
        <v>0</v>
      </c>
      <c r="H292" s="9">
        <f>IFERROR(__xludf.DUMMYFUNCTION("""COMPUTED_VALUE"""),1.32264)</f>
        <v>1.32264</v>
      </c>
      <c r="I292" s="4">
        <f>IFERROR(__xludf.DUMMYFUNCTION("""COMPUTED_VALUE"""),0.0)</f>
        <v>0</v>
      </c>
      <c r="J292" s="4">
        <f>IFERROR(__xludf.DUMMYFUNCTION("""COMPUTED_VALUE"""),0.0)</f>
        <v>0</v>
      </c>
      <c r="K292" s="4">
        <f>IFERROR(__xludf.DUMMYFUNCTION("""COMPUTED_VALUE"""),0.0)</f>
        <v>0</v>
      </c>
    </row>
    <row r="293" ht="22.5" customHeight="1">
      <c r="A293" s="2" t="str">
        <f>IFERROR(__xludf.DUMMYFUNCTION("""COMPUTED_VALUE"""),"L2")</f>
        <v>L2</v>
      </c>
      <c r="B293" s="2" t="str">
        <f>IFERROR(__xludf.DUMMYFUNCTION("""COMPUTED_VALUE"""),"2026-04")</f>
        <v>2026-04</v>
      </c>
      <c r="C293" s="2" t="str">
        <f>IFERROR(__xludf.DUMMYFUNCTION("""COMPUTED_VALUE"""),"DOOR-SD")</f>
        <v>DOOR-SD</v>
      </c>
      <c r="D293" s="2">
        <f>IFERROR(__xludf.DUMMYFUNCTION("""COMPUTED_VALUE"""),0.0)</f>
        <v>0</v>
      </c>
      <c r="E293" s="2">
        <f>IFERROR(__xludf.DUMMYFUNCTION("""COMPUTED_VALUE"""),0.0)</f>
        <v>0</v>
      </c>
      <c r="F293" s="4">
        <f>IFERROR(__xludf.DUMMYFUNCTION("""COMPUTED_VALUE"""),0.0)</f>
        <v>0</v>
      </c>
      <c r="G293" s="4">
        <f>IFERROR(__xludf.DUMMYFUNCTION("""COMPUTED_VALUE"""),0.0)</f>
        <v>0</v>
      </c>
      <c r="H293" s="9">
        <f>IFERROR(__xludf.DUMMYFUNCTION("""COMPUTED_VALUE"""),1.32264)</f>
        <v>1.32264</v>
      </c>
      <c r="I293" s="4">
        <f>IFERROR(__xludf.DUMMYFUNCTION("""COMPUTED_VALUE"""),0.0)</f>
        <v>0</v>
      </c>
      <c r="J293" s="4">
        <f>IFERROR(__xludf.DUMMYFUNCTION("""COMPUTED_VALUE"""),0.0)</f>
        <v>0</v>
      </c>
      <c r="K293" s="4">
        <f>IFERROR(__xludf.DUMMYFUNCTION("""COMPUTED_VALUE"""),0.0)</f>
        <v>0</v>
      </c>
    </row>
    <row r="294" ht="22.5" customHeight="1">
      <c r="A294" s="2" t="str">
        <f>IFERROR(__xludf.DUMMYFUNCTION("""COMPUTED_VALUE"""),"L2")</f>
        <v>L2</v>
      </c>
      <c r="B294" s="2" t="str">
        <f>IFERROR(__xludf.DUMMYFUNCTION("""COMPUTED_VALUE"""),"2026-05")</f>
        <v>2026-05</v>
      </c>
      <c r="C294" s="2" t="str">
        <f>IFERROR(__xludf.DUMMYFUNCTION("""COMPUTED_VALUE"""),"DOOR-SD")</f>
        <v>DOOR-SD</v>
      </c>
      <c r="D294" s="2">
        <f>IFERROR(__xludf.DUMMYFUNCTION("""COMPUTED_VALUE"""),0.0)</f>
        <v>0</v>
      </c>
      <c r="E294" s="2">
        <f>IFERROR(__xludf.DUMMYFUNCTION("""COMPUTED_VALUE"""),0.0)</f>
        <v>0</v>
      </c>
      <c r="F294" s="4">
        <f>IFERROR(__xludf.DUMMYFUNCTION("""COMPUTED_VALUE"""),0.0)</f>
        <v>0</v>
      </c>
      <c r="G294" s="4">
        <f>IFERROR(__xludf.DUMMYFUNCTION("""COMPUTED_VALUE"""),0.0)</f>
        <v>0</v>
      </c>
      <c r="H294" s="9">
        <f>IFERROR(__xludf.DUMMYFUNCTION("""COMPUTED_VALUE"""),1.32264)</f>
        <v>1.32264</v>
      </c>
      <c r="I294" s="4">
        <f>IFERROR(__xludf.DUMMYFUNCTION("""COMPUTED_VALUE"""),0.0)</f>
        <v>0</v>
      </c>
      <c r="J294" s="4">
        <f>IFERROR(__xludf.DUMMYFUNCTION("""COMPUTED_VALUE"""),0.0)</f>
        <v>0</v>
      </c>
      <c r="K294" s="4">
        <f>IFERROR(__xludf.DUMMYFUNCTION("""COMPUTED_VALUE"""),0.0)</f>
        <v>0</v>
      </c>
    </row>
    <row r="295" ht="22.5" customHeight="1">
      <c r="A295" s="2" t="str">
        <f>IFERROR(__xludf.DUMMYFUNCTION("""COMPUTED_VALUE"""),"L2")</f>
        <v>L2</v>
      </c>
      <c r="B295" s="2" t="str">
        <f>IFERROR(__xludf.DUMMYFUNCTION("""COMPUTED_VALUE"""),"2026-06")</f>
        <v>2026-06</v>
      </c>
      <c r="C295" s="2" t="str">
        <f>IFERROR(__xludf.DUMMYFUNCTION("""COMPUTED_VALUE"""),"DOOR-SD")</f>
        <v>DOOR-SD</v>
      </c>
      <c r="D295" s="2">
        <f>IFERROR(__xludf.DUMMYFUNCTION("""COMPUTED_VALUE"""),0.0)</f>
        <v>0</v>
      </c>
      <c r="E295" s="2">
        <f>IFERROR(__xludf.DUMMYFUNCTION("""COMPUTED_VALUE"""),0.0)</f>
        <v>0</v>
      </c>
      <c r="F295" s="4">
        <f>IFERROR(__xludf.DUMMYFUNCTION("""COMPUTED_VALUE"""),0.0)</f>
        <v>0</v>
      </c>
      <c r="G295" s="4">
        <f>IFERROR(__xludf.DUMMYFUNCTION("""COMPUTED_VALUE"""),0.0)</f>
        <v>0</v>
      </c>
      <c r="H295" s="9">
        <f>IFERROR(__xludf.DUMMYFUNCTION("""COMPUTED_VALUE"""),1.32264)</f>
        <v>1.32264</v>
      </c>
      <c r="I295" s="4">
        <f>IFERROR(__xludf.DUMMYFUNCTION("""COMPUTED_VALUE"""),0.0)</f>
        <v>0</v>
      </c>
      <c r="J295" s="4">
        <f>IFERROR(__xludf.DUMMYFUNCTION("""COMPUTED_VALUE"""),0.0)</f>
        <v>0</v>
      </c>
      <c r="K295" s="4">
        <f>IFERROR(__xludf.DUMMYFUNCTION("""COMPUTED_VALUE"""),0.0)</f>
        <v>0</v>
      </c>
    </row>
    <row r="296" ht="22.5" customHeight="1">
      <c r="A296" s="2" t="str">
        <f>IFERROR(__xludf.DUMMYFUNCTION("""COMPUTED_VALUE"""),"L2")</f>
        <v>L2</v>
      </c>
      <c r="B296" s="2" t="str">
        <f>IFERROR(__xludf.DUMMYFUNCTION("""COMPUTED_VALUE"""),"2026-07")</f>
        <v>2026-07</v>
      </c>
      <c r="C296" s="2" t="str">
        <f>IFERROR(__xludf.DUMMYFUNCTION("""COMPUTED_VALUE"""),"DOOR-SD")</f>
        <v>DOOR-SD</v>
      </c>
      <c r="D296" s="2">
        <f>IFERROR(__xludf.DUMMYFUNCTION("""COMPUTED_VALUE"""),0.0)</f>
        <v>0</v>
      </c>
      <c r="E296" s="2">
        <f>IFERROR(__xludf.DUMMYFUNCTION("""COMPUTED_VALUE"""),0.0)</f>
        <v>0</v>
      </c>
      <c r="F296" s="4">
        <f>IFERROR(__xludf.DUMMYFUNCTION("""COMPUTED_VALUE"""),0.0)</f>
        <v>0</v>
      </c>
      <c r="G296" s="4">
        <f>IFERROR(__xludf.DUMMYFUNCTION("""COMPUTED_VALUE"""),0.0)</f>
        <v>0</v>
      </c>
      <c r="H296" s="9">
        <f>IFERROR(__xludf.DUMMYFUNCTION("""COMPUTED_VALUE"""),1.32264)</f>
        <v>1.32264</v>
      </c>
      <c r="I296" s="4">
        <f>IFERROR(__xludf.DUMMYFUNCTION("""COMPUTED_VALUE"""),0.0)</f>
        <v>0</v>
      </c>
      <c r="J296" s="4">
        <f>IFERROR(__xludf.DUMMYFUNCTION("""COMPUTED_VALUE"""),0.0)</f>
        <v>0</v>
      </c>
      <c r="K296" s="4">
        <f>IFERROR(__xludf.DUMMYFUNCTION("""COMPUTED_VALUE"""),0.0)</f>
        <v>0</v>
      </c>
    </row>
    <row r="297" ht="22.5" customHeight="1">
      <c r="A297" s="2" t="str">
        <f>IFERROR(__xludf.DUMMYFUNCTION("""COMPUTED_VALUE"""),"L2")</f>
        <v>L2</v>
      </c>
      <c r="B297" s="2" t="str">
        <f>IFERROR(__xludf.DUMMYFUNCTION("""COMPUTED_VALUE"""),"2026-08")</f>
        <v>2026-08</v>
      </c>
      <c r="C297" s="2" t="str">
        <f>IFERROR(__xludf.DUMMYFUNCTION("""COMPUTED_VALUE"""),"DOOR-SD")</f>
        <v>DOOR-SD</v>
      </c>
      <c r="D297" s="2">
        <f>IFERROR(__xludf.DUMMYFUNCTION("""COMPUTED_VALUE"""),0.0)</f>
        <v>0</v>
      </c>
      <c r="E297" s="2">
        <f>IFERROR(__xludf.DUMMYFUNCTION("""COMPUTED_VALUE"""),0.0)</f>
        <v>0</v>
      </c>
      <c r="F297" s="4">
        <f>IFERROR(__xludf.DUMMYFUNCTION("""COMPUTED_VALUE"""),0.0)</f>
        <v>0</v>
      </c>
      <c r="G297" s="4">
        <f>IFERROR(__xludf.DUMMYFUNCTION("""COMPUTED_VALUE"""),0.0)</f>
        <v>0</v>
      </c>
      <c r="H297" s="9">
        <f>IFERROR(__xludf.DUMMYFUNCTION("""COMPUTED_VALUE"""),1.32264)</f>
        <v>1.32264</v>
      </c>
      <c r="I297" s="4">
        <f>IFERROR(__xludf.DUMMYFUNCTION("""COMPUTED_VALUE"""),0.0)</f>
        <v>0</v>
      </c>
      <c r="J297" s="4">
        <f>IFERROR(__xludf.DUMMYFUNCTION("""COMPUTED_VALUE"""),0.0)</f>
        <v>0</v>
      </c>
      <c r="K297" s="4">
        <f>IFERROR(__xludf.DUMMYFUNCTION("""COMPUTED_VALUE"""),0.0)</f>
        <v>0</v>
      </c>
    </row>
    <row r="298" ht="22.5" customHeight="1">
      <c r="A298" s="2" t="str">
        <f>IFERROR(__xludf.DUMMYFUNCTION("""COMPUTED_VALUE"""),"L2")</f>
        <v>L2</v>
      </c>
      <c r="B298" s="2" t="str">
        <f>IFERROR(__xludf.DUMMYFUNCTION("""COMPUTED_VALUE"""),"2026-09")</f>
        <v>2026-09</v>
      </c>
      <c r="C298" s="2" t="str">
        <f>IFERROR(__xludf.DUMMYFUNCTION("""COMPUTED_VALUE"""),"DOOR-SD")</f>
        <v>DOOR-SD</v>
      </c>
      <c r="D298" s="2">
        <f>IFERROR(__xludf.DUMMYFUNCTION("""COMPUTED_VALUE"""),0.0)</f>
        <v>0</v>
      </c>
      <c r="E298" s="2">
        <f>IFERROR(__xludf.DUMMYFUNCTION("""COMPUTED_VALUE"""),0.0)</f>
        <v>0</v>
      </c>
      <c r="F298" s="4">
        <f>IFERROR(__xludf.DUMMYFUNCTION("""COMPUTED_VALUE"""),0.0)</f>
        <v>0</v>
      </c>
      <c r="G298" s="4">
        <f>IFERROR(__xludf.DUMMYFUNCTION("""COMPUTED_VALUE"""),0.0)</f>
        <v>0</v>
      </c>
      <c r="H298" s="9">
        <f>IFERROR(__xludf.DUMMYFUNCTION("""COMPUTED_VALUE"""),1.32264)</f>
        <v>1.32264</v>
      </c>
      <c r="I298" s="4">
        <f>IFERROR(__xludf.DUMMYFUNCTION("""COMPUTED_VALUE"""),0.0)</f>
        <v>0</v>
      </c>
      <c r="J298" s="4">
        <f>IFERROR(__xludf.DUMMYFUNCTION("""COMPUTED_VALUE"""),0.0)</f>
        <v>0</v>
      </c>
      <c r="K298" s="4">
        <f>IFERROR(__xludf.DUMMYFUNCTION("""COMPUTED_VALUE"""),0.0)</f>
        <v>0</v>
      </c>
    </row>
    <row r="299" ht="22.5" customHeight="1">
      <c r="A299" s="2" t="str">
        <f>IFERROR(__xludf.DUMMYFUNCTION("""COMPUTED_VALUE"""),"L2")</f>
        <v>L2</v>
      </c>
      <c r="B299" s="2" t="str">
        <f>IFERROR(__xludf.DUMMYFUNCTION("""COMPUTED_VALUE"""),"2026-10")</f>
        <v>2026-10</v>
      </c>
      <c r="C299" s="2" t="str">
        <f>IFERROR(__xludf.DUMMYFUNCTION("""COMPUTED_VALUE"""),"DOOR-SD")</f>
        <v>DOOR-SD</v>
      </c>
      <c r="D299" s="2">
        <f>IFERROR(__xludf.DUMMYFUNCTION("""COMPUTED_VALUE"""),0.0)</f>
        <v>0</v>
      </c>
      <c r="E299" s="2">
        <f>IFERROR(__xludf.DUMMYFUNCTION("""COMPUTED_VALUE"""),0.0)</f>
        <v>0</v>
      </c>
      <c r="F299" s="4">
        <f>IFERROR(__xludf.DUMMYFUNCTION("""COMPUTED_VALUE"""),0.0)</f>
        <v>0</v>
      </c>
      <c r="G299" s="4">
        <f>IFERROR(__xludf.DUMMYFUNCTION("""COMPUTED_VALUE"""),0.0)</f>
        <v>0</v>
      </c>
      <c r="H299" s="9">
        <f>IFERROR(__xludf.DUMMYFUNCTION("""COMPUTED_VALUE"""),1.32264)</f>
        <v>1.32264</v>
      </c>
      <c r="I299" s="4">
        <f>IFERROR(__xludf.DUMMYFUNCTION("""COMPUTED_VALUE"""),0.0)</f>
        <v>0</v>
      </c>
      <c r="J299" s="4">
        <f>IFERROR(__xludf.DUMMYFUNCTION("""COMPUTED_VALUE"""),0.0)</f>
        <v>0</v>
      </c>
      <c r="K299" s="4">
        <f>IFERROR(__xludf.DUMMYFUNCTION("""COMPUTED_VALUE"""),0.0)</f>
        <v>0</v>
      </c>
    </row>
    <row r="300" ht="22.5" customHeight="1">
      <c r="A300" s="2" t="str">
        <f>IFERROR(__xludf.DUMMYFUNCTION("""COMPUTED_VALUE"""),"L2")</f>
        <v>L2</v>
      </c>
      <c r="B300" s="2" t="str">
        <f>IFERROR(__xludf.DUMMYFUNCTION("""COMPUTED_VALUE"""),"2026-11")</f>
        <v>2026-11</v>
      </c>
      <c r="C300" s="2" t="str">
        <f>IFERROR(__xludf.DUMMYFUNCTION("""COMPUTED_VALUE"""),"DOOR-SD")</f>
        <v>DOOR-SD</v>
      </c>
      <c r="D300" s="2">
        <f>IFERROR(__xludf.DUMMYFUNCTION("""COMPUTED_VALUE"""),0.0)</f>
        <v>0</v>
      </c>
      <c r="E300" s="2">
        <f>IFERROR(__xludf.DUMMYFUNCTION("""COMPUTED_VALUE"""),0.0)</f>
        <v>0</v>
      </c>
      <c r="F300" s="4">
        <f>IFERROR(__xludf.DUMMYFUNCTION("""COMPUTED_VALUE"""),0.0)</f>
        <v>0</v>
      </c>
      <c r="G300" s="4">
        <f>IFERROR(__xludf.DUMMYFUNCTION("""COMPUTED_VALUE"""),0.0)</f>
        <v>0</v>
      </c>
      <c r="H300" s="9">
        <f>IFERROR(__xludf.DUMMYFUNCTION("""COMPUTED_VALUE"""),1.32264)</f>
        <v>1.32264</v>
      </c>
      <c r="I300" s="4">
        <f>IFERROR(__xludf.DUMMYFUNCTION("""COMPUTED_VALUE"""),0.0)</f>
        <v>0</v>
      </c>
      <c r="J300" s="4">
        <f>IFERROR(__xludf.DUMMYFUNCTION("""COMPUTED_VALUE"""),0.0)</f>
        <v>0</v>
      </c>
      <c r="K300" s="4">
        <f>IFERROR(__xludf.DUMMYFUNCTION("""COMPUTED_VALUE"""),0.0)</f>
        <v>0</v>
      </c>
    </row>
    <row r="301" ht="22.5" customHeight="1">
      <c r="A301" s="2" t="str">
        <f>IFERROR(__xludf.DUMMYFUNCTION("""COMPUTED_VALUE"""),"L2")</f>
        <v>L2</v>
      </c>
      <c r="B301" s="2" t="str">
        <f>IFERROR(__xludf.DUMMYFUNCTION("""COMPUTED_VALUE"""),"2026-12")</f>
        <v>2026-12</v>
      </c>
      <c r="C301" s="2" t="str">
        <f>IFERROR(__xludf.DUMMYFUNCTION("""COMPUTED_VALUE"""),"DOOR-SD")</f>
        <v>DOOR-SD</v>
      </c>
      <c r="D301" s="2">
        <f>IFERROR(__xludf.DUMMYFUNCTION("""COMPUTED_VALUE"""),0.0)</f>
        <v>0</v>
      </c>
      <c r="E301" s="2">
        <f>IFERROR(__xludf.DUMMYFUNCTION("""COMPUTED_VALUE"""),0.0)</f>
        <v>0</v>
      </c>
      <c r="F301" s="4">
        <f>IFERROR(__xludf.DUMMYFUNCTION("""COMPUTED_VALUE"""),0.0)</f>
        <v>0</v>
      </c>
      <c r="G301" s="4">
        <f>IFERROR(__xludf.DUMMYFUNCTION("""COMPUTED_VALUE"""),0.0)</f>
        <v>0</v>
      </c>
      <c r="H301" s="9">
        <f>IFERROR(__xludf.DUMMYFUNCTION("""COMPUTED_VALUE"""),1.32264)</f>
        <v>1.32264</v>
      </c>
      <c r="I301" s="4">
        <f>IFERROR(__xludf.DUMMYFUNCTION("""COMPUTED_VALUE"""),0.0)</f>
        <v>0</v>
      </c>
      <c r="J301" s="4">
        <f>IFERROR(__xludf.DUMMYFUNCTION("""COMPUTED_VALUE"""),0.0)</f>
        <v>0</v>
      </c>
      <c r="K301" s="4">
        <f>IFERROR(__xludf.DUMMYFUNCTION("""COMPUTED_VALUE"""),0.0)</f>
        <v>0</v>
      </c>
    </row>
    <row r="302" ht="22.5" customHeight="1">
      <c r="A302" s="2" t="str">
        <f>IFERROR(__xludf.DUMMYFUNCTION("""COMPUTED_VALUE"""),"L2")</f>
        <v>L2</v>
      </c>
      <c r="B302" s="2" t="str">
        <f>IFERROR(__xludf.DUMMYFUNCTION("""COMPUTED_VALUE"""),"2026-01")</f>
        <v>2026-01</v>
      </c>
      <c r="C302" s="2" t="str">
        <f>IFERROR(__xludf.DUMMYFUNCTION("""COMPUTED_VALUE"""),"DOOR-SD - LX")</f>
        <v>DOOR-SD - LX</v>
      </c>
      <c r="D302" s="2">
        <f>IFERROR(__xludf.DUMMYFUNCTION("""COMPUTED_VALUE"""),0.0)</f>
        <v>0</v>
      </c>
      <c r="E302" s="2">
        <f>IFERROR(__xludf.DUMMYFUNCTION("""COMPUTED_VALUE"""),0.0)</f>
        <v>0</v>
      </c>
      <c r="F302" s="4">
        <f>IFERROR(__xludf.DUMMYFUNCTION("""COMPUTED_VALUE"""),0.0)</f>
        <v>0</v>
      </c>
      <c r="G302" s="4">
        <f>IFERROR(__xludf.DUMMYFUNCTION("""COMPUTED_VALUE"""),0.0)</f>
        <v>0</v>
      </c>
      <c r="H302" s="9">
        <f>IFERROR(__xludf.DUMMYFUNCTION("""COMPUTED_VALUE"""),1.32264)</f>
        <v>1.32264</v>
      </c>
      <c r="I302" s="4">
        <f>IFERROR(__xludf.DUMMYFUNCTION("""COMPUTED_VALUE"""),0.0)</f>
        <v>0</v>
      </c>
      <c r="J302" s="4">
        <f>IFERROR(__xludf.DUMMYFUNCTION("""COMPUTED_VALUE"""),1693.0720000000001)</f>
        <v>1693.072</v>
      </c>
      <c r="K302" s="4">
        <f>IFERROR(__xludf.DUMMYFUNCTION("""COMPUTED_VALUE"""),1693.0720000000001)</f>
        <v>1693.072</v>
      </c>
    </row>
    <row r="303" ht="22.5" customHeight="1">
      <c r="A303" s="2" t="str">
        <f>IFERROR(__xludf.DUMMYFUNCTION("""COMPUTED_VALUE"""),"L2")</f>
        <v>L2</v>
      </c>
      <c r="B303" s="2" t="str">
        <f>IFERROR(__xludf.DUMMYFUNCTION("""COMPUTED_VALUE"""),"2026-02")</f>
        <v>2026-02</v>
      </c>
      <c r="C303" s="2" t="str">
        <f>IFERROR(__xludf.DUMMYFUNCTION("""COMPUTED_VALUE"""),"DOOR-SD - LX")</f>
        <v>DOOR-SD - LX</v>
      </c>
      <c r="D303" s="2">
        <f>IFERROR(__xludf.DUMMYFUNCTION("""COMPUTED_VALUE"""),0.0)</f>
        <v>0</v>
      </c>
      <c r="E303" s="2">
        <f>IFERROR(__xludf.DUMMYFUNCTION("""COMPUTED_VALUE"""),0.0)</f>
        <v>0</v>
      </c>
      <c r="F303" s="4">
        <f>IFERROR(__xludf.DUMMYFUNCTION("""COMPUTED_VALUE"""),0.0)</f>
        <v>0</v>
      </c>
      <c r="G303" s="4">
        <f>IFERROR(__xludf.DUMMYFUNCTION("""COMPUTED_VALUE"""),0.0)</f>
        <v>0</v>
      </c>
      <c r="H303" s="9">
        <f>IFERROR(__xludf.DUMMYFUNCTION("""COMPUTED_VALUE"""),1.32264)</f>
        <v>1.32264</v>
      </c>
      <c r="I303" s="4">
        <f>IFERROR(__xludf.DUMMYFUNCTION("""COMPUTED_VALUE"""),0.0)</f>
        <v>0</v>
      </c>
      <c r="J303" s="4">
        <f>IFERROR(__xludf.DUMMYFUNCTION("""COMPUTED_VALUE"""),282.1786666666667)</f>
        <v>282.1786667</v>
      </c>
      <c r="K303" s="4">
        <f>IFERROR(__xludf.DUMMYFUNCTION("""COMPUTED_VALUE"""),282.1786666666667)</f>
        <v>282.1786667</v>
      </c>
    </row>
    <row r="304" ht="22.5" customHeight="1">
      <c r="A304" s="2" t="str">
        <f>IFERROR(__xludf.DUMMYFUNCTION("""COMPUTED_VALUE"""),"L2")</f>
        <v>L2</v>
      </c>
      <c r="B304" s="2" t="str">
        <f>IFERROR(__xludf.DUMMYFUNCTION("""COMPUTED_VALUE"""),"2026-03")</f>
        <v>2026-03</v>
      </c>
      <c r="C304" s="2" t="str">
        <f>IFERROR(__xludf.DUMMYFUNCTION("""COMPUTED_VALUE"""),"DOOR-SD - LX")</f>
        <v>DOOR-SD - LX</v>
      </c>
      <c r="D304" s="2">
        <f>IFERROR(__xludf.DUMMYFUNCTION("""COMPUTED_VALUE"""),0.0)</f>
        <v>0</v>
      </c>
      <c r="E304" s="2">
        <f>IFERROR(__xludf.DUMMYFUNCTION("""COMPUTED_VALUE"""),0.0)</f>
        <v>0</v>
      </c>
      <c r="F304" s="4">
        <f>IFERROR(__xludf.DUMMYFUNCTION("""COMPUTED_VALUE"""),0.0)</f>
        <v>0</v>
      </c>
      <c r="G304" s="4">
        <f>IFERROR(__xludf.DUMMYFUNCTION("""COMPUTED_VALUE"""),0.0)</f>
        <v>0</v>
      </c>
      <c r="H304" s="9">
        <f>IFERROR(__xludf.DUMMYFUNCTION("""COMPUTED_VALUE"""),1.32264)</f>
        <v>1.32264</v>
      </c>
      <c r="I304" s="4">
        <f>IFERROR(__xludf.DUMMYFUNCTION("""COMPUTED_VALUE"""),0.0)</f>
        <v>0</v>
      </c>
      <c r="J304" s="4">
        <f>IFERROR(__xludf.DUMMYFUNCTION("""COMPUTED_VALUE"""),282.1786666666667)</f>
        <v>282.1786667</v>
      </c>
      <c r="K304" s="4">
        <f>IFERROR(__xludf.DUMMYFUNCTION("""COMPUTED_VALUE"""),282.1786666666667)</f>
        <v>282.1786667</v>
      </c>
    </row>
    <row r="305" ht="22.5" customHeight="1">
      <c r="A305" s="2" t="str">
        <f>IFERROR(__xludf.DUMMYFUNCTION("""COMPUTED_VALUE"""),"L2")</f>
        <v>L2</v>
      </c>
      <c r="B305" s="2" t="str">
        <f>IFERROR(__xludf.DUMMYFUNCTION("""COMPUTED_VALUE"""),"2026-04")</f>
        <v>2026-04</v>
      </c>
      <c r="C305" s="2" t="str">
        <f>IFERROR(__xludf.DUMMYFUNCTION("""COMPUTED_VALUE"""),"DOOR-SD - LX")</f>
        <v>DOOR-SD - LX</v>
      </c>
      <c r="D305" s="2">
        <f>IFERROR(__xludf.DUMMYFUNCTION("""COMPUTED_VALUE"""),0.0)</f>
        <v>0</v>
      </c>
      <c r="E305" s="2">
        <f>IFERROR(__xludf.DUMMYFUNCTION("""COMPUTED_VALUE"""),0.0)</f>
        <v>0</v>
      </c>
      <c r="F305" s="4">
        <f>IFERROR(__xludf.DUMMYFUNCTION("""COMPUTED_VALUE"""),0.0)</f>
        <v>0</v>
      </c>
      <c r="G305" s="4">
        <f>IFERROR(__xludf.DUMMYFUNCTION("""COMPUTED_VALUE"""),0.0)</f>
        <v>0</v>
      </c>
      <c r="H305" s="9">
        <f>IFERROR(__xludf.DUMMYFUNCTION("""COMPUTED_VALUE"""),1.32264)</f>
        <v>1.32264</v>
      </c>
      <c r="I305" s="4">
        <f>IFERROR(__xludf.DUMMYFUNCTION("""COMPUTED_VALUE"""),0.0)</f>
        <v>0</v>
      </c>
      <c r="J305" s="4">
        <f>IFERROR(__xludf.DUMMYFUNCTION("""COMPUTED_VALUE"""),282.1786666666667)</f>
        <v>282.1786667</v>
      </c>
      <c r="K305" s="4">
        <f>IFERROR(__xludf.DUMMYFUNCTION("""COMPUTED_VALUE"""),282.1786666666667)</f>
        <v>282.1786667</v>
      </c>
    </row>
    <row r="306" ht="22.5" customHeight="1">
      <c r="A306" s="2" t="str">
        <f>IFERROR(__xludf.DUMMYFUNCTION("""COMPUTED_VALUE"""),"L2")</f>
        <v>L2</v>
      </c>
      <c r="B306" s="2" t="str">
        <f>IFERROR(__xludf.DUMMYFUNCTION("""COMPUTED_VALUE"""),"2026-05")</f>
        <v>2026-05</v>
      </c>
      <c r="C306" s="2" t="str">
        <f>IFERROR(__xludf.DUMMYFUNCTION("""COMPUTED_VALUE"""),"DOOR-SD - LX")</f>
        <v>DOOR-SD - LX</v>
      </c>
      <c r="D306" s="2">
        <f>IFERROR(__xludf.DUMMYFUNCTION("""COMPUTED_VALUE"""),0.0)</f>
        <v>0</v>
      </c>
      <c r="E306" s="2">
        <f>IFERROR(__xludf.DUMMYFUNCTION("""COMPUTED_VALUE"""),0.0)</f>
        <v>0</v>
      </c>
      <c r="F306" s="4">
        <f>IFERROR(__xludf.DUMMYFUNCTION("""COMPUTED_VALUE"""),0.0)</f>
        <v>0</v>
      </c>
      <c r="G306" s="4">
        <f>IFERROR(__xludf.DUMMYFUNCTION("""COMPUTED_VALUE"""),0.0)</f>
        <v>0</v>
      </c>
      <c r="H306" s="9">
        <f>IFERROR(__xludf.DUMMYFUNCTION("""COMPUTED_VALUE"""),1.32264)</f>
        <v>1.32264</v>
      </c>
      <c r="I306" s="4">
        <f>IFERROR(__xludf.DUMMYFUNCTION("""COMPUTED_VALUE"""),0.0)</f>
        <v>0</v>
      </c>
      <c r="J306" s="4">
        <f>IFERROR(__xludf.DUMMYFUNCTION("""COMPUTED_VALUE"""),282.1786666666667)</f>
        <v>282.1786667</v>
      </c>
      <c r="K306" s="4">
        <f>IFERROR(__xludf.DUMMYFUNCTION("""COMPUTED_VALUE"""),282.1786666666667)</f>
        <v>282.1786667</v>
      </c>
    </row>
    <row r="307" ht="22.5" customHeight="1">
      <c r="A307" s="2" t="str">
        <f>IFERROR(__xludf.DUMMYFUNCTION("""COMPUTED_VALUE"""),"L2")</f>
        <v>L2</v>
      </c>
      <c r="B307" s="2" t="str">
        <f>IFERROR(__xludf.DUMMYFUNCTION("""COMPUTED_VALUE"""),"2026-06")</f>
        <v>2026-06</v>
      </c>
      <c r="C307" s="2" t="str">
        <f>IFERROR(__xludf.DUMMYFUNCTION("""COMPUTED_VALUE"""),"DOOR-SD - LX")</f>
        <v>DOOR-SD - LX</v>
      </c>
      <c r="D307" s="2">
        <f>IFERROR(__xludf.DUMMYFUNCTION("""COMPUTED_VALUE"""),0.0)</f>
        <v>0</v>
      </c>
      <c r="E307" s="2">
        <f>IFERROR(__xludf.DUMMYFUNCTION("""COMPUTED_VALUE"""),0.0)</f>
        <v>0</v>
      </c>
      <c r="F307" s="4">
        <f>IFERROR(__xludf.DUMMYFUNCTION("""COMPUTED_VALUE"""),0.0)</f>
        <v>0</v>
      </c>
      <c r="G307" s="4">
        <f>IFERROR(__xludf.DUMMYFUNCTION("""COMPUTED_VALUE"""),0.0)</f>
        <v>0</v>
      </c>
      <c r="H307" s="9">
        <f>IFERROR(__xludf.DUMMYFUNCTION("""COMPUTED_VALUE"""),1.32264)</f>
        <v>1.32264</v>
      </c>
      <c r="I307" s="4">
        <f>IFERROR(__xludf.DUMMYFUNCTION("""COMPUTED_VALUE"""),0.0)</f>
        <v>0</v>
      </c>
      <c r="J307" s="4">
        <f>IFERROR(__xludf.DUMMYFUNCTION("""COMPUTED_VALUE"""),282.1786666666667)</f>
        <v>282.1786667</v>
      </c>
      <c r="K307" s="4">
        <f>IFERROR(__xludf.DUMMYFUNCTION("""COMPUTED_VALUE"""),282.1786666666667)</f>
        <v>282.1786667</v>
      </c>
    </row>
    <row r="308" ht="22.5" customHeight="1">
      <c r="A308" s="2" t="str">
        <f>IFERROR(__xludf.DUMMYFUNCTION("""COMPUTED_VALUE"""),"L2")</f>
        <v>L2</v>
      </c>
      <c r="B308" s="2" t="str">
        <f>IFERROR(__xludf.DUMMYFUNCTION("""COMPUTED_VALUE"""),"2026-07")</f>
        <v>2026-07</v>
      </c>
      <c r="C308" s="2" t="str">
        <f>IFERROR(__xludf.DUMMYFUNCTION("""COMPUTED_VALUE"""),"DOOR-SD - LX")</f>
        <v>DOOR-SD - LX</v>
      </c>
      <c r="D308" s="2">
        <f>IFERROR(__xludf.DUMMYFUNCTION("""COMPUTED_VALUE"""),0.0)</f>
        <v>0</v>
      </c>
      <c r="E308" s="2">
        <f>IFERROR(__xludf.DUMMYFUNCTION("""COMPUTED_VALUE"""),0.0)</f>
        <v>0</v>
      </c>
      <c r="F308" s="4">
        <f>IFERROR(__xludf.DUMMYFUNCTION("""COMPUTED_VALUE"""),0.0)</f>
        <v>0</v>
      </c>
      <c r="G308" s="4">
        <f>IFERROR(__xludf.DUMMYFUNCTION("""COMPUTED_VALUE"""),0.0)</f>
        <v>0</v>
      </c>
      <c r="H308" s="9">
        <f>IFERROR(__xludf.DUMMYFUNCTION("""COMPUTED_VALUE"""),1.32264)</f>
        <v>1.32264</v>
      </c>
      <c r="I308" s="4">
        <f>IFERROR(__xludf.DUMMYFUNCTION("""COMPUTED_VALUE"""),0.0)</f>
        <v>0</v>
      </c>
      <c r="J308" s="4">
        <f>IFERROR(__xludf.DUMMYFUNCTION("""COMPUTED_VALUE"""),282.1786666666667)</f>
        <v>282.1786667</v>
      </c>
      <c r="K308" s="4">
        <f>IFERROR(__xludf.DUMMYFUNCTION("""COMPUTED_VALUE"""),282.1786666666667)</f>
        <v>282.1786667</v>
      </c>
    </row>
    <row r="309" ht="22.5" customHeight="1">
      <c r="A309" s="2" t="str">
        <f>IFERROR(__xludf.DUMMYFUNCTION("""COMPUTED_VALUE"""),"L2")</f>
        <v>L2</v>
      </c>
      <c r="B309" s="2" t="str">
        <f>IFERROR(__xludf.DUMMYFUNCTION("""COMPUTED_VALUE"""),"2026-08")</f>
        <v>2026-08</v>
      </c>
      <c r="C309" s="2" t="str">
        <f>IFERROR(__xludf.DUMMYFUNCTION("""COMPUTED_VALUE"""),"DOOR-SD - LX")</f>
        <v>DOOR-SD - LX</v>
      </c>
      <c r="D309" s="2">
        <f>IFERROR(__xludf.DUMMYFUNCTION("""COMPUTED_VALUE"""),0.0)</f>
        <v>0</v>
      </c>
      <c r="E309" s="2">
        <f>IFERROR(__xludf.DUMMYFUNCTION("""COMPUTED_VALUE"""),0.0)</f>
        <v>0</v>
      </c>
      <c r="F309" s="4">
        <f>IFERROR(__xludf.DUMMYFUNCTION("""COMPUTED_VALUE"""),0.0)</f>
        <v>0</v>
      </c>
      <c r="G309" s="4">
        <f>IFERROR(__xludf.DUMMYFUNCTION("""COMPUTED_VALUE"""),0.0)</f>
        <v>0</v>
      </c>
      <c r="H309" s="9">
        <f>IFERROR(__xludf.DUMMYFUNCTION("""COMPUTED_VALUE"""),1.32264)</f>
        <v>1.32264</v>
      </c>
      <c r="I309" s="4">
        <f>IFERROR(__xludf.DUMMYFUNCTION("""COMPUTED_VALUE"""),0.0)</f>
        <v>0</v>
      </c>
      <c r="J309" s="4">
        <f>IFERROR(__xludf.DUMMYFUNCTION("""COMPUTED_VALUE"""),282.1786666666667)</f>
        <v>282.1786667</v>
      </c>
      <c r="K309" s="4">
        <f>IFERROR(__xludf.DUMMYFUNCTION("""COMPUTED_VALUE"""),282.1786666666667)</f>
        <v>282.1786667</v>
      </c>
    </row>
    <row r="310" ht="22.5" customHeight="1">
      <c r="A310" s="2" t="str">
        <f>IFERROR(__xludf.DUMMYFUNCTION("""COMPUTED_VALUE"""),"L2")</f>
        <v>L2</v>
      </c>
      <c r="B310" s="2" t="str">
        <f>IFERROR(__xludf.DUMMYFUNCTION("""COMPUTED_VALUE"""),"2026-09")</f>
        <v>2026-09</v>
      </c>
      <c r="C310" s="2" t="str">
        <f>IFERROR(__xludf.DUMMYFUNCTION("""COMPUTED_VALUE"""),"DOOR-SD - LX")</f>
        <v>DOOR-SD - LX</v>
      </c>
      <c r="D310" s="2">
        <f>IFERROR(__xludf.DUMMYFUNCTION("""COMPUTED_VALUE"""),0.0)</f>
        <v>0</v>
      </c>
      <c r="E310" s="2">
        <f>IFERROR(__xludf.DUMMYFUNCTION("""COMPUTED_VALUE"""),0.0)</f>
        <v>0</v>
      </c>
      <c r="F310" s="4">
        <f>IFERROR(__xludf.DUMMYFUNCTION("""COMPUTED_VALUE"""),0.0)</f>
        <v>0</v>
      </c>
      <c r="G310" s="4">
        <f>IFERROR(__xludf.DUMMYFUNCTION("""COMPUTED_VALUE"""),0.0)</f>
        <v>0</v>
      </c>
      <c r="H310" s="9">
        <f>IFERROR(__xludf.DUMMYFUNCTION("""COMPUTED_VALUE"""),1.32264)</f>
        <v>1.32264</v>
      </c>
      <c r="I310" s="4">
        <f>IFERROR(__xludf.DUMMYFUNCTION("""COMPUTED_VALUE"""),0.0)</f>
        <v>0</v>
      </c>
      <c r="J310" s="4">
        <f>IFERROR(__xludf.DUMMYFUNCTION("""COMPUTED_VALUE"""),282.1786666666667)</f>
        <v>282.1786667</v>
      </c>
      <c r="K310" s="4">
        <f>IFERROR(__xludf.DUMMYFUNCTION("""COMPUTED_VALUE"""),282.1786666666667)</f>
        <v>282.1786667</v>
      </c>
    </row>
    <row r="311" ht="22.5" customHeight="1">
      <c r="A311" s="2" t="str">
        <f>IFERROR(__xludf.DUMMYFUNCTION("""COMPUTED_VALUE"""),"L2")</f>
        <v>L2</v>
      </c>
      <c r="B311" s="2" t="str">
        <f>IFERROR(__xludf.DUMMYFUNCTION("""COMPUTED_VALUE"""),"2026-10")</f>
        <v>2026-10</v>
      </c>
      <c r="C311" s="2" t="str">
        <f>IFERROR(__xludf.DUMMYFUNCTION("""COMPUTED_VALUE"""),"DOOR-SD - LX")</f>
        <v>DOOR-SD - LX</v>
      </c>
      <c r="D311" s="2">
        <f>IFERROR(__xludf.DUMMYFUNCTION("""COMPUTED_VALUE"""),0.0)</f>
        <v>0</v>
      </c>
      <c r="E311" s="2">
        <f>IFERROR(__xludf.DUMMYFUNCTION("""COMPUTED_VALUE"""),0.0)</f>
        <v>0</v>
      </c>
      <c r="F311" s="4">
        <f>IFERROR(__xludf.DUMMYFUNCTION("""COMPUTED_VALUE"""),0.0)</f>
        <v>0</v>
      </c>
      <c r="G311" s="4">
        <f>IFERROR(__xludf.DUMMYFUNCTION("""COMPUTED_VALUE"""),0.0)</f>
        <v>0</v>
      </c>
      <c r="H311" s="9">
        <f>IFERROR(__xludf.DUMMYFUNCTION("""COMPUTED_VALUE"""),1.32264)</f>
        <v>1.32264</v>
      </c>
      <c r="I311" s="4">
        <f>IFERROR(__xludf.DUMMYFUNCTION("""COMPUTED_VALUE"""),0.0)</f>
        <v>0</v>
      </c>
      <c r="J311" s="4">
        <f>IFERROR(__xludf.DUMMYFUNCTION("""COMPUTED_VALUE"""),282.1786666666667)</f>
        <v>282.1786667</v>
      </c>
      <c r="K311" s="4">
        <f>IFERROR(__xludf.DUMMYFUNCTION("""COMPUTED_VALUE"""),282.1786666666667)</f>
        <v>282.1786667</v>
      </c>
    </row>
    <row r="312" ht="22.5" customHeight="1">
      <c r="A312" s="2" t="str">
        <f>IFERROR(__xludf.DUMMYFUNCTION("""COMPUTED_VALUE"""),"L2")</f>
        <v>L2</v>
      </c>
      <c r="B312" s="2" t="str">
        <f>IFERROR(__xludf.DUMMYFUNCTION("""COMPUTED_VALUE"""),"2026-11")</f>
        <v>2026-11</v>
      </c>
      <c r="C312" s="2" t="str">
        <f>IFERROR(__xludf.DUMMYFUNCTION("""COMPUTED_VALUE"""),"DOOR-SD - LX")</f>
        <v>DOOR-SD - LX</v>
      </c>
      <c r="D312" s="2">
        <f>IFERROR(__xludf.DUMMYFUNCTION("""COMPUTED_VALUE"""),0.0)</f>
        <v>0</v>
      </c>
      <c r="E312" s="2">
        <f>IFERROR(__xludf.DUMMYFUNCTION("""COMPUTED_VALUE"""),0.0)</f>
        <v>0</v>
      </c>
      <c r="F312" s="4">
        <f>IFERROR(__xludf.DUMMYFUNCTION("""COMPUTED_VALUE"""),0.0)</f>
        <v>0</v>
      </c>
      <c r="G312" s="4">
        <f>IFERROR(__xludf.DUMMYFUNCTION("""COMPUTED_VALUE"""),0.0)</f>
        <v>0</v>
      </c>
      <c r="H312" s="9">
        <f>IFERROR(__xludf.DUMMYFUNCTION("""COMPUTED_VALUE"""),1.32264)</f>
        <v>1.32264</v>
      </c>
      <c r="I312" s="4">
        <f>IFERROR(__xludf.DUMMYFUNCTION("""COMPUTED_VALUE"""),0.0)</f>
        <v>0</v>
      </c>
      <c r="J312" s="4">
        <f>IFERROR(__xludf.DUMMYFUNCTION("""COMPUTED_VALUE"""),282.1786666666667)</f>
        <v>282.1786667</v>
      </c>
      <c r="K312" s="4">
        <f>IFERROR(__xludf.DUMMYFUNCTION("""COMPUTED_VALUE"""),282.1786666666667)</f>
        <v>282.1786667</v>
      </c>
    </row>
    <row r="313" ht="22.5" customHeight="1">
      <c r="A313" s="2" t="str">
        <f>IFERROR(__xludf.DUMMYFUNCTION("""COMPUTED_VALUE"""),"L2")</f>
        <v>L2</v>
      </c>
      <c r="B313" s="2" t="str">
        <f>IFERROR(__xludf.DUMMYFUNCTION("""COMPUTED_VALUE"""),"2026-12")</f>
        <v>2026-12</v>
      </c>
      <c r="C313" s="2" t="str">
        <f>IFERROR(__xludf.DUMMYFUNCTION("""COMPUTED_VALUE"""),"DOOR-SD - LX")</f>
        <v>DOOR-SD - LX</v>
      </c>
      <c r="D313" s="2">
        <f>IFERROR(__xludf.DUMMYFUNCTION("""COMPUTED_VALUE"""),0.0)</f>
        <v>0</v>
      </c>
      <c r="E313" s="2">
        <f>IFERROR(__xludf.DUMMYFUNCTION("""COMPUTED_VALUE"""),0.0)</f>
        <v>0</v>
      </c>
      <c r="F313" s="4">
        <f>IFERROR(__xludf.DUMMYFUNCTION("""COMPUTED_VALUE"""),0.0)</f>
        <v>0</v>
      </c>
      <c r="G313" s="4">
        <f>IFERROR(__xludf.DUMMYFUNCTION("""COMPUTED_VALUE"""),0.0)</f>
        <v>0</v>
      </c>
      <c r="H313" s="9">
        <f>IFERROR(__xludf.DUMMYFUNCTION("""COMPUTED_VALUE"""),1.32264)</f>
        <v>1.32264</v>
      </c>
      <c r="I313" s="4">
        <f>IFERROR(__xludf.DUMMYFUNCTION("""COMPUTED_VALUE"""),0.0)</f>
        <v>0</v>
      </c>
      <c r="J313" s="4">
        <f>IFERROR(__xludf.DUMMYFUNCTION("""COMPUTED_VALUE"""),282.1786666666667)</f>
        <v>282.1786667</v>
      </c>
      <c r="K313" s="4">
        <f>IFERROR(__xludf.DUMMYFUNCTION("""COMPUTED_VALUE"""),282.1786666666667)</f>
        <v>282.1786667</v>
      </c>
    </row>
    <row r="314" ht="22.5" customHeight="1">
      <c r="A314" s="2" t="str">
        <f>IFERROR(__xludf.DUMMYFUNCTION("""COMPUTED_VALUE"""),"L2")</f>
        <v>L2</v>
      </c>
      <c r="B314" s="2" t="str">
        <f>IFERROR(__xludf.DUMMYFUNCTION("""COMPUTED_VALUE"""),"2026-01")</f>
        <v>2026-01</v>
      </c>
      <c r="C314" s="2" t="str">
        <f>IFERROR(__xludf.DUMMYFUNCTION("""COMPUTED_VALUE"""),"DOOR-SUV")</f>
        <v>DOOR-SUV</v>
      </c>
      <c r="D314" s="2">
        <f>IFERROR(__xludf.DUMMYFUNCTION("""COMPUTED_VALUE"""),199.0)</f>
        <v>199</v>
      </c>
      <c r="E314" s="2">
        <f>IFERROR(__xludf.DUMMYFUNCTION("""COMPUTED_VALUE"""),4.0)</f>
        <v>4</v>
      </c>
      <c r="F314" s="4">
        <f>IFERROR(__xludf.DUMMYFUNCTION("""COMPUTED_VALUE"""),431638.96)</f>
        <v>431638.96</v>
      </c>
      <c r="G314" s="4">
        <f>IFERROR(__xludf.DUMMYFUNCTION("""COMPUTED_VALUE"""),12688.0)</f>
        <v>12688</v>
      </c>
      <c r="H314" s="9">
        <f>IFERROR(__xludf.DUMMYFUNCTION("""COMPUTED_VALUE"""),1.32264)</f>
        <v>1.32264</v>
      </c>
      <c r="I314" s="4">
        <f>IFERROR(__xludf.DUMMYFUNCTION("""COMPUTED_VALUE"""),587684.6103744)</f>
        <v>587684.6104</v>
      </c>
      <c r="J314" s="4">
        <f>IFERROR(__xludf.DUMMYFUNCTION("""COMPUTED_VALUE"""),216.904)</f>
        <v>216.904</v>
      </c>
      <c r="K314" s="4">
        <f>IFERROR(__xludf.DUMMYFUNCTION("""COMPUTED_VALUE"""),587901.5143744)</f>
        <v>587901.5144</v>
      </c>
    </row>
    <row r="315" ht="22.5" customHeight="1">
      <c r="A315" s="2" t="str">
        <f>IFERROR(__xludf.DUMMYFUNCTION("""COMPUTED_VALUE"""),"L2")</f>
        <v>L2</v>
      </c>
      <c r="B315" s="2" t="str">
        <f>IFERROR(__xludf.DUMMYFUNCTION("""COMPUTED_VALUE"""),"2026-02")</f>
        <v>2026-02</v>
      </c>
      <c r="C315" s="2" t="str">
        <f>IFERROR(__xludf.DUMMYFUNCTION("""COMPUTED_VALUE"""),"DOOR-SUV")</f>
        <v>DOOR-SUV</v>
      </c>
      <c r="D315" s="2">
        <f>IFERROR(__xludf.DUMMYFUNCTION("""COMPUTED_VALUE"""),0.0)</f>
        <v>0</v>
      </c>
      <c r="E315" s="2">
        <f>IFERROR(__xludf.DUMMYFUNCTION("""COMPUTED_VALUE"""),0.0)</f>
        <v>0</v>
      </c>
      <c r="F315" s="4">
        <f>IFERROR(__xludf.DUMMYFUNCTION("""COMPUTED_VALUE"""),0.0)</f>
        <v>0</v>
      </c>
      <c r="G315" s="4">
        <f>IFERROR(__xludf.DUMMYFUNCTION("""COMPUTED_VALUE"""),0.0)</f>
        <v>0</v>
      </c>
      <c r="H315" s="9">
        <f>IFERROR(__xludf.DUMMYFUNCTION("""COMPUTED_VALUE"""),1.32264)</f>
        <v>1.32264</v>
      </c>
      <c r="I315" s="4">
        <f>IFERROR(__xludf.DUMMYFUNCTION("""COMPUTED_VALUE"""),0.0)</f>
        <v>0</v>
      </c>
      <c r="J315" s="4">
        <f>IFERROR(__xludf.DUMMYFUNCTION("""COMPUTED_VALUE"""),36.150666666666666)</f>
        <v>36.15066667</v>
      </c>
      <c r="K315" s="4">
        <f>IFERROR(__xludf.DUMMYFUNCTION("""COMPUTED_VALUE"""),36.150666666666666)</f>
        <v>36.15066667</v>
      </c>
    </row>
    <row r="316" ht="22.5" customHeight="1">
      <c r="A316" s="2" t="str">
        <f>IFERROR(__xludf.DUMMYFUNCTION("""COMPUTED_VALUE"""),"L2")</f>
        <v>L2</v>
      </c>
      <c r="B316" s="2" t="str">
        <f>IFERROR(__xludf.DUMMYFUNCTION("""COMPUTED_VALUE"""),"2026-03")</f>
        <v>2026-03</v>
      </c>
      <c r="C316" s="2" t="str">
        <f>IFERROR(__xludf.DUMMYFUNCTION("""COMPUTED_VALUE"""),"DOOR-SUV")</f>
        <v>DOOR-SUV</v>
      </c>
      <c r="D316" s="2">
        <f>IFERROR(__xludf.DUMMYFUNCTION("""COMPUTED_VALUE"""),0.0)</f>
        <v>0</v>
      </c>
      <c r="E316" s="2">
        <f>IFERROR(__xludf.DUMMYFUNCTION("""COMPUTED_VALUE"""),0.0)</f>
        <v>0</v>
      </c>
      <c r="F316" s="4">
        <f>IFERROR(__xludf.DUMMYFUNCTION("""COMPUTED_VALUE"""),0.0)</f>
        <v>0</v>
      </c>
      <c r="G316" s="4">
        <f>IFERROR(__xludf.DUMMYFUNCTION("""COMPUTED_VALUE"""),0.0)</f>
        <v>0</v>
      </c>
      <c r="H316" s="9">
        <f>IFERROR(__xludf.DUMMYFUNCTION("""COMPUTED_VALUE"""),1.32264)</f>
        <v>1.32264</v>
      </c>
      <c r="I316" s="4">
        <f>IFERROR(__xludf.DUMMYFUNCTION("""COMPUTED_VALUE"""),0.0)</f>
        <v>0</v>
      </c>
      <c r="J316" s="4">
        <f>IFERROR(__xludf.DUMMYFUNCTION("""COMPUTED_VALUE"""),36.150666666666666)</f>
        <v>36.15066667</v>
      </c>
      <c r="K316" s="4">
        <f>IFERROR(__xludf.DUMMYFUNCTION("""COMPUTED_VALUE"""),36.150666666666666)</f>
        <v>36.15066667</v>
      </c>
    </row>
    <row r="317" ht="22.5" customHeight="1">
      <c r="A317" s="2" t="str">
        <f>IFERROR(__xludf.DUMMYFUNCTION("""COMPUTED_VALUE"""),"L2")</f>
        <v>L2</v>
      </c>
      <c r="B317" s="2" t="str">
        <f>IFERROR(__xludf.DUMMYFUNCTION("""COMPUTED_VALUE"""),"2026-04")</f>
        <v>2026-04</v>
      </c>
      <c r="C317" s="2" t="str">
        <f>IFERROR(__xludf.DUMMYFUNCTION("""COMPUTED_VALUE"""),"DOOR-SUV")</f>
        <v>DOOR-SUV</v>
      </c>
      <c r="D317" s="2">
        <f>IFERROR(__xludf.DUMMYFUNCTION("""COMPUTED_VALUE"""),0.0)</f>
        <v>0</v>
      </c>
      <c r="E317" s="2">
        <f>IFERROR(__xludf.DUMMYFUNCTION("""COMPUTED_VALUE"""),0.0)</f>
        <v>0</v>
      </c>
      <c r="F317" s="4">
        <f>IFERROR(__xludf.DUMMYFUNCTION("""COMPUTED_VALUE"""),0.0)</f>
        <v>0</v>
      </c>
      <c r="G317" s="4">
        <f>IFERROR(__xludf.DUMMYFUNCTION("""COMPUTED_VALUE"""),0.0)</f>
        <v>0</v>
      </c>
      <c r="H317" s="9">
        <f>IFERROR(__xludf.DUMMYFUNCTION("""COMPUTED_VALUE"""),1.32264)</f>
        <v>1.32264</v>
      </c>
      <c r="I317" s="4">
        <f>IFERROR(__xludf.DUMMYFUNCTION("""COMPUTED_VALUE"""),0.0)</f>
        <v>0</v>
      </c>
      <c r="J317" s="4">
        <f>IFERROR(__xludf.DUMMYFUNCTION("""COMPUTED_VALUE"""),36.150666666666666)</f>
        <v>36.15066667</v>
      </c>
      <c r="K317" s="4">
        <f>IFERROR(__xludf.DUMMYFUNCTION("""COMPUTED_VALUE"""),36.150666666666666)</f>
        <v>36.15066667</v>
      </c>
    </row>
    <row r="318" ht="22.5" customHeight="1">
      <c r="A318" s="2" t="str">
        <f>IFERROR(__xludf.DUMMYFUNCTION("""COMPUTED_VALUE"""),"L2")</f>
        <v>L2</v>
      </c>
      <c r="B318" s="2" t="str">
        <f>IFERROR(__xludf.DUMMYFUNCTION("""COMPUTED_VALUE"""),"2026-05")</f>
        <v>2026-05</v>
      </c>
      <c r="C318" s="2" t="str">
        <f>IFERROR(__xludf.DUMMYFUNCTION("""COMPUTED_VALUE"""),"DOOR-SUV")</f>
        <v>DOOR-SUV</v>
      </c>
      <c r="D318" s="2">
        <f>IFERROR(__xludf.DUMMYFUNCTION("""COMPUTED_VALUE"""),0.0)</f>
        <v>0</v>
      </c>
      <c r="E318" s="2">
        <f>IFERROR(__xludf.DUMMYFUNCTION("""COMPUTED_VALUE"""),0.0)</f>
        <v>0</v>
      </c>
      <c r="F318" s="4">
        <f>IFERROR(__xludf.DUMMYFUNCTION("""COMPUTED_VALUE"""),0.0)</f>
        <v>0</v>
      </c>
      <c r="G318" s="4">
        <f>IFERROR(__xludf.DUMMYFUNCTION("""COMPUTED_VALUE"""),0.0)</f>
        <v>0</v>
      </c>
      <c r="H318" s="9">
        <f>IFERROR(__xludf.DUMMYFUNCTION("""COMPUTED_VALUE"""),1.32264)</f>
        <v>1.32264</v>
      </c>
      <c r="I318" s="4">
        <f>IFERROR(__xludf.DUMMYFUNCTION("""COMPUTED_VALUE"""),0.0)</f>
        <v>0</v>
      </c>
      <c r="J318" s="4">
        <f>IFERROR(__xludf.DUMMYFUNCTION("""COMPUTED_VALUE"""),36.150666666666666)</f>
        <v>36.15066667</v>
      </c>
      <c r="K318" s="4">
        <f>IFERROR(__xludf.DUMMYFUNCTION("""COMPUTED_VALUE"""),36.150666666666666)</f>
        <v>36.15066667</v>
      </c>
    </row>
    <row r="319" ht="22.5" customHeight="1">
      <c r="A319" s="2" t="str">
        <f>IFERROR(__xludf.DUMMYFUNCTION("""COMPUTED_VALUE"""),"L2")</f>
        <v>L2</v>
      </c>
      <c r="B319" s="2" t="str">
        <f>IFERROR(__xludf.DUMMYFUNCTION("""COMPUTED_VALUE"""),"2026-06")</f>
        <v>2026-06</v>
      </c>
      <c r="C319" s="2" t="str">
        <f>IFERROR(__xludf.DUMMYFUNCTION("""COMPUTED_VALUE"""),"DOOR-SUV")</f>
        <v>DOOR-SUV</v>
      </c>
      <c r="D319" s="2">
        <f>IFERROR(__xludf.DUMMYFUNCTION("""COMPUTED_VALUE"""),0.0)</f>
        <v>0</v>
      </c>
      <c r="E319" s="2">
        <f>IFERROR(__xludf.DUMMYFUNCTION("""COMPUTED_VALUE"""),0.0)</f>
        <v>0</v>
      </c>
      <c r="F319" s="4">
        <f>IFERROR(__xludf.DUMMYFUNCTION("""COMPUTED_VALUE"""),0.0)</f>
        <v>0</v>
      </c>
      <c r="G319" s="4">
        <f>IFERROR(__xludf.DUMMYFUNCTION("""COMPUTED_VALUE"""),0.0)</f>
        <v>0</v>
      </c>
      <c r="H319" s="9">
        <f>IFERROR(__xludf.DUMMYFUNCTION("""COMPUTED_VALUE"""),1.32264)</f>
        <v>1.32264</v>
      </c>
      <c r="I319" s="4">
        <f>IFERROR(__xludf.DUMMYFUNCTION("""COMPUTED_VALUE"""),0.0)</f>
        <v>0</v>
      </c>
      <c r="J319" s="4">
        <f>IFERROR(__xludf.DUMMYFUNCTION("""COMPUTED_VALUE"""),36.150666666666666)</f>
        <v>36.15066667</v>
      </c>
      <c r="K319" s="4">
        <f>IFERROR(__xludf.DUMMYFUNCTION("""COMPUTED_VALUE"""),36.150666666666666)</f>
        <v>36.15066667</v>
      </c>
    </row>
    <row r="320" ht="22.5" customHeight="1">
      <c r="A320" s="2" t="str">
        <f>IFERROR(__xludf.DUMMYFUNCTION("""COMPUTED_VALUE"""),"L2")</f>
        <v>L2</v>
      </c>
      <c r="B320" s="2" t="str">
        <f>IFERROR(__xludf.DUMMYFUNCTION("""COMPUTED_VALUE"""),"2026-07")</f>
        <v>2026-07</v>
      </c>
      <c r="C320" s="2" t="str">
        <f>IFERROR(__xludf.DUMMYFUNCTION("""COMPUTED_VALUE"""),"DOOR-SUV")</f>
        <v>DOOR-SUV</v>
      </c>
      <c r="D320" s="2">
        <f>IFERROR(__xludf.DUMMYFUNCTION("""COMPUTED_VALUE"""),0.0)</f>
        <v>0</v>
      </c>
      <c r="E320" s="2">
        <f>IFERROR(__xludf.DUMMYFUNCTION("""COMPUTED_VALUE"""),0.0)</f>
        <v>0</v>
      </c>
      <c r="F320" s="4">
        <f>IFERROR(__xludf.DUMMYFUNCTION("""COMPUTED_VALUE"""),0.0)</f>
        <v>0</v>
      </c>
      <c r="G320" s="4">
        <f>IFERROR(__xludf.DUMMYFUNCTION("""COMPUTED_VALUE"""),0.0)</f>
        <v>0</v>
      </c>
      <c r="H320" s="9">
        <f>IFERROR(__xludf.DUMMYFUNCTION("""COMPUTED_VALUE"""),1.32264)</f>
        <v>1.32264</v>
      </c>
      <c r="I320" s="4">
        <f>IFERROR(__xludf.DUMMYFUNCTION("""COMPUTED_VALUE"""),0.0)</f>
        <v>0</v>
      </c>
      <c r="J320" s="4">
        <f>IFERROR(__xludf.DUMMYFUNCTION("""COMPUTED_VALUE"""),36.150666666666666)</f>
        <v>36.15066667</v>
      </c>
      <c r="K320" s="4">
        <f>IFERROR(__xludf.DUMMYFUNCTION("""COMPUTED_VALUE"""),36.150666666666666)</f>
        <v>36.15066667</v>
      </c>
    </row>
    <row r="321" ht="22.5" customHeight="1">
      <c r="A321" s="2" t="str">
        <f>IFERROR(__xludf.DUMMYFUNCTION("""COMPUTED_VALUE"""),"L2")</f>
        <v>L2</v>
      </c>
      <c r="B321" s="2" t="str">
        <f>IFERROR(__xludf.DUMMYFUNCTION("""COMPUTED_VALUE"""),"2026-08")</f>
        <v>2026-08</v>
      </c>
      <c r="C321" s="2" t="str">
        <f>IFERROR(__xludf.DUMMYFUNCTION("""COMPUTED_VALUE"""),"DOOR-SUV")</f>
        <v>DOOR-SUV</v>
      </c>
      <c r="D321" s="2">
        <f>IFERROR(__xludf.DUMMYFUNCTION("""COMPUTED_VALUE"""),0.0)</f>
        <v>0</v>
      </c>
      <c r="E321" s="2">
        <f>IFERROR(__xludf.DUMMYFUNCTION("""COMPUTED_VALUE"""),0.0)</f>
        <v>0</v>
      </c>
      <c r="F321" s="4">
        <f>IFERROR(__xludf.DUMMYFUNCTION("""COMPUTED_VALUE"""),0.0)</f>
        <v>0</v>
      </c>
      <c r="G321" s="4">
        <f>IFERROR(__xludf.DUMMYFUNCTION("""COMPUTED_VALUE"""),0.0)</f>
        <v>0</v>
      </c>
      <c r="H321" s="9">
        <f>IFERROR(__xludf.DUMMYFUNCTION("""COMPUTED_VALUE"""),1.32264)</f>
        <v>1.32264</v>
      </c>
      <c r="I321" s="4">
        <f>IFERROR(__xludf.DUMMYFUNCTION("""COMPUTED_VALUE"""),0.0)</f>
        <v>0</v>
      </c>
      <c r="J321" s="4">
        <f>IFERROR(__xludf.DUMMYFUNCTION("""COMPUTED_VALUE"""),36.150666666666666)</f>
        <v>36.15066667</v>
      </c>
      <c r="K321" s="4">
        <f>IFERROR(__xludf.DUMMYFUNCTION("""COMPUTED_VALUE"""),36.150666666666666)</f>
        <v>36.15066667</v>
      </c>
    </row>
    <row r="322" ht="22.5" customHeight="1">
      <c r="A322" s="2" t="str">
        <f>IFERROR(__xludf.DUMMYFUNCTION("""COMPUTED_VALUE"""),"L2")</f>
        <v>L2</v>
      </c>
      <c r="B322" s="2" t="str">
        <f>IFERROR(__xludf.DUMMYFUNCTION("""COMPUTED_VALUE"""),"2026-09")</f>
        <v>2026-09</v>
      </c>
      <c r="C322" s="2" t="str">
        <f>IFERROR(__xludf.DUMMYFUNCTION("""COMPUTED_VALUE"""),"DOOR-SUV")</f>
        <v>DOOR-SUV</v>
      </c>
      <c r="D322" s="2">
        <f>IFERROR(__xludf.DUMMYFUNCTION("""COMPUTED_VALUE"""),0.0)</f>
        <v>0</v>
      </c>
      <c r="E322" s="2">
        <f>IFERROR(__xludf.DUMMYFUNCTION("""COMPUTED_VALUE"""),0.0)</f>
        <v>0</v>
      </c>
      <c r="F322" s="4">
        <f>IFERROR(__xludf.DUMMYFUNCTION("""COMPUTED_VALUE"""),0.0)</f>
        <v>0</v>
      </c>
      <c r="G322" s="4">
        <f>IFERROR(__xludf.DUMMYFUNCTION("""COMPUTED_VALUE"""),0.0)</f>
        <v>0</v>
      </c>
      <c r="H322" s="9">
        <f>IFERROR(__xludf.DUMMYFUNCTION("""COMPUTED_VALUE"""),1.32264)</f>
        <v>1.32264</v>
      </c>
      <c r="I322" s="4">
        <f>IFERROR(__xludf.DUMMYFUNCTION("""COMPUTED_VALUE"""),0.0)</f>
        <v>0</v>
      </c>
      <c r="J322" s="4">
        <f>IFERROR(__xludf.DUMMYFUNCTION("""COMPUTED_VALUE"""),36.150666666666666)</f>
        <v>36.15066667</v>
      </c>
      <c r="K322" s="4">
        <f>IFERROR(__xludf.DUMMYFUNCTION("""COMPUTED_VALUE"""),36.150666666666666)</f>
        <v>36.15066667</v>
      </c>
    </row>
    <row r="323" ht="22.5" customHeight="1">
      <c r="A323" s="2" t="str">
        <f>IFERROR(__xludf.DUMMYFUNCTION("""COMPUTED_VALUE"""),"L2")</f>
        <v>L2</v>
      </c>
      <c r="B323" s="2" t="str">
        <f>IFERROR(__xludf.DUMMYFUNCTION("""COMPUTED_VALUE"""),"2026-10")</f>
        <v>2026-10</v>
      </c>
      <c r="C323" s="2" t="str">
        <f>IFERROR(__xludf.DUMMYFUNCTION("""COMPUTED_VALUE"""),"DOOR-SUV")</f>
        <v>DOOR-SUV</v>
      </c>
      <c r="D323" s="2">
        <f>IFERROR(__xludf.DUMMYFUNCTION("""COMPUTED_VALUE"""),0.0)</f>
        <v>0</v>
      </c>
      <c r="E323" s="2">
        <f>IFERROR(__xludf.DUMMYFUNCTION("""COMPUTED_VALUE"""),0.0)</f>
        <v>0</v>
      </c>
      <c r="F323" s="4">
        <f>IFERROR(__xludf.DUMMYFUNCTION("""COMPUTED_VALUE"""),0.0)</f>
        <v>0</v>
      </c>
      <c r="G323" s="4">
        <f>IFERROR(__xludf.DUMMYFUNCTION("""COMPUTED_VALUE"""),0.0)</f>
        <v>0</v>
      </c>
      <c r="H323" s="9">
        <f>IFERROR(__xludf.DUMMYFUNCTION("""COMPUTED_VALUE"""),1.32264)</f>
        <v>1.32264</v>
      </c>
      <c r="I323" s="4">
        <f>IFERROR(__xludf.DUMMYFUNCTION("""COMPUTED_VALUE"""),0.0)</f>
        <v>0</v>
      </c>
      <c r="J323" s="4">
        <f>IFERROR(__xludf.DUMMYFUNCTION("""COMPUTED_VALUE"""),36.150666666666666)</f>
        <v>36.15066667</v>
      </c>
      <c r="K323" s="4">
        <f>IFERROR(__xludf.DUMMYFUNCTION("""COMPUTED_VALUE"""),36.150666666666666)</f>
        <v>36.15066667</v>
      </c>
    </row>
    <row r="324" ht="22.5" customHeight="1">
      <c r="A324" s="2" t="str">
        <f>IFERROR(__xludf.DUMMYFUNCTION("""COMPUTED_VALUE"""),"L2")</f>
        <v>L2</v>
      </c>
      <c r="B324" s="2" t="str">
        <f>IFERROR(__xludf.DUMMYFUNCTION("""COMPUTED_VALUE"""),"2026-11")</f>
        <v>2026-11</v>
      </c>
      <c r="C324" s="2" t="str">
        <f>IFERROR(__xludf.DUMMYFUNCTION("""COMPUTED_VALUE"""),"DOOR-SUV")</f>
        <v>DOOR-SUV</v>
      </c>
      <c r="D324" s="2">
        <f>IFERROR(__xludf.DUMMYFUNCTION("""COMPUTED_VALUE"""),0.0)</f>
        <v>0</v>
      </c>
      <c r="E324" s="2">
        <f>IFERROR(__xludf.DUMMYFUNCTION("""COMPUTED_VALUE"""),0.0)</f>
        <v>0</v>
      </c>
      <c r="F324" s="4">
        <f>IFERROR(__xludf.DUMMYFUNCTION("""COMPUTED_VALUE"""),0.0)</f>
        <v>0</v>
      </c>
      <c r="G324" s="4">
        <f>IFERROR(__xludf.DUMMYFUNCTION("""COMPUTED_VALUE"""),0.0)</f>
        <v>0</v>
      </c>
      <c r="H324" s="9">
        <f>IFERROR(__xludf.DUMMYFUNCTION("""COMPUTED_VALUE"""),1.32264)</f>
        <v>1.32264</v>
      </c>
      <c r="I324" s="4">
        <f>IFERROR(__xludf.DUMMYFUNCTION("""COMPUTED_VALUE"""),0.0)</f>
        <v>0</v>
      </c>
      <c r="J324" s="4">
        <f>IFERROR(__xludf.DUMMYFUNCTION("""COMPUTED_VALUE"""),36.150666666666666)</f>
        <v>36.15066667</v>
      </c>
      <c r="K324" s="4">
        <f>IFERROR(__xludf.DUMMYFUNCTION("""COMPUTED_VALUE"""),36.150666666666666)</f>
        <v>36.15066667</v>
      </c>
    </row>
    <row r="325" ht="22.5" customHeight="1">
      <c r="A325" s="2" t="str">
        <f>IFERROR(__xludf.DUMMYFUNCTION("""COMPUTED_VALUE"""),"L2")</f>
        <v>L2</v>
      </c>
      <c r="B325" s="2" t="str">
        <f>IFERROR(__xludf.DUMMYFUNCTION("""COMPUTED_VALUE"""),"2026-12")</f>
        <v>2026-12</v>
      </c>
      <c r="C325" s="2" t="str">
        <f>IFERROR(__xludf.DUMMYFUNCTION("""COMPUTED_VALUE"""),"DOOR-SUV")</f>
        <v>DOOR-SUV</v>
      </c>
      <c r="D325" s="2">
        <f>IFERROR(__xludf.DUMMYFUNCTION("""COMPUTED_VALUE"""),0.0)</f>
        <v>0</v>
      </c>
      <c r="E325" s="2">
        <f>IFERROR(__xludf.DUMMYFUNCTION("""COMPUTED_VALUE"""),0.0)</f>
        <v>0</v>
      </c>
      <c r="F325" s="4">
        <f>IFERROR(__xludf.DUMMYFUNCTION("""COMPUTED_VALUE"""),0.0)</f>
        <v>0</v>
      </c>
      <c r="G325" s="4">
        <f>IFERROR(__xludf.DUMMYFUNCTION("""COMPUTED_VALUE"""),0.0)</f>
        <v>0</v>
      </c>
      <c r="H325" s="9">
        <f>IFERROR(__xludf.DUMMYFUNCTION("""COMPUTED_VALUE"""),1.32264)</f>
        <v>1.32264</v>
      </c>
      <c r="I325" s="4">
        <f>IFERROR(__xludf.DUMMYFUNCTION("""COMPUTED_VALUE"""),0.0)</f>
        <v>0</v>
      </c>
      <c r="J325" s="4">
        <f>IFERROR(__xludf.DUMMYFUNCTION("""COMPUTED_VALUE"""),36.150666666666666)</f>
        <v>36.15066667</v>
      </c>
      <c r="K325" s="4">
        <f>IFERROR(__xludf.DUMMYFUNCTION("""COMPUTED_VALUE"""),36.150666666666666)</f>
        <v>36.15066667</v>
      </c>
    </row>
    <row r="326" ht="22.5" customHeight="1">
      <c r="A326" s="2" t="str">
        <f>IFERROR(__xludf.DUMMYFUNCTION("""COMPUTED_VALUE"""),"L2")</f>
        <v>L2</v>
      </c>
      <c r="B326" s="2" t="str">
        <f>IFERROR(__xludf.DUMMYFUNCTION("""COMPUTED_VALUE"""),"2026-01")</f>
        <v>2026-01</v>
      </c>
      <c r="C326" s="2" t="str">
        <f>IFERROR(__xludf.DUMMYFUNCTION("""COMPUTED_VALUE"""),"DOOR-SUV - LX")</f>
        <v>DOOR-SUV - LX</v>
      </c>
      <c r="D326" s="2">
        <f>IFERROR(__xludf.DUMMYFUNCTION("""COMPUTED_VALUE"""),102.0)</f>
        <v>102</v>
      </c>
      <c r="E326" s="2">
        <f>IFERROR(__xludf.DUMMYFUNCTION("""COMPUTED_VALUE"""),3.0)</f>
        <v>3</v>
      </c>
      <c r="F326" s="4">
        <f>IFERROR(__xludf.DUMMYFUNCTION("""COMPUTED_VALUE"""),189474.18)</f>
        <v>189474.18</v>
      </c>
      <c r="G326" s="4">
        <f>IFERROR(__xludf.DUMMYFUNCTION("""COMPUTED_VALUE"""),9516.0)</f>
        <v>9516</v>
      </c>
      <c r="H326" s="9">
        <f>IFERROR(__xludf.DUMMYFUNCTION("""COMPUTED_VALUE"""),1.32264)</f>
        <v>1.32264</v>
      </c>
      <c r="I326" s="4">
        <f>IFERROR(__xludf.DUMMYFUNCTION("""COMPUTED_VALUE"""),263192.3716752)</f>
        <v>263192.3717</v>
      </c>
      <c r="J326" s="4">
        <f>IFERROR(__xludf.DUMMYFUNCTION("""COMPUTED_VALUE"""),0.0)</f>
        <v>0</v>
      </c>
      <c r="K326" s="4">
        <f>IFERROR(__xludf.DUMMYFUNCTION("""COMPUTED_VALUE"""),263192.3716752)</f>
        <v>263192.3717</v>
      </c>
    </row>
    <row r="327" ht="22.5" customHeight="1">
      <c r="A327" s="2" t="str">
        <f>IFERROR(__xludf.DUMMYFUNCTION("""COMPUTED_VALUE"""),"L2")</f>
        <v>L2</v>
      </c>
      <c r="B327" s="2" t="str">
        <f>IFERROR(__xludf.DUMMYFUNCTION("""COMPUTED_VALUE"""),"2026-02")</f>
        <v>2026-02</v>
      </c>
      <c r="C327" s="2" t="str">
        <f>IFERROR(__xludf.DUMMYFUNCTION("""COMPUTED_VALUE"""),"DOOR-SUV - LX")</f>
        <v>DOOR-SUV - LX</v>
      </c>
      <c r="D327" s="2">
        <f>IFERROR(__xludf.DUMMYFUNCTION("""COMPUTED_VALUE"""),1120.0)</f>
        <v>1120</v>
      </c>
      <c r="E327" s="2">
        <f>IFERROR(__xludf.DUMMYFUNCTION("""COMPUTED_VALUE"""),32.0)</f>
        <v>32</v>
      </c>
      <c r="F327" s="4">
        <f>IFERROR(__xludf.DUMMYFUNCTION("""COMPUTED_VALUE"""),2080500.7999999998)</f>
        <v>2080500.8</v>
      </c>
      <c r="G327" s="4">
        <f>IFERROR(__xludf.DUMMYFUNCTION("""COMPUTED_VALUE"""),103328.0)</f>
        <v>103328</v>
      </c>
      <c r="H327" s="9">
        <f>IFERROR(__xludf.DUMMYFUNCTION("""COMPUTED_VALUE"""),1.32264)</f>
        <v>1.32264</v>
      </c>
      <c r="I327" s="4">
        <f>IFERROR(__xludf.DUMMYFUNCTION("""COMPUTED_VALUE"""),2888419.324032)</f>
        <v>2888419.324</v>
      </c>
      <c r="J327" s="4">
        <f>IFERROR(__xludf.DUMMYFUNCTION("""COMPUTED_VALUE"""),0.0)</f>
        <v>0</v>
      </c>
      <c r="K327" s="4">
        <f>IFERROR(__xludf.DUMMYFUNCTION("""COMPUTED_VALUE"""),2888419.324032)</f>
        <v>2888419.324</v>
      </c>
    </row>
    <row r="328" ht="22.5" customHeight="1">
      <c r="A328" s="2" t="str">
        <f>IFERROR(__xludf.DUMMYFUNCTION("""COMPUTED_VALUE"""),"L2")</f>
        <v>L2</v>
      </c>
      <c r="B328" s="2" t="str">
        <f>IFERROR(__xludf.DUMMYFUNCTION("""COMPUTED_VALUE"""),"2026-03")</f>
        <v>2026-03</v>
      </c>
      <c r="C328" s="2" t="str">
        <f>IFERROR(__xludf.DUMMYFUNCTION("""COMPUTED_VALUE"""),"DOOR-SUV - LX")</f>
        <v>DOOR-SUV - LX</v>
      </c>
      <c r="D328" s="2">
        <f>IFERROR(__xludf.DUMMYFUNCTION("""COMPUTED_VALUE"""),0.0)</f>
        <v>0</v>
      </c>
      <c r="E328" s="2">
        <f>IFERROR(__xludf.DUMMYFUNCTION("""COMPUTED_VALUE"""),0.0)</f>
        <v>0</v>
      </c>
      <c r="F328" s="4">
        <f>IFERROR(__xludf.DUMMYFUNCTION("""COMPUTED_VALUE"""),0.0)</f>
        <v>0</v>
      </c>
      <c r="G328" s="4">
        <f>IFERROR(__xludf.DUMMYFUNCTION("""COMPUTED_VALUE"""),0.0)</f>
        <v>0</v>
      </c>
      <c r="H328" s="9">
        <f>IFERROR(__xludf.DUMMYFUNCTION("""COMPUTED_VALUE"""),1.32264)</f>
        <v>1.32264</v>
      </c>
      <c r="I328" s="4">
        <f>IFERROR(__xludf.DUMMYFUNCTION("""COMPUTED_VALUE"""),0.0)</f>
        <v>0</v>
      </c>
      <c r="J328" s="4">
        <f>IFERROR(__xludf.DUMMYFUNCTION("""COMPUTED_VALUE"""),0.0)</f>
        <v>0</v>
      </c>
      <c r="K328" s="4">
        <f>IFERROR(__xludf.DUMMYFUNCTION("""COMPUTED_VALUE"""),0.0)</f>
        <v>0</v>
      </c>
    </row>
    <row r="329" ht="22.5" customHeight="1">
      <c r="A329" s="2" t="str">
        <f>IFERROR(__xludf.DUMMYFUNCTION("""COMPUTED_VALUE"""),"L2")</f>
        <v>L2</v>
      </c>
      <c r="B329" s="2" t="str">
        <f>IFERROR(__xludf.DUMMYFUNCTION("""COMPUTED_VALUE"""),"2026-04")</f>
        <v>2026-04</v>
      </c>
      <c r="C329" s="2" t="str">
        <f>IFERROR(__xludf.DUMMYFUNCTION("""COMPUTED_VALUE"""),"DOOR-SUV - LX")</f>
        <v>DOOR-SUV - LX</v>
      </c>
      <c r="D329" s="2">
        <f>IFERROR(__xludf.DUMMYFUNCTION("""COMPUTED_VALUE"""),0.0)</f>
        <v>0</v>
      </c>
      <c r="E329" s="2">
        <f>IFERROR(__xludf.DUMMYFUNCTION("""COMPUTED_VALUE"""),0.0)</f>
        <v>0</v>
      </c>
      <c r="F329" s="4">
        <f>IFERROR(__xludf.DUMMYFUNCTION("""COMPUTED_VALUE"""),0.0)</f>
        <v>0</v>
      </c>
      <c r="G329" s="4">
        <f>IFERROR(__xludf.DUMMYFUNCTION("""COMPUTED_VALUE"""),0.0)</f>
        <v>0</v>
      </c>
      <c r="H329" s="9">
        <f>IFERROR(__xludf.DUMMYFUNCTION("""COMPUTED_VALUE"""),1.32264)</f>
        <v>1.32264</v>
      </c>
      <c r="I329" s="4">
        <f>IFERROR(__xludf.DUMMYFUNCTION("""COMPUTED_VALUE"""),0.0)</f>
        <v>0</v>
      </c>
      <c r="J329" s="4">
        <f>IFERROR(__xludf.DUMMYFUNCTION("""COMPUTED_VALUE"""),0.0)</f>
        <v>0</v>
      </c>
      <c r="K329" s="4">
        <f>IFERROR(__xludf.DUMMYFUNCTION("""COMPUTED_VALUE"""),0.0)</f>
        <v>0</v>
      </c>
    </row>
    <row r="330" ht="22.5" customHeight="1">
      <c r="A330" s="2" t="str">
        <f>IFERROR(__xludf.DUMMYFUNCTION("""COMPUTED_VALUE"""),"L2")</f>
        <v>L2</v>
      </c>
      <c r="B330" s="2" t="str">
        <f>IFERROR(__xludf.DUMMYFUNCTION("""COMPUTED_VALUE"""),"2026-05")</f>
        <v>2026-05</v>
      </c>
      <c r="C330" s="2" t="str">
        <f>IFERROR(__xludf.DUMMYFUNCTION("""COMPUTED_VALUE"""),"DOOR-SUV - LX")</f>
        <v>DOOR-SUV - LX</v>
      </c>
      <c r="D330" s="2">
        <f>IFERROR(__xludf.DUMMYFUNCTION("""COMPUTED_VALUE"""),0.0)</f>
        <v>0</v>
      </c>
      <c r="E330" s="2">
        <f>IFERROR(__xludf.DUMMYFUNCTION("""COMPUTED_VALUE"""),0.0)</f>
        <v>0</v>
      </c>
      <c r="F330" s="4">
        <f>IFERROR(__xludf.DUMMYFUNCTION("""COMPUTED_VALUE"""),0.0)</f>
        <v>0</v>
      </c>
      <c r="G330" s="4">
        <f>IFERROR(__xludf.DUMMYFUNCTION("""COMPUTED_VALUE"""),0.0)</f>
        <v>0</v>
      </c>
      <c r="H330" s="9">
        <f>IFERROR(__xludf.DUMMYFUNCTION("""COMPUTED_VALUE"""),1.32264)</f>
        <v>1.32264</v>
      </c>
      <c r="I330" s="4">
        <f>IFERROR(__xludf.DUMMYFUNCTION("""COMPUTED_VALUE"""),0.0)</f>
        <v>0</v>
      </c>
      <c r="J330" s="4">
        <f>IFERROR(__xludf.DUMMYFUNCTION("""COMPUTED_VALUE"""),0.0)</f>
        <v>0</v>
      </c>
      <c r="K330" s="4">
        <f>IFERROR(__xludf.DUMMYFUNCTION("""COMPUTED_VALUE"""),0.0)</f>
        <v>0</v>
      </c>
    </row>
    <row r="331" ht="22.5" customHeight="1">
      <c r="A331" s="2" t="str">
        <f>IFERROR(__xludf.DUMMYFUNCTION("""COMPUTED_VALUE"""),"L2")</f>
        <v>L2</v>
      </c>
      <c r="B331" s="2" t="str">
        <f>IFERROR(__xludf.DUMMYFUNCTION("""COMPUTED_VALUE"""),"2026-06")</f>
        <v>2026-06</v>
      </c>
      <c r="C331" s="2" t="str">
        <f>IFERROR(__xludf.DUMMYFUNCTION("""COMPUTED_VALUE"""),"DOOR-SUV - LX")</f>
        <v>DOOR-SUV - LX</v>
      </c>
      <c r="D331" s="2">
        <f>IFERROR(__xludf.DUMMYFUNCTION("""COMPUTED_VALUE"""),0.0)</f>
        <v>0</v>
      </c>
      <c r="E331" s="2">
        <f>IFERROR(__xludf.DUMMYFUNCTION("""COMPUTED_VALUE"""),0.0)</f>
        <v>0</v>
      </c>
      <c r="F331" s="4">
        <f>IFERROR(__xludf.DUMMYFUNCTION("""COMPUTED_VALUE"""),0.0)</f>
        <v>0</v>
      </c>
      <c r="G331" s="4">
        <f>IFERROR(__xludf.DUMMYFUNCTION("""COMPUTED_VALUE"""),0.0)</f>
        <v>0</v>
      </c>
      <c r="H331" s="9">
        <f>IFERROR(__xludf.DUMMYFUNCTION("""COMPUTED_VALUE"""),1.32264)</f>
        <v>1.32264</v>
      </c>
      <c r="I331" s="4">
        <f>IFERROR(__xludf.DUMMYFUNCTION("""COMPUTED_VALUE"""),0.0)</f>
        <v>0</v>
      </c>
      <c r="J331" s="4">
        <f>IFERROR(__xludf.DUMMYFUNCTION("""COMPUTED_VALUE"""),0.0)</f>
        <v>0</v>
      </c>
      <c r="K331" s="4">
        <f>IFERROR(__xludf.DUMMYFUNCTION("""COMPUTED_VALUE"""),0.0)</f>
        <v>0</v>
      </c>
    </row>
    <row r="332" ht="22.5" customHeight="1">
      <c r="A332" s="2" t="str">
        <f>IFERROR(__xludf.DUMMYFUNCTION("""COMPUTED_VALUE"""),"L2")</f>
        <v>L2</v>
      </c>
      <c r="B332" s="2" t="str">
        <f>IFERROR(__xludf.DUMMYFUNCTION("""COMPUTED_VALUE"""),"2026-07")</f>
        <v>2026-07</v>
      </c>
      <c r="C332" s="2" t="str">
        <f>IFERROR(__xludf.DUMMYFUNCTION("""COMPUTED_VALUE"""),"DOOR-SUV - LX")</f>
        <v>DOOR-SUV - LX</v>
      </c>
      <c r="D332" s="2">
        <f>IFERROR(__xludf.DUMMYFUNCTION("""COMPUTED_VALUE"""),0.0)</f>
        <v>0</v>
      </c>
      <c r="E332" s="2">
        <f>IFERROR(__xludf.DUMMYFUNCTION("""COMPUTED_VALUE"""),0.0)</f>
        <v>0</v>
      </c>
      <c r="F332" s="4">
        <f>IFERROR(__xludf.DUMMYFUNCTION("""COMPUTED_VALUE"""),0.0)</f>
        <v>0</v>
      </c>
      <c r="G332" s="4">
        <f>IFERROR(__xludf.DUMMYFUNCTION("""COMPUTED_VALUE"""),0.0)</f>
        <v>0</v>
      </c>
      <c r="H332" s="9">
        <f>IFERROR(__xludf.DUMMYFUNCTION("""COMPUTED_VALUE"""),1.32264)</f>
        <v>1.32264</v>
      </c>
      <c r="I332" s="4">
        <f>IFERROR(__xludf.DUMMYFUNCTION("""COMPUTED_VALUE"""),0.0)</f>
        <v>0</v>
      </c>
      <c r="J332" s="4">
        <f>IFERROR(__xludf.DUMMYFUNCTION("""COMPUTED_VALUE"""),0.0)</f>
        <v>0</v>
      </c>
      <c r="K332" s="4">
        <f>IFERROR(__xludf.DUMMYFUNCTION("""COMPUTED_VALUE"""),0.0)</f>
        <v>0</v>
      </c>
    </row>
    <row r="333" ht="22.5" customHeight="1">
      <c r="A333" s="2" t="str">
        <f>IFERROR(__xludf.DUMMYFUNCTION("""COMPUTED_VALUE"""),"L2")</f>
        <v>L2</v>
      </c>
      <c r="B333" s="2" t="str">
        <f>IFERROR(__xludf.DUMMYFUNCTION("""COMPUTED_VALUE"""),"2026-08")</f>
        <v>2026-08</v>
      </c>
      <c r="C333" s="2" t="str">
        <f>IFERROR(__xludf.DUMMYFUNCTION("""COMPUTED_VALUE"""),"DOOR-SUV - LX")</f>
        <v>DOOR-SUV - LX</v>
      </c>
      <c r="D333" s="2">
        <f>IFERROR(__xludf.DUMMYFUNCTION("""COMPUTED_VALUE"""),0.0)</f>
        <v>0</v>
      </c>
      <c r="E333" s="2">
        <f>IFERROR(__xludf.DUMMYFUNCTION("""COMPUTED_VALUE"""),0.0)</f>
        <v>0</v>
      </c>
      <c r="F333" s="4">
        <f>IFERROR(__xludf.DUMMYFUNCTION("""COMPUTED_VALUE"""),0.0)</f>
        <v>0</v>
      </c>
      <c r="G333" s="4">
        <f>IFERROR(__xludf.DUMMYFUNCTION("""COMPUTED_VALUE"""),0.0)</f>
        <v>0</v>
      </c>
      <c r="H333" s="9">
        <f>IFERROR(__xludf.DUMMYFUNCTION("""COMPUTED_VALUE"""),1.32264)</f>
        <v>1.32264</v>
      </c>
      <c r="I333" s="4">
        <f>IFERROR(__xludf.DUMMYFUNCTION("""COMPUTED_VALUE"""),0.0)</f>
        <v>0</v>
      </c>
      <c r="J333" s="4">
        <f>IFERROR(__xludf.DUMMYFUNCTION("""COMPUTED_VALUE"""),0.0)</f>
        <v>0</v>
      </c>
      <c r="K333" s="4">
        <f>IFERROR(__xludf.DUMMYFUNCTION("""COMPUTED_VALUE"""),0.0)</f>
        <v>0</v>
      </c>
    </row>
    <row r="334" ht="22.5" customHeight="1">
      <c r="A334" s="2" t="str">
        <f>IFERROR(__xludf.DUMMYFUNCTION("""COMPUTED_VALUE"""),"L2")</f>
        <v>L2</v>
      </c>
      <c r="B334" s="2" t="str">
        <f>IFERROR(__xludf.DUMMYFUNCTION("""COMPUTED_VALUE"""),"2026-09")</f>
        <v>2026-09</v>
      </c>
      <c r="C334" s="2" t="str">
        <f>IFERROR(__xludf.DUMMYFUNCTION("""COMPUTED_VALUE"""),"DOOR-SUV - LX")</f>
        <v>DOOR-SUV - LX</v>
      </c>
      <c r="D334" s="2">
        <f>IFERROR(__xludf.DUMMYFUNCTION("""COMPUTED_VALUE"""),0.0)</f>
        <v>0</v>
      </c>
      <c r="E334" s="2">
        <f>IFERROR(__xludf.DUMMYFUNCTION("""COMPUTED_VALUE"""),0.0)</f>
        <v>0</v>
      </c>
      <c r="F334" s="4">
        <f>IFERROR(__xludf.DUMMYFUNCTION("""COMPUTED_VALUE"""),0.0)</f>
        <v>0</v>
      </c>
      <c r="G334" s="4">
        <f>IFERROR(__xludf.DUMMYFUNCTION("""COMPUTED_VALUE"""),0.0)</f>
        <v>0</v>
      </c>
      <c r="H334" s="9">
        <f>IFERROR(__xludf.DUMMYFUNCTION("""COMPUTED_VALUE"""),1.32264)</f>
        <v>1.32264</v>
      </c>
      <c r="I334" s="4">
        <f>IFERROR(__xludf.DUMMYFUNCTION("""COMPUTED_VALUE"""),0.0)</f>
        <v>0</v>
      </c>
      <c r="J334" s="4">
        <f>IFERROR(__xludf.DUMMYFUNCTION("""COMPUTED_VALUE"""),0.0)</f>
        <v>0</v>
      </c>
      <c r="K334" s="4">
        <f>IFERROR(__xludf.DUMMYFUNCTION("""COMPUTED_VALUE"""),0.0)</f>
        <v>0</v>
      </c>
    </row>
    <row r="335" ht="22.5" customHeight="1">
      <c r="A335" s="2" t="str">
        <f>IFERROR(__xludf.DUMMYFUNCTION("""COMPUTED_VALUE"""),"L2")</f>
        <v>L2</v>
      </c>
      <c r="B335" s="2" t="str">
        <f>IFERROR(__xludf.DUMMYFUNCTION("""COMPUTED_VALUE"""),"2026-10")</f>
        <v>2026-10</v>
      </c>
      <c r="C335" s="2" t="str">
        <f>IFERROR(__xludf.DUMMYFUNCTION("""COMPUTED_VALUE"""),"DOOR-SUV - LX")</f>
        <v>DOOR-SUV - LX</v>
      </c>
      <c r="D335" s="2">
        <f>IFERROR(__xludf.DUMMYFUNCTION("""COMPUTED_VALUE"""),0.0)</f>
        <v>0</v>
      </c>
      <c r="E335" s="2">
        <f>IFERROR(__xludf.DUMMYFUNCTION("""COMPUTED_VALUE"""),0.0)</f>
        <v>0</v>
      </c>
      <c r="F335" s="4">
        <f>IFERROR(__xludf.DUMMYFUNCTION("""COMPUTED_VALUE"""),0.0)</f>
        <v>0</v>
      </c>
      <c r="G335" s="4">
        <f>IFERROR(__xludf.DUMMYFUNCTION("""COMPUTED_VALUE"""),0.0)</f>
        <v>0</v>
      </c>
      <c r="H335" s="9">
        <f>IFERROR(__xludf.DUMMYFUNCTION("""COMPUTED_VALUE"""),1.32264)</f>
        <v>1.32264</v>
      </c>
      <c r="I335" s="4">
        <f>IFERROR(__xludf.DUMMYFUNCTION("""COMPUTED_VALUE"""),0.0)</f>
        <v>0</v>
      </c>
      <c r="J335" s="4">
        <f>IFERROR(__xludf.DUMMYFUNCTION("""COMPUTED_VALUE"""),0.0)</f>
        <v>0</v>
      </c>
      <c r="K335" s="4">
        <f>IFERROR(__xludf.DUMMYFUNCTION("""COMPUTED_VALUE"""),0.0)</f>
        <v>0</v>
      </c>
    </row>
    <row r="336" ht="22.5" customHeight="1">
      <c r="A336" s="2" t="str">
        <f>IFERROR(__xludf.DUMMYFUNCTION("""COMPUTED_VALUE"""),"L2")</f>
        <v>L2</v>
      </c>
      <c r="B336" s="2" t="str">
        <f>IFERROR(__xludf.DUMMYFUNCTION("""COMPUTED_VALUE"""),"2026-11")</f>
        <v>2026-11</v>
      </c>
      <c r="C336" s="2" t="str">
        <f>IFERROR(__xludf.DUMMYFUNCTION("""COMPUTED_VALUE"""),"DOOR-SUV - LX")</f>
        <v>DOOR-SUV - LX</v>
      </c>
      <c r="D336" s="2">
        <f>IFERROR(__xludf.DUMMYFUNCTION("""COMPUTED_VALUE"""),0.0)</f>
        <v>0</v>
      </c>
      <c r="E336" s="2">
        <f>IFERROR(__xludf.DUMMYFUNCTION("""COMPUTED_VALUE"""),0.0)</f>
        <v>0</v>
      </c>
      <c r="F336" s="4">
        <f>IFERROR(__xludf.DUMMYFUNCTION("""COMPUTED_VALUE"""),0.0)</f>
        <v>0</v>
      </c>
      <c r="G336" s="4">
        <f>IFERROR(__xludf.DUMMYFUNCTION("""COMPUTED_VALUE"""),0.0)</f>
        <v>0</v>
      </c>
      <c r="H336" s="9">
        <f>IFERROR(__xludf.DUMMYFUNCTION("""COMPUTED_VALUE"""),1.32264)</f>
        <v>1.32264</v>
      </c>
      <c r="I336" s="4">
        <f>IFERROR(__xludf.DUMMYFUNCTION("""COMPUTED_VALUE"""),0.0)</f>
        <v>0</v>
      </c>
      <c r="J336" s="4">
        <f>IFERROR(__xludf.DUMMYFUNCTION("""COMPUTED_VALUE"""),0.0)</f>
        <v>0</v>
      </c>
      <c r="K336" s="4">
        <f>IFERROR(__xludf.DUMMYFUNCTION("""COMPUTED_VALUE"""),0.0)</f>
        <v>0</v>
      </c>
    </row>
    <row r="337" ht="22.5" customHeight="1">
      <c r="A337" s="2" t="str">
        <f>IFERROR(__xludf.DUMMYFUNCTION("""COMPUTED_VALUE"""),"L2")</f>
        <v>L2</v>
      </c>
      <c r="B337" s="2" t="str">
        <f>IFERROR(__xludf.DUMMYFUNCTION("""COMPUTED_VALUE"""),"2026-12")</f>
        <v>2026-12</v>
      </c>
      <c r="C337" s="2" t="str">
        <f>IFERROR(__xludf.DUMMYFUNCTION("""COMPUTED_VALUE"""),"DOOR-SUV - LX")</f>
        <v>DOOR-SUV - LX</v>
      </c>
      <c r="D337" s="2">
        <f>IFERROR(__xludf.DUMMYFUNCTION("""COMPUTED_VALUE"""),0.0)</f>
        <v>0</v>
      </c>
      <c r="E337" s="2">
        <f>IFERROR(__xludf.DUMMYFUNCTION("""COMPUTED_VALUE"""),0.0)</f>
        <v>0</v>
      </c>
      <c r="F337" s="4">
        <f>IFERROR(__xludf.DUMMYFUNCTION("""COMPUTED_VALUE"""),0.0)</f>
        <v>0</v>
      </c>
      <c r="G337" s="4">
        <f>IFERROR(__xludf.DUMMYFUNCTION("""COMPUTED_VALUE"""),0.0)</f>
        <v>0</v>
      </c>
      <c r="H337" s="9">
        <f>IFERROR(__xludf.DUMMYFUNCTION("""COMPUTED_VALUE"""),1.32264)</f>
        <v>1.32264</v>
      </c>
      <c r="I337" s="4">
        <f>IFERROR(__xludf.DUMMYFUNCTION("""COMPUTED_VALUE"""),0.0)</f>
        <v>0</v>
      </c>
      <c r="J337" s="4">
        <f>IFERROR(__xludf.DUMMYFUNCTION("""COMPUTED_VALUE"""),0.0)</f>
        <v>0</v>
      </c>
      <c r="K337" s="4">
        <f>IFERROR(__xludf.DUMMYFUNCTION("""COMPUTED_VALUE"""),0.0)</f>
        <v>0</v>
      </c>
    </row>
    <row r="338" ht="22.5" customHeight="1">
      <c r="A338" s="2" t="str">
        <f>IFERROR(__xludf.DUMMYFUNCTION("""COMPUTED_VALUE"""),"L2")</f>
        <v>L2</v>
      </c>
      <c r="B338" s="2" t="str">
        <f>IFERROR(__xludf.DUMMYFUNCTION("""COMPUTED_VALUE"""),"2026-01")</f>
        <v>2026-01</v>
      </c>
      <c r="C338" s="2" t="str">
        <f>IFERROR(__xludf.DUMMYFUNCTION("""COMPUTED_VALUE"""),"FRAME-SD")</f>
        <v>FRAME-SD</v>
      </c>
      <c r="D338" s="2">
        <f>IFERROR(__xludf.DUMMYFUNCTION("""COMPUTED_VALUE"""),0.0)</f>
        <v>0</v>
      </c>
      <c r="E338" s="2">
        <f>IFERROR(__xludf.DUMMYFUNCTION("""COMPUTED_VALUE"""),0.0)</f>
        <v>0</v>
      </c>
      <c r="F338" s="4">
        <f>IFERROR(__xludf.DUMMYFUNCTION("""COMPUTED_VALUE"""),0.0)</f>
        <v>0</v>
      </c>
      <c r="G338" s="4">
        <f>IFERROR(__xludf.DUMMYFUNCTION("""COMPUTED_VALUE"""),0.0)</f>
        <v>0</v>
      </c>
      <c r="H338" s="9">
        <f>IFERROR(__xludf.DUMMYFUNCTION("""COMPUTED_VALUE"""),1.32264)</f>
        <v>1.32264</v>
      </c>
      <c r="I338" s="4">
        <f>IFERROR(__xludf.DUMMYFUNCTION("""COMPUTED_VALUE"""),0.0)</f>
        <v>0</v>
      </c>
      <c r="J338" s="4">
        <f>IFERROR(__xludf.DUMMYFUNCTION("""COMPUTED_VALUE"""),4265.436)</f>
        <v>4265.436</v>
      </c>
      <c r="K338" s="4">
        <f>IFERROR(__xludf.DUMMYFUNCTION("""COMPUTED_VALUE"""),4265.436)</f>
        <v>4265.436</v>
      </c>
    </row>
    <row r="339" ht="22.5" customHeight="1">
      <c r="A339" s="2" t="str">
        <f>IFERROR(__xludf.DUMMYFUNCTION("""COMPUTED_VALUE"""),"L2")</f>
        <v>L2</v>
      </c>
      <c r="B339" s="2" t="str">
        <f>IFERROR(__xludf.DUMMYFUNCTION("""COMPUTED_VALUE"""),"2026-02")</f>
        <v>2026-02</v>
      </c>
      <c r="C339" s="2" t="str">
        <f>IFERROR(__xludf.DUMMYFUNCTION("""COMPUTED_VALUE"""),"FRAME-SD")</f>
        <v>FRAME-SD</v>
      </c>
      <c r="D339" s="2">
        <f>IFERROR(__xludf.DUMMYFUNCTION("""COMPUTED_VALUE"""),0.0)</f>
        <v>0</v>
      </c>
      <c r="E339" s="2">
        <f>IFERROR(__xludf.DUMMYFUNCTION("""COMPUTED_VALUE"""),0.0)</f>
        <v>0</v>
      </c>
      <c r="F339" s="4">
        <f>IFERROR(__xludf.DUMMYFUNCTION("""COMPUTED_VALUE"""),0.0)</f>
        <v>0</v>
      </c>
      <c r="G339" s="4">
        <f>IFERROR(__xludf.DUMMYFUNCTION("""COMPUTED_VALUE"""),0.0)</f>
        <v>0</v>
      </c>
      <c r="H339" s="9">
        <f>IFERROR(__xludf.DUMMYFUNCTION("""COMPUTED_VALUE"""),1.32264)</f>
        <v>1.32264</v>
      </c>
      <c r="I339" s="4">
        <f>IFERROR(__xludf.DUMMYFUNCTION("""COMPUTED_VALUE"""),0.0)</f>
        <v>0</v>
      </c>
      <c r="J339" s="4">
        <f>IFERROR(__xludf.DUMMYFUNCTION("""COMPUTED_VALUE"""),0.0)</f>
        <v>0</v>
      </c>
      <c r="K339" s="4">
        <f>IFERROR(__xludf.DUMMYFUNCTION("""COMPUTED_VALUE"""),0.0)</f>
        <v>0</v>
      </c>
    </row>
    <row r="340" ht="22.5" customHeight="1">
      <c r="A340" s="2" t="str">
        <f>IFERROR(__xludf.DUMMYFUNCTION("""COMPUTED_VALUE"""),"L2")</f>
        <v>L2</v>
      </c>
      <c r="B340" s="2" t="str">
        <f>IFERROR(__xludf.DUMMYFUNCTION("""COMPUTED_VALUE"""),"2026-03")</f>
        <v>2026-03</v>
      </c>
      <c r="C340" s="2" t="str">
        <f>IFERROR(__xludf.DUMMYFUNCTION("""COMPUTED_VALUE"""),"FRAME-SD")</f>
        <v>FRAME-SD</v>
      </c>
      <c r="D340" s="2">
        <f>IFERROR(__xludf.DUMMYFUNCTION("""COMPUTED_VALUE"""),0.0)</f>
        <v>0</v>
      </c>
      <c r="E340" s="2">
        <f>IFERROR(__xludf.DUMMYFUNCTION("""COMPUTED_VALUE"""),0.0)</f>
        <v>0</v>
      </c>
      <c r="F340" s="4">
        <f>IFERROR(__xludf.DUMMYFUNCTION("""COMPUTED_VALUE"""),0.0)</f>
        <v>0</v>
      </c>
      <c r="G340" s="4">
        <f>IFERROR(__xludf.DUMMYFUNCTION("""COMPUTED_VALUE"""),0.0)</f>
        <v>0</v>
      </c>
      <c r="H340" s="9">
        <f>IFERROR(__xludf.DUMMYFUNCTION("""COMPUTED_VALUE"""),1.32264)</f>
        <v>1.32264</v>
      </c>
      <c r="I340" s="4">
        <f>IFERROR(__xludf.DUMMYFUNCTION("""COMPUTED_VALUE"""),0.0)</f>
        <v>0</v>
      </c>
      <c r="J340" s="4">
        <f>IFERROR(__xludf.DUMMYFUNCTION("""COMPUTED_VALUE"""),0.0)</f>
        <v>0</v>
      </c>
      <c r="K340" s="4">
        <f>IFERROR(__xludf.DUMMYFUNCTION("""COMPUTED_VALUE"""),0.0)</f>
        <v>0</v>
      </c>
    </row>
    <row r="341" ht="22.5" customHeight="1">
      <c r="A341" s="2" t="str">
        <f>IFERROR(__xludf.DUMMYFUNCTION("""COMPUTED_VALUE"""),"L2")</f>
        <v>L2</v>
      </c>
      <c r="B341" s="2" t="str">
        <f>IFERROR(__xludf.DUMMYFUNCTION("""COMPUTED_VALUE"""),"2026-04")</f>
        <v>2026-04</v>
      </c>
      <c r="C341" s="2" t="str">
        <f>IFERROR(__xludf.DUMMYFUNCTION("""COMPUTED_VALUE"""),"FRAME-SD")</f>
        <v>FRAME-SD</v>
      </c>
      <c r="D341" s="2">
        <f>IFERROR(__xludf.DUMMYFUNCTION("""COMPUTED_VALUE"""),0.0)</f>
        <v>0</v>
      </c>
      <c r="E341" s="2">
        <f>IFERROR(__xludf.DUMMYFUNCTION("""COMPUTED_VALUE"""),0.0)</f>
        <v>0</v>
      </c>
      <c r="F341" s="4">
        <f>IFERROR(__xludf.DUMMYFUNCTION("""COMPUTED_VALUE"""),0.0)</f>
        <v>0</v>
      </c>
      <c r="G341" s="4">
        <f>IFERROR(__xludf.DUMMYFUNCTION("""COMPUTED_VALUE"""),0.0)</f>
        <v>0</v>
      </c>
      <c r="H341" s="9">
        <f>IFERROR(__xludf.DUMMYFUNCTION("""COMPUTED_VALUE"""),1.32264)</f>
        <v>1.32264</v>
      </c>
      <c r="I341" s="4">
        <f>IFERROR(__xludf.DUMMYFUNCTION("""COMPUTED_VALUE"""),0.0)</f>
        <v>0</v>
      </c>
      <c r="J341" s="4">
        <f>IFERROR(__xludf.DUMMYFUNCTION("""COMPUTED_VALUE"""),0.0)</f>
        <v>0</v>
      </c>
      <c r="K341" s="4">
        <f>IFERROR(__xludf.DUMMYFUNCTION("""COMPUTED_VALUE"""),0.0)</f>
        <v>0</v>
      </c>
    </row>
    <row r="342" ht="22.5" customHeight="1">
      <c r="A342" s="2" t="str">
        <f>IFERROR(__xludf.DUMMYFUNCTION("""COMPUTED_VALUE"""),"L2")</f>
        <v>L2</v>
      </c>
      <c r="B342" s="2" t="str">
        <f>IFERROR(__xludf.DUMMYFUNCTION("""COMPUTED_VALUE"""),"2026-05")</f>
        <v>2026-05</v>
      </c>
      <c r="C342" s="2" t="str">
        <f>IFERROR(__xludf.DUMMYFUNCTION("""COMPUTED_VALUE"""),"FRAME-SD")</f>
        <v>FRAME-SD</v>
      </c>
      <c r="D342" s="2">
        <f>IFERROR(__xludf.DUMMYFUNCTION("""COMPUTED_VALUE"""),0.0)</f>
        <v>0</v>
      </c>
      <c r="E342" s="2">
        <f>IFERROR(__xludf.DUMMYFUNCTION("""COMPUTED_VALUE"""),0.0)</f>
        <v>0</v>
      </c>
      <c r="F342" s="4">
        <f>IFERROR(__xludf.DUMMYFUNCTION("""COMPUTED_VALUE"""),0.0)</f>
        <v>0</v>
      </c>
      <c r="G342" s="4">
        <f>IFERROR(__xludf.DUMMYFUNCTION("""COMPUTED_VALUE"""),0.0)</f>
        <v>0</v>
      </c>
      <c r="H342" s="9">
        <f>IFERROR(__xludf.DUMMYFUNCTION("""COMPUTED_VALUE"""),1.32264)</f>
        <v>1.32264</v>
      </c>
      <c r="I342" s="4">
        <f>IFERROR(__xludf.DUMMYFUNCTION("""COMPUTED_VALUE"""),0.0)</f>
        <v>0</v>
      </c>
      <c r="J342" s="4">
        <f>IFERROR(__xludf.DUMMYFUNCTION("""COMPUTED_VALUE"""),0.0)</f>
        <v>0</v>
      </c>
      <c r="K342" s="4">
        <f>IFERROR(__xludf.DUMMYFUNCTION("""COMPUTED_VALUE"""),0.0)</f>
        <v>0</v>
      </c>
    </row>
    <row r="343" ht="22.5" customHeight="1">
      <c r="A343" s="2" t="str">
        <f>IFERROR(__xludf.DUMMYFUNCTION("""COMPUTED_VALUE"""),"L2")</f>
        <v>L2</v>
      </c>
      <c r="B343" s="2" t="str">
        <f>IFERROR(__xludf.DUMMYFUNCTION("""COMPUTED_VALUE"""),"2026-06")</f>
        <v>2026-06</v>
      </c>
      <c r="C343" s="2" t="str">
        <f>IFERROR(__xludf.DUMMYFUNCTION("""COMPUTED_VALUE"""),"FRAME-SD")</f>
        <v>FRAME-SD</v>
      </c>
      <c r="D343" s="2">
        <f>IFERROR(__xludf.DUMMYFUNCTION("""COMPUTED_VALUE"""),0.0)</f>
        <v>0</v>
      </c>
      <c r="E343" s="2">
        <f>IFERROR(__xludf.DUMMYFUNCTION("""COMPUTED_VALUE"""),0.0)</f>
        <v>0</v>
      </c>
      <c r="F343" s="4">
        <f>IFERROR(__xludf.DUMMYFUNCTION("""COMPUTED_VALUE"""),0.0)</f>
        <v>0</v>
      </c>
      <c r="G343" s="4">
        <f>IFERROR(__xludf.DUMMYFUNCTION("""COMPUTED_VALUE"""),0.0)</f>
        <v>0</v>
      </c>
      <c r="H343" s="9">
        <f>IFERROR(__xludf.DUMMYFUNCTION("""COMPUTED_VALUE"""),1.32264)</f>
        <v>1.32264</v>
      </c>
      <c r="I343" s="4">
        <f>IFERROR(__xludf.DUMMYFUNCTION("""COMPUTED_VALUE"""),0.0)</f>
        <v>0</v>
      </c>
      <c r="J343" s="4">
        <f>IFERROR(__xludf.DUMMYFUNCTION("""COMPUTED_VALUE"""),0.0)</f>
        <v>0</v>
      </c>
      <c r="K343" s="4">
        <f>IFERROR(__xludf.DUMMYFUNCTION("""COMPUTED_VALUE"""),0.0)</f>
        <v>0</v>
      </c>
    </row>
    <row r="344" ht="22.5" customHeight="1">
      <c r="A344" s="2" t="str">
        <f>IFERROR(__xludf.DUMMYFUNCTION("""COMPUTED_VALUE"""),"L2")</f>
        <v>L2</v>
      </c>
      <c r="B344" s="2" t="str">
        <f>IFERROR(__xludf.DUMMYFUNCTION("""COMPUTED_VALUE"""),"2026-07")</f>
        <v>2026-07</v>
      </c>
      <c r="C344" s="2" t="str">
        <f>IFERROR(__xludf.DUMMYFUNCTION("""COMPUTED_VALUE"""),"FRAME-SD")</f>
        <v>FRAME-SD</v>
      </c>
      <c r="D344" s="2">
        <f>IFERROR(__xludf.DUMMYFUNCTION("""COMPUTED_VALUE"""),0.0)</f>
        <v>0</v>
      </c>
      <c r="E344" s="2">
        <f>IFERROR(__xludf.DUMMYFUNCTION("""COMPUTED_VALUE"""),0.0)</f>
        <v>0</v>
      </c>
      <c r="F344" s="4">
        <f>IFERROR(__xludf.DUMMYFUNCTION("""COMPUTED_VALUE"""),0.0)</f>
        <v>0</v>
      </c>
      <c r="G344" s="4">
        <f>IFERROR(__xludf.DUMMYFUNCTION("""COMPUTED_VALUE"""),0.0)</f>
        <v>0</v>
      </c>
      <c r="H344" s="9">
        <f>IFERROR(__xludf.DUMMYFUNCTION("""COMPUTED_VALUE"""),1.32264)</f>
        <v>1.32264</v>
      </c>
      <c r="I344" s="4">
        <f>IFERROR(__xludf.DUMMYFUNCTION("""COMPUTED_VALUE"""),0.0)</f>
        <v>0</v>
      </c>
      <c r="J344" s="4">
        <f>IFERROR(__xludf.DUMMYFUNCTION("""COMPUTED_VALUE"""),0.0)</f>
        <v>0</v>
      </c>
      <c r="K344" s="4">
        <f>IFERROR(__xludf.DUMMYFUNCTION("""COMPUTED_VALUE"""),0.0)</f>
        <v>0</v>
      </c>
    </row>
    <row r="345" ht="22.5" customHeight="1">
      <c r="A345" s="2" t="str">
        <f>IFERROR(__xludf.DUMMYFUNCTION("""COMPUTED_VALUE"""),"L2")</f>
        <v>L2</v>
      </c>
      <c r="B345" s="2" t="str">
        <f>IFERROR(__xludf.DUMMYFUNCTION("""COMPUTED_VALUE"""),"2026-08")</f>
        <v>2026-08</v>
      </c>
      <c r="C345" s="2" t="str">
        <f>IFERROR(__xludf.DUMMYFUNCTION("""COMPUTED_VALUE"""),"FRAME-SD")</f>
        <v>FRAME-SD</v>
      </c>
      <c r="D345" s="2">
        <f>IFERROR(__xludf.DUMMYFUNCTION("""COMPUTED_VALUE"""),0.0)</f>
        <v>0</v>
      </c>
      <c r="E345" s="2">
        <f>IFERROR(__xludf.DUMMYFUNCTION("""COMPUTED_VALUE"""),0.0)</f>
        <v>0</v>
      </c>
      <c r="F345" s="4">
        <f>IFERROR(__xludf.DUMMYFUNCTION("""COMPUTED_VALUE"""),0.0)</f>
        <v>0</v>
      </c>
      <c r="G345" s="4">
        <f>IFERROR(__xludf.DUMMYFUNCTION("""COMPUTED_VALUE"""),0.0)</f>
        <v>0</v>
      </c>
      <c r="H345" s="9">
        <f>IFERROR(__xludf.DUMMYFUNCTION("""COMPUTED_VALUE"""),1.32264)</f>
        <v>1.32264</v>
      </c>
      <c r="I345" s="4">
        <f>IFERROR(__xludf.DUMMYFUNCTION("""COMPUTED_VALUE"""),0.0)</f>
        <v>0</v>
      </c>
      <c r="J345" s="4">
        <f>IFERROR(__xludf.DUMMYFUNCTION("""COMPUTED_VALUE"""),0.0)</f>
        <v>0</v>
      </c>
      <c r="K345" s="4">
        <f>IFERROR(__xludf.DUMMYFUNCTION("""COMPUTED_VALUE"""),0.0)</f>
        <v>0</v>
      </c>
    </row>
    <row r="346" ht="22.5" customHeight="1">
      <c r="A346" s="2" t="str">
        <f>IFERROR(__xludf.DUMMYFUNCTION("""COMPUTED_VALUE"""),"L2")</f>
        <v>L2</v>
      </c>
      <c r="B346" s="2" t="str">
        <f>IFERROR(__xludf.DUMMYFUNCTION("""COMPUTED_VALUE"""),"2026-09")</f>
        <v>2026-09</v>
      </c>
      <c r="C346" s="2" t="str">
        <f>IFERROR(__xludf.DUMMYFUNCTION("""COMPUTED_VALUE"""),"FRAME-SD")</f>
        <v>FRAME-SD</v>
      </c>
      <c r="D346" s="2">
        <f>IFERROR(__xludf.DUMMYFUNCTION("""COMPUTED_VALUE"""),0.0)</f>
        <v>0</v>
      </c>
      <c r="E346" s="2">
        <f>IFERROR(__xludf.DUMMYFUNCTION("""COMPUTED_VALUE"""),0.0)</f>
        <v>0</v>
      </c>
      <c r="F346" s="4">
        <f>IFERROR(__xludf.DUMMYFUNCTION("""COMPUTED_VALUE"""),0.0)</f>
        <v>0</v>
      </c>
      <c r="G346" s="4">
        <f>IFERROR(__xludf.DUMMYFUNCTION("""COMPUTED_VALUE"""),0.0)</f>
        <v>0</v>
      </c>
      <c r="H346" s="9">
        <f>IFERROR(__xludf.DUMMYFUNCTION("""COMPUTED_VALUE"""),1.32264)</f>
        <v>1.32264</v>
      </c>
      <c r="I346" s="4">
        <f>IFERROR(__xludf.DUMMYFUNCTION("""COMPUTED_VALUE"""),0.0)</f>
        <v>0</v>
      </c>
      <c r="J346" s="4">
        <f>IFERROR(__xludf.DUMMYFUNCTION("""COMPUTED_VALUE"""),0.0)</f>
        <v>0</v>
      </c>
      <c r="K346" s="4">
        <f>IFERROR(__xludf.DUMMYFUNCTION("""COMPUTED_VALUE"""),0.0)</f>
        <v>0</v>
      </c>
    </row>
    <row r="347" ht="22.5" customHeight="1">
      <c r="A347" s="2" t="str">
        <f>IFERROR(__xludf.DUMMYFUNCTION("""COMPUTED_VALUE"""),"L2")</f>
        <v>L2</v>
      </c>
      <c r="B347" s="2" t="str">
        <f>IFERROR(__xludf.DUMMYFUNCTION("""COMPUTED_VALUE"""),"2026-10")</f>
        <v>2026-10</v>
      </c>
      <c r="C347" s="2" t="str">
        <f>IFERROR(__xludf.DUMMYFUNCTION("""COMPUTED_VALUE"""),"FRAME-SD")</f>
        <v>FRAME-SD</v>
      </c>
      <c r="D347" s="2">
        <f>IFERROR(__xludf.DUMMYFUNCTION("""COMPUTED_VALUE"""),0.0)</f>
        <v>0</v>
      </c>
      <c r="E347" s="2">
        <f>IFERROR(__xludf.DUMMYFUNCTION("""COMPUTED_VALUE"""),0.0)</f>
        <v>0</v>
      </c>
      <c r="F347" s="4">
        <f>IFERROR(__xludf.DUMMYFUNCTION("""COMPUTED_VALUE"""),0.0)</f>
        <v>0</v>
      </c>
      <c r="G347" s="4">
        <f>IFERROR(__xludf.DUMMYFUNCTION("""COMPUTED_VALUE"""),0.0)</f>
        <v>0</v>
      </c>
      <c r="H347" s="9">
        <f>IFERROR(__xludf.DUMMYFUNCTION("""COMPUTED_VALUE"""),1.32264)</f>
        <v>1.32264</v>
      </c>
      <c r="I347" s="4">
        <f>IFERROR(__xludf.DUMMYFUNCTION("""COMPUTED_VALUE"""),0.0)</f>
        <v>0</v>
      </c>
      <c r="J347" s="4">
        <f>IFERROR(__xludf.DUMMYFUNCTION("""COMPUTED_VALUE"""),0.0)</f>
        <v>0</v>
      </c>
      <c r="K347" s="4">
        <f>IFERROR(__xludf.DUMMYFUNCTION("""COMPUTED_VALUE"""),0.0)</f>
        <v>0</v>
      </c>
    </row>
    <row r="348" ht="22.5" customHeight="1">
      <c r="A348" s="2" t="str">
        <f>IFERROR(__xludf.DUMMYFUNCTION("""COMPUTED_VALUE"""),"L2")</f>
        <v>L2</v>
      </c>
      <c r="B348" s="2" t="str">
        <f>IFERROR(__xludf.DUMMYFUNCTION("""COMPUTED_VALUE"""),"2026-11")</f>
        <v>2026-11</v>
      </c>
      <c r="C348" s="2" t="str">
        <f>IFERROR(__xludf.DUMMYFUNCTION("""COMPUTED_VALUE"""),"FRAME-SD")</f>
        <v>FRAME-SD</v>
      </c>
      <c r="D348" s="2">
        <f>IFERROR(__xludf.DUMMYFUNCTION("""COMPUTED_VALUE"""),0.0)</f>
        <v>0</v>
      </c>
      <c r="E348" s="2">
        <f>IFERROR(__xludf.DUMMYFUNCTION("""COMPUTED_VALUE"""),0.0)</f>
        <v>0</v>
      </c>
      <c r="F348" s="4">
        <f>IFERROR(__xludf.DUMMYFUNCTION("""COMPUTED_VALUE"""),0.0)</f>
        <v>0</v>
      </c>
      <c r="G348" s="4">
        <f>IFERROR(__xludf.DUMMYFUNCTION("""COMPUTED_VALUE"""),0.0)</f>
        <v>0</v>
      </c>
      <c r="H348" s="9">
        <f>IFERROR(__xludf.DUMMYFUNCTION("""COMPUTED_VALUE"""),1.32264)</f>
        <v>1.32264</v>
      </c>
      <c r="I348" s="4">
        <f>IFERROR(__xludf.DUMMYFUNCTION("""COMPUTED_VALUE"""),0.0)</f>
        <v>0</v>
      </c>
      <c r="J348" s="4">
        <f>IFERROR(__xludf.DUMMYFUNCTION("""COMPUTED_VALUE"""),0.0)</f>
        <v>0</v>
      </c>
      <c r="K348" s="4">
        <f>IFERROR(__xludf.DUMMYFUNCTION("""COMPUTED_VALUE"""),0.0)</f>
        <v>0</v>
      </c>
    </row>
    <row r="349" ht="22.5" customHeight="1">
      <c r="A349" s="2" t="str">
        <f>IFERROR(__xludf.DUMMYFUNCTION("""COMPUTED_VALUE"""),"L2")</f>
        <v>L2</v>
      </c>
      <c r="B349" s="2" t="str">
        <f>IFERROR(__xludf.DUMMYFUNCTION("""COMPUTED_VALUE"""),"2026-12")</f>
        <v>2026-12</v>
      </c>
      <c r="C349" s="2" t="str">
        <f>IFERROR(__xludf.DUMMYFUNCTION("""COMPUTED_VALUE"""),"FRAME-SD")</f>
        <v>FRAME-SD</v>
      </c>
      <c r="D349" s="2">
        <f>IFERROR(__xludf.DUMMYFUNCTION("""COMPUTED_VALUE"""),0.0)</f>
        <v>0</v>
      </c>
      <c r="E349" s="2">
        <f>IFERROR(__xludf.DUMMYFUNCTION("""COMPUTED_VALUE"""),0.0)</f>
        <v>0</v>
      </c>
      <c r="F349" s="4">
        <f>IFERROR(__xludf.DUMMYFUNCTION("""COMPUTED_VALUE"""),0.0)</f>
        <v>0</v>
      </c>
      <c r="G349" s="4">
        <f>IFERROR(__xludf.DUMMYFUNCTION("""COMPUTED_VALUE"""),0.0)</f>
        <v>0</v>
      </c>
      <c r="H349" s="9">
        <f>IFERROR(__xludf.DUMMYFUNCTION("""COMPUTED_VALUE"""),1.32264)</f>
        <v>1.32264</v>
      </c>
      <c r="I349" s="4">
        <f>IFERROR(__xludf.DUMMYFUNCTION("""COMPUTED_VALUE"""),0.0)</f>
        <v>0</v>
      </c>
      <c r="J349" s="4">
        <f>IFERROR(__xludf.DUMMYFUNCTION("""COMPUTED_VALUE"""),0.0)</f>
        <v>0</v>
      </c>
      <c r="K349" s="4">
        <f>IFERROR(__xludf.DUMMYFUNCTION("""COMPUTED_VALUE"""),0.0)</f>
        <v>0</v>
      </c>
    </row>
    <row r="350" ht="22.5" customHeight="1">
      <c r="A350" s="2" t="str">
        <f>IFERROR(__xludf.DUMMYFUNCTION("""COMPUTED_VALUE"""),"L2")</f>
        <v>L2</v>
      </c>
      <c r="B350" s="2" t="str">
        <f>IFERROR(__xludf.DUMMYFUNCTION("""COMPUTED_VALUE"""),"2026-01")</f>
        <v>2026-01</v>
      </c>
      <c r="C350" s="2" t="str">
        <f>IFERROR(__xludf.DUMMYFUNCTION("""COMPUTED_VALUE"""),"FRAME-SD - LX")</f>
        <v>FRAME-SD - LX</v>
      </c>
      <c r="D350" s="2">
        <f>IFERROR(__xludf.DUMMYFUNCTION("""COMPUTED_VALUE"""),0.0)</f>
        <v>0</v>
      </c>
      <c r="E350" s="2">
        <f>IFERROR(__xludf.DUMMYFUNCTION("""COMPUTED_VALUE"""),0.0)</f>
        <v>0</v>
      </c>
      <c r="F350" s="4">
        <f>IFERROR(__xludf.DUMMYFUNCTION("""COMPUTED_VALUE"""),0.0)</f>
        <v>0</v>
      </c>
      <c r="G350" s="4">
        <f>IFERROR(__xludf.DUMMYFUNCTION("""COMPUTED_VALUE"""),0.0)</f>
        <v>0</v>
      </c>
      <c r="H350" s="9">
        <f>IFERROR(__xludf.DUMMYFUNCTION("""COMPUTED_VALUE"""),1.32264)</f>
        <v>1.32264</v>
      </c>
      <c r="I350" s="4">
        <f>IFERROR(__xludf.DUMMYFUNCTION("""COMPUTED_VALUE"""),0.0)</f>
        <v>0</v>
      </c>
      <c r="J350" s="4">
        <f>IFERROR(__xludf.DUMMYFUNCTION("""COMPUTED_VALUE"""),32230.338666666667)</f>
        <v>32230.33867</v>
      </c>
      <c r="K350" s="4">
        <f>IFERROR(__xludf.DUMMYFUNCTION("""COMPUTED_VALUE"""),32230.338666666667)</f>
        <v>32230.33867</v>
      </c>
    </row>
    <row r="351" ht="22.5" customHeight="1">
      <c r="A351" s="2" t="str">
        <f>IFERROR(__xludf.DUMMYFUNCTION("""COMPUTED_VALUE"""),"L2")</f>
        <v>L2</v>
      </c>
      <c r="B351" s="2" t="str">
        <f>IFERROR(__xludf.DUMMYFUNCTION("""COMPUTED_VALUE"""),"2026-02")</f>
        <v>2026-02</v>
      </c>
      <c r="C351" s="2" t="str">
        <f>IFERROR(__xludf.DUMMYFUNCTION("""COMPUTED_VALUE"""),"FRAME-SD - LX")</f>
        <v>FRAME-SD - LX</v>
      </c>
      <c r="D351" s="2">
        <f>IFERROR(__xludf.DUMMYFUNCTION("""COMPUTED_VALUE"""),113.0)</f>
        <v>113</v>
      </c>
      <c r="E351" s="2">
        <f>IFERROR(__xludf.DUMMYFUNCTION("""COMPUTED_VALUE"""),9.0)</f>
        <v>9</v>
      </c>
      <c r="F351" s="4">
        <f>IFERROR(__xludf.DUMMYFUNCTION("""COMPUTED_VALUE"""),658197.88)</f>
        <v>658197.88</v>
      </c>
      <c r="G351" s="4">
        <f>IFERROR(__xludf.DUMMYFUNCTION("""COMPUTED_VALUE"""),29061.0)</f>
        <v>29061</v>
      </c>
      <c r="H351" s="9">
        <f>IFERROR(__xludf.DUMMYFUNCTION("""COMPUTED_VALUE"""),1.32264)</f>
        <v>1.32264</v>
      </c>
      <c r="I351" s="4">
        <f>IFERROR(__xludf.DUMMYFUNCTION("""COMPUTED_VALUE"""),908996.0850432001)</f>
        <v>908996.085</v>
      </c>
      <c r="J351" s="4">
        <f>IFERROR(__xludf.DUMMYFUNCTION("""COMPUTED_VALUE"""),5630.601333333334)</f>
        <v>5630.601333</v>
      </c>
      <c r="K351" s="4">
        <f>IFERROR(__xludf.DUMMYFUNCTION("""COMPUTED_VALUE"""),914626.6863765334)</f>
        <v>914626.6864</v>
      </c>
    </row>
    <row r="352" ht="22.5" customHeight="1">
      <c r="A352" s="2" t="str">
        <f>IFERROR(__xludf.DUMMYFUNCTION("""COMPUTED_VALUE"""),"L2")</f>
        <v>L2</v>
      </c>
      <c r="B352" s="2" t="str">
        <f>IFERROR(__xludf.DUMMYFUNCTION("""COMPUTED_VALUE"""),"2026-03")</f>
        <v>2026-03</v>
      </c>
      <c r="C352" s="2" t="str">
        <f>IFERROR(__xludf.DUMMYFUNCTION("""COMPUTED_VALUE"""),"FRAME-SD - LX")</f>
        <v>FRAME-SD - LX</v>
      </c>
      <c r="D352" s="2">
        <f>IFERROR(__xludf.DUMMYFUNCTION("""COMPUTED_VALUE"""),0.0)</f>
        <v>0</v>
      </c>
      <c r="E352" s="2">
        <f>IFERROR(__xludf.DUMMYFUNCTION("""COMPUTED_VALUE"""),0.0)</f>
        <v>0</v>
      </c>
      <c r="F352" s="4">
        <f>IFERROR(__xludf.DUMMYFUNCTION("""COMPUTED_VALUE"""),0.0)</f>
        <v>0</v>
      </c>
      <c r="G352" s="4">
        <f>IFERROR(__xludf.DUMMYFUNCTION("""COMPUTED_VALUE"""),0.0)</f>
        <v>0</v>
      </c>
      <c r="H352" s="9">
        <f>IFERROR(__xludf.DUMMYFUNCTION("""COMPUTED_VALUE"""),1.32264)</f>
        <v>1.32264</v>
      </c>
      <c r="I352" s="4">
        <f>IFERROR(__xludf.DUMMYFUNCTION("""COMPUTED_VALUE"""),0.0)</f>
        <v>0</v>
      </c>
      <c r="J352" s="4">
        <f>IFERROR(__xludf.DUMMYFUNCTION("""COMPUTED_VALUE"""),5630.601333333334)</f>
        <v>5630.601333</v>
      </c>
      <c r="K352" s="4">
        <f>IFERROR(__xludf.DUMMYFUNCTION("""COMPUTED_VALUE"""),5630.601333333334)</f>
        <v>5630.601333</v>
      </c>
    </row>
    <row r="353" ht="22.5" customHeight="1">
      <c r="A353" s="2" t="str">
        <f>IFERROR(__xludf.DUMMYFUNCTION("""COMPUTED_VALUE"""),"L2")</f>
        <v>L2</v>
      </c>
      <c r="B353" s="2" t="str">
        <f>IFERROR(__xludf.DUMMYFUNCTION("""COMPUTED_VALUE"""),"2026-04")</f>
        <v>2026-04</v>
      </c>
      <c r="C353" s="2" t="str">
        <f>IFERROR(__xludf.DUMMYFUNCTION("""COMPUTED_VALUE"""),"FRAME-SD - LX")</f>
        <v>FRAME-SD - LX</v>
      </c>
      <c r="D353" s="2">
        <f>IFERROR(__xludf.DUMMYFUNCTION("""COMPUTED_VALUE"""),116.0)</f>
        <v>116</v>
      </c>
      <c r="E353" s="2">
        <f>IFERROR(__xludf.DUMMYFUNCTION("""COMPUTED_VALUE"""),9.0)</f>
        <v>9</v>
      </c>
      <c r="F353" s="4">
        <f>IFERROR(__xludf.DUMMYFUNCTION("""COMPUTED_VALUE"""),675672.16)</f>
        <v>675672.16</v>
      </c>
      <c r="G353" s="4">
        <f>IFERROR(__xludf.DUMMYFUNCTION("""COMPUTED_VALUE"""),29916.0)</f>
        <v>29916</v>
      </c>
      <c r="H353" s="9">
        <f>IFERROR(__xludf.DUMMYFUNCTION("""COMPUTED_VALUE"""),1.32264)</f>
        <v>1.32264</v>
      </c>
      <c r="I353" s="4">
        <f>IFERROR(__xludf.DUMMYFUNCTION("""COMPUTED_VALUE"""),933239.1239424001)</f>
        <v>933239.1239</v>
      </c>
      <c r="J353" s="4">
        <f>IFERROR(__xludf.DUMMYFUNCTION("""COMPUTED_VALUE"""),16891.804)</f>
        <v>16891.804</v>
      </c>
      <c r="K353" s="4">
        <f>IFERROR(__xludf.DUMMYFUNCTION("""COMPUTED_VALUE"""),950130.9279424001)</f>
        <v>950130.9279</v>
      </c>
    </row>
    <row r="354" ht="22.5" customHeight="1">
      <c r="A354" s="2" t="str">
        <f>IFERROR(__xludf.DUMMYFUNCTION("""COMPUTED_VALUE"""),"L2")</f>
        <v>L2</v>
      </c>
      <c r="B354" s="2" t="str">
        <f>IFERROR(__xludf.DUMMYFUNCTION("""COMPUTED_VALUE"""),"2026-05")</f>
        <v>2026-05</v>
      </c>
      <c r="C354" s="2" t="str">
        <f>IFERROR(__xludf.DUMMYFUNCTION("""COMPUTED_VALUE"""),"FRAME-SD - LX")</f>
        <v>FRAME-SD - LX</v>
      </c>
      <c r="D354" s="2">
        <f>IFERROR(__xludf.DUMMYFUNCTION("""COMPUTED_VALUE"""),0.0)</f>
        <v>0</v>
      </c>
      <c r="E354" s="2">
        <f>IFERROR(__xludf.DUMMYFUNCTION("""COMPUTED_VALUE"""),0.0)</f>
        <v>0</v>
      </c>
      <c r="F354" s="4">
        <f>IFERROR(__xludf.DUMMYFUNCTION("""COMPUTED_VALUE"""),0.0)</f>
        <v>0</v>
      </c>
      <c r="G354" s="4">
        <f>IFERROR(__xludf.DUMMYFUNCTION("""COMPUTED_VALUE"""),0.0)</f>
        <v>0</v>
      </c>
      <c r="H354" s="9">
        <f>IFERROR(__xludf.DUMMYFUNCTION("""COMPUTED_VALUE"""),1.32264)</f>
        <v>1.32264</v>
      </c>
      <c r="I354" s="4">
        <f>IFERROR(__xludf.DUMMYFUNCTION("""COMPUTED_VALUE"""),0.0)</f>
        <v>0</v>
      </c>
      <c r="J354" s="4">
        <f>IFERROR(__xludf.DUMMYFUNCTION("""COMPUTED_VALUE"""),16891.804)</f>
        <v>16891.804</v>
      </c>
      <c r="K354" s="4">
        <f>IFERROR(__xludf.DUMMYFUNCTION("""COMPUTED_VALUE"""),16891.804)</f>
        <v>16891.804</v>
      </c>
    </row>
    <row r="355" ht="22.5" customHeight="1">
      <c r="A355" s="2" t="str">
        <f>IFERROR(__xludf.DUMMYFUNCTION("""COMPUTED_VALUE"""),"L2")</f>
        <v>L2</v>
      </c>
      <c r="B355" s="2" t="str">
        <f>IFERROR(__xludf.DUMMYFUNCTION("""COMPUTED_VALUE"""),"2026-06")</f>
        <v>2026-06</v>
      </c>
      <c r="C355" s="2" t="str">
        <f>IFERROR(__xludf.DUMMYFUNCTION("""COMPUTED_VALUE"""),"FRAME-SD - LX")</f>
        <v>FRAME-SD - LX</v>
      </c>
      <c r="D355" s="2">
        <f>IFERROR(__xludf.DUMMYFUNCTION("""COMPUTED_VALUE"""),0.0)</f>
        <v>0</v>
      </c>
      <c r="E355" s="2">
        <f>IFERROR(__xludf.DUMMYFUNCTION("""COMPUTED_VALUE"""),0.0)</f>
        <v>0</v>
      </c>
      <c r="F355" s="4">
        <f>IFERROR(__xludf.DUMMYFUNCTION("""COMPUTED_VALUE"""),0.0)</f>
        <v>0</v>
      </c>
      <c r="G355" s="4">
        <f>IFERROR(__xludf.DUMMYFUNCTION("""COMPUTED_VALUE"""),0.0)</f>
        <v>0</v>
      </c>
      <c r="H355" s="9">
        <f>IFERROR(__xludf.DUMMYFUNCTION("""COMPUTED_VALUE"""),1.32264)</f>
        <v>1.32264</v>
      </c>
      <c r="I355" s="4">
        <f>IFERROR(__xludf.DUMMYFUNCTION("""COMPUTED_VALUE"""),0.0)</f>
        <v>0</v>
      </c>
      <c r="J355" s="4">
        <f>IFERROR(__xludf.DUMMYFUNCTION("""COMPUTED_VALUE"""),16891.804)</f>
        <v>16891.804</v>
      </c>
      <c r="K355" s="4">
        <f>IFERROR(__xludf.DUMMYFUNCTION("""COMPUTED_VALUE"""),16891.804)</f>
        <v>16891.804</v>
      </c>
    </row>
    <row r="356" ht="22.5" customHeight="1">
      <c r="A356" s="2" t="str">
        <f>IFERROR(__xludf.DUMMYFUNCTION("""COMPUTED_VALUE"""),"L2")</f>
        <v>L2</v>
      </c>
      <c r="B356" s="2" t="str">
        <f>IFERROR(__xludf.DUMMYFUNCTION("""COMPUTED_VALUE"""),"2026-07")</f>
        <v>2026-07</v>
      </c>
      <c r="C356" s="2" t="str">
        <f>IFERROR(__xludf.DUMMYFUNCTION("""COMPUTED_VALUE"""),"FRAME-SD - LX")</f>
        <v>FRAME-SD - LX</v>
      </c>
      <c r="D356" s="2">
        <f>IFERROR(__xludf.DUMMYFUNCTION("""COMPUTED_VALUE"""),0.0)</f>
        <v>0</v>
      </c>
      <c r="E356" s="2">
        <f>IFERROR(__xludf.DUMMYFUNCTION("""COMPUTED_VALUE"""),0.0)</f>
        <v>0</v>
      </c>
      <c r="F356" s="4">
        <f>IFERROR(__xludf.DUMMYFUNCTION("""COMPUTED_VALUE"""),0.0)</f>
        <v>0</v>
      </c>
      <c r="G356" s="4">
        <f>IFERROR(__xludf.DUMMYFUNCTION("""COMPUTED_VALUE"""),0.0)</f>
        <v>0</v>
      </c>
      <c r="H356" s="9">
        <f>IFERROR(__xludf.DUMMYFUNCTION("""COMPUTED_VALUE"""),1.32264)</f>
        <v>1.32264</v>
      </c>
      <c r="I356" s="4">
        <f>IFERROR(__xludf.DUMMYFUNCTION("""COMPUTED_VALUE"""),0.0)</f>
        <v>0</v>
      </c>
      <c r="J356" s="4">
        <f>IFERROR(__xludf.DUMMYFUNCTION("""COMPUTED_VALUE"""),16891.804)</f>
        <v>16891.804</v>
      </c>
      <c r="K356" s="4">
        <f>IFERROR(__xludf.DUMMYFUNCTION("""COMPUTED_VALUE"""),16891.804)</f>
        <v>16891.804</v>
      </c>
    </row>
    <row r="357" ht="22.5" customHeight="1">
      <c r="A357" s="2" t="str">
        <f>IFERROR(__xludf.DUMMYFUNCTION("""COMPUTED_VALUE"""),"L2")</f>
        <v>L2</v>
      </c>
      <c r="B357" s="2" t="str">
        <f>IFERROR(__xludf.DUMMYFUNCTION("""COMPUTED_VALUE"""),"2026-08")</f>
        <v>2026-08</v>
      </c>
      <c r="C357" s="2" t="str">
        <f>IFERROR(__xludf.DUMMYFUNCTION("""COMPUTED_VALUE"""),"FRAME-SD - LX")</f>
        <v>FRAME-SD - LX</v>
      </c>
      <c r="D357" s="2">
        <f>IFERROR(__xludf.DUMMYFUNCTION("""COMPUTED_VALUE"""),0.0)</f>
        <v>0</v>
      </c>
      <c r="E357" s="2">
        <f>IFERROR(__xludf.DUMMYFUNCTION("""COMPUTED_VALUE"""),0.0)</f>
        <v>0</v>
      </c>
      <c r="F357" s="4">
        <f>IFERROR(__xludf.DUMMYFUNCTION("""COMPUTED_VALUE"""),0.0)</f>
        <v>0</v>
      </c>
      <c r="G357" s="4">
        <f>IFERROR(__xludf.DUMMYFUNCTION("""COMPUTED_VALUE"""),0.0)</f>
        <v>0</v>
      </c>
      <c r="H357" s="9">
        <f>IFERROR(__xludf.DUMMYFUNCTION("""COMPUTED_VALUE"""),1.32264)</f>
        <v>1.32264</v>
      </c>
      <c r="I357" s="4">
        <f>IFERROR(__xludf.DUMMYFUNCTION("""COMPUTED_VALUE"""),0.0)</f>
        <v>0</v>
      </c>
      <c r="J357" s="4">
        <f>IFERROR(__xludf.DUMMYFUNCTION("""COMPUTED_VALUE"""),0.0)</f>
        <v>0</v>
      </c>
      <c r="K357" s="4">
        <f>IFERROR(__xludf.DUMMYFUNCTION("""COMPUTED_VALUE"""),0.0)</f>
        <v>0</v>
      </c>
    </row>
    <row r="358" ht="22.5" customHeight="1">
      <c r="A358" s="2" t="str">
        <f>IFERROR(__xludf.DUMMYFUNCTION("""COMPUTED_VALUE"""),"L2")</f>
        <v>L2</v>
      </c>
      <c r="B358" s="2" t="str">
        <f>IFERROR(__xludf.DUMMYFUNCTION("""COMPUTED_VALUE"""),"2026-09")</f>
        <v>2026-09</v>
      </c>
      <c r="C358" s="2" t="str">
        <f>IFERROR(__xludf.DUMMYFUNCTION("""COMPUTED_VALUE"""),"FRAME-SD - LX")</f>
        <v>FRAME-SD - LX</v>
      </c>
      <c r="D358" s="2">
        <f>IFERROR(__xludf.DUMMYFUNCTION("""COMPUTED_VALUE"""),0.0)</f>
        <v>0</v>
      </c>
      <c r="E358" s="2">
        <f>IFERROR(__xludf.DUMMYFUNCTION("""COMPUTED_VALUE"""),0.0)</f>
        <v>0</v>
      </c>
      <c r="F358" s="4">
        <f>IFERROR(__xludf.DUMMYFUNCTION("""COMPUTED_VALUE"""),0.0)</f>
        <v>0</v>
      </c>
      <c r="G358" s="4">
        <f>IFERROR(__xludf.DUMMYFUNCTION("""COMPUTED_VALUE"""),0.0)</f>
        <v>0</v>
      </c>
      <c r="H358" s="9">
        <f>IFERROR(__xludf.DUMMYFUNCTION("""COMPUTED_VALUE"""),1.32264)</f>
        <v>1.32264</v>
      </c>
      <c r="I358" s="4">
        <f>IFERROR(__xludf.DUMMYFUNCTION("""COMPUTED_VALUE"""),0.0)</f>
        <v>0</v>
      </c>
      <c r="J358" s="4">
        <f>IFERROR(__xludf.DUMMYFUNCTION("""COMPUTED_VALUE"""),0.0)</f>
        <v>0</v>
      </c>
      <c r="K358" s="4">
        <f>IFERROR(__xludf.DUMMYFUNCTION("""COMPUTED_VALUE"""),0.0)</f>
        <v>0</v>
      </c>
    </row>
    <row r="359" ht="22.5" customHeight="1">
      <c r="A359" s="2" t="str">
        <f>IFERROR(__xludf.DUMMYFUNCTION("""COMPUTED_VALUE"""),"L2")</f>
        <v>L2</v>
      </c>
      <c r="B359" s="2" t="str">
        <f>IFERROR(__xludf.DUMMYFUNCTION("""COMPUTED_VALUE"""),"2026-10")</f>
        <v>2026-10</v>
      </c>
      <c r="C359" s="2" t="str">
        <f>IFERROR(__xludf.DUMMYFUNCTION("""COMPUTED_VALUE"""),"FRAME-SD - LX")</f>
        <v>FRAME-SD - LX</v>
      </c>
      <c r="D359" s="2">
        <f>IFERROR(__xludf.DUMMYFUNCTION("""COMPUTED_VALUE"""),0.0)</f>
        <v>0</v>
      </c>
      <c r="E359" s="2">
        <f>IFERROR(__xludf.DUMMYFUNCTION("""COMPUTED_VALUE"""),0.0)</f>
        <v>0</v>
      </c>
      <c r="F359" s="4">
        <f>IFERROR(__xludf.DUMMYFUNCTION("""COMPUTED_VALUE"""),0.0)</f>
        <v>0</v>
      </c>
      <c r="G359" s="4">
        <f>IFERROR(__xludf.DUMMYFUNCTION("""COMPUTED_VALUE"""),0.0)</f>
        <v>0</v>
      </c>
      <c r="H359" s="9">
        <f>IFERROR(__xludf.DUMMYFUNCTION("""COMPUTED_VALUE"""),1.32264)</f>
        <v>1.32264</v>
      </c>
      <c r="I359" s="4">
        <f>IFERROR(__xludf.DUMMYFUNCTION("""COMPUTED_VALUE"""),0.0)</f>
        <v>0</v>
      </c>
      <c r="J359" s="4">
        <f>IFERROR(__xludf.DUMMYFUNCTION("""COMPUTED_VALUE"""),0.0)</f>
        <v>0</v>
      </c>
      <c r="K359" s="4">
        <f>IFERROR(__xludf.DUMMYFUNCTION("""COMPUTED_VALUE"""),0.0)</f>
        <v>0</v>
      </c>
    </row>
    <row r="360" ht="22.5" customHeight="1">
      <c r="A360" s="2" t="str">
        <f>IFERROR(__xludf.DUMMYFUNCTION("""COMPUTED_VALUE"""),"L2")</f>
        <v>L2</v>
      </c>
      <c r="B360" s="2" t="str">
        <f>IFERROR(__xludf.DUMMYFUNCTION("""COMPUTED_VALUE"""),"2026-11")</f>
        <v>2026-11</v>
      </c>
      <c r="C360" s="2" t="str">
        <f>IFERROR(__xludf.DUMMYFUNCTION("""COMPUTED_VALUE"""),"FRAME-SD - LX")</f>
        <v>FRAME-SD - LX</v>
      </c>
      <c r="D360" s="2">
        <f>IFERROR(__xludf.DUMMYFUNCTION("""COMPUTED_VALUE"""),141.0)</f>
        <v>141</v>
      </c>
      <c r="E360" s="2">
        <f>IFERROR(__xludf.DUMMYFUNCTION("""COMPUTED_VALUE"""),11.0)</f>
        <v>11</v>
      </c>
      <c r="F360" s="4">
        <f>IFERROR(__xludf.DUMMYFUNCTION("""COMPUTED_VALUE"""),821291.16)</f>
        <v>821291.16</v>
      </c>
      <c r="G360" s="4">
        <f>IFERROR(__xludf.DUMMYFUNCTION("""COMPUTED_VALUE"""),40007.0)</f>
        <v>40007</v>
      </c>
      <c r="H360" s="9">
        <f>IFERROR(__xludf.DUMMYFUNCTION("""COMPUTED_VALUE"""),1.32264)</f>
        <v>1.32264</v>
      </c>
      <c r="I360" s="4">
        <f>IFERROR(__xludf.DUMMYFUNCTION("""COMPUTED_VALUE"""),1139187.3983424)</f>
        <v>1139187.398</v>
      </c>
      <c r="J360" s="4">
        <f>IFERROR(__xludf.DUMMYFUNCTION("""COMPUTED_VALUE"""),0.0)</f>
        <v>0</v>
      </c>
      <c r="K360" s="4">
        <f>IFERROR(__xludf.DUMMYFUNCTION("""COMPUTED_VALUE"""),1139187.3983424)</f>
        <v>1139187.398</v>
      </c>
    </row>
    <row r="361" ht="22.5" customHeight="1">
      <c r="A361" s="2" t="str">
        <f>IFERROR(__xludf.DUMMYFUNCTION("""COMPUTED_VALUE"""),"L2")</f>
        <v>L2</v>
      </c>
      <c r="B361" s="2" t="str">
        <f>IFERROR(__xludf.DUMMYFUNCTION("""COMPUTED_VALUE"""),"2026-12")</f>
        <v>2026-12</v>
      </c>
      <c r="C361" s="2" t="str">
        <f>IFERROR(__xludf.DUMMYFUNCTION("""COMPUTED_VALUE"""),"FRAME-SD - LX")</f>
        <v>FRAME-SD - LX</v>
      </c>
      <c r="D361" s="2">
        <f>IFERROR(__xludf.DUMMYFUNCTION("""COMPUTED_VALUE"""),0.0)</f>
        <v>0</v>
      </c>
      <c r="E361" s="2">
        <f>IFERROR(__xludf.DUMMYFUNCTION("""COMPUTED_VALUE"""),0.0)</f>
        <v>0</v>
      </c>
      <c r="F361" s="4">
        <f>IFERROR(__xludf.DUMMYFUNCTION("""COMPUTED_VALUE"""),0.0)</f>
        <v>0</v>
      </c>
      <c r="G361" s="4">
        <f>IFERROR(__xludf.DUMMYFUNCTION("""COMPUTED_VALUE"""),0.0)</f>
        <v>0</v>
      </c>
      <c r="H361" s="9">
        <f>IFERROR(__xludf.DUMMYFUNCTION("""COMPUTED_VALUE"""),1.32264)</f>
        <v>1.32264</v>
      </c>
      <c r="I361" s="4">
        <f>IFERROR(__xludf.DUMMYFUNCTION("""COMPUTED_VALUE"""),0.0)</f>
        <v>0</v>
      </c>
      <c r="J361" s="4">
        <f>IFERROR(__xludf.DUMMYFUNCTION("""COMPUTED_VALUE"""),0.0)</f>
        <v>0</v>
      </c>
      <c r="K361" s="4">
        <f>IFERROR(__xludf.DUMMYFUNCTION("""COMPUTED_VALUE"""),0.0)</f>
        <v>0</v>
      </c>
    </row>
    <row r="362" ht="22.5" customHeight="1">
      <c r="A362" s="2" t="str">
        <f>IFERROR(__xludf.DUMMYFUNCTION("""COMPUTED_VALUE"""),"L2")</f>
        <v>L2</v>
      </c>
      <c r="B362" s="2" t="str">
        <f>IFERROR(__xludf.DUMMYFUNCTION("""COMPUTED_VALUE"""),"2026-01")</f>
        <v>2026-01</v>
      </c>
      <c r="C362" s="2" t="str">
        <f>IFERROR(__xludf.DUMMYFUNCTION("""COMPUTED_VALUE"""),"FRAME-SUV")</f>
        <v>FRAME-SUV</v>
      </c>
      <c r="D362" s="2">
        <f>IFERROR(__xludf.DUMMYFUNCTION("""COMPUTED_VALUE"""),260.0)</f>
        <v>260</v>
      </c>
      <c r="E362" s="2">
        <f>IFERROR(__xludf.DUMMYFUNCTION("""COMPUTED_VALUE"""),13.0)</f>
        <v>13</v>
      </c>
      <c r="F362" s="4">
        <f>IFERROR(__xludf.DUMMYFUNCTION("""COMPUTED_VALUE"""),1263342.6)</f>
        <v>1263342.6</v>
      </c>
      <c r="G362" s="4">
        <f>IFERROR(__xludf.DUMMYFUNCTION("""COMPUTED_VALUE"""),41236.0)</f>
        <v>41236</v>
      </c>
      <c r="H362" s="9">
        <f>IFERROR(__xludf.DUMMYFUNCTION("""COMPUTED_VALUE"""),1.32264)</f>
        <v>1.32264</v>
      </c>
      <c r="I362" s="4">
        <f>IFERROR(__xludf.DUMMYFUNCTION("""COMPUTED_VALUE"""),1725487.8395040003)</f>
        <v>1725487.84</v>
      </c>
      <c r="J362" s="4">
        <f>IFERROR(__xludf.DUMMYFUNCTION("""COMPUTED_VALUE"""),0.0)</f>
        <v>0</v>
      </c>
      <c r="K362" s="4">
        <f>IFERROR(__xludf.DUMMYFUNCTION("""COMPUTED_VALUE"""),1725487.8395040003)</f>
        <v>1725487.84</v>
      </c>
    </row>
    <row r="363" ht="22.5" customHeight="1">
      <c r="A363" s="2" t="str">
        <f>IFERROR(__xludf.DUMMYFUNCTION("""COMPUTED_VALUE"""),"L2")</f>
        <v>L2</v>
      </c>
      <c r="B363" s="2" t="str">
        <f>IFERROR(__xludf.DUMMYFUNCTION("""COMPUTED_VALUE"""),"2026-02")</f>
        <v>2026-02</v>
      </c>
      <c r="C363" s="2" t="str">
        <f>IFERROR(__xludf.DUMMYFUNCTION("""COMPUTED_VALUE"""),"FRAME-SUV")</f>
        <v>FRAME-SUV</v>
      </c>
      <c r="D363" s="2">
        <f>IFERROR(__xludf.DUMMYFUNCTION("""COMPUTED_VALUE"""),320.0)</f>
        <v>320</v>
      </c>
      <c r="E363" s="2">
        <f>IFERROR(__xludf.DUMMYFUNCTION("""COMPUTED_VALUE"""),16.0)</f>
        <v>16</v>
      </c>
      <c r="F363" s="4">
        <f>IFERROR(__xludf.DUMMYFUNCTION("""COMPUTED_VALUE"""),1554883.2000000002)</f>
        <v>1554883.2</v>
      </c>
      <c r="G363" s="4">
        <f>IFERROR(__xludf.DUMMYFUNCTION("""COMPUTED_VALUE"""),51664.0)</f>
        <v>51664</v>
      </c>
      <c r="H363" s="9">
        <f>IFERROR(__xludf.DUMMYFUNCTION("""COMPUTED_VALUE"""),1.32264)</f>
        <v>1.32264</v>
      </c>
      <c r="I363" s="4">
        <f>IFERROR(__xludf.DUMMYFUNCTION("""COMPUTED_VALUE"""),2124883.5886080004)</f>
        <v>2124883.589</v>
      </c>
      <c r="J363" s="4">
        <f>IFERROR(__xludf.DUMMYFUNCTION("""COMPUTED_VALUE"""),647.868)</f>
        <v>647.868</v>
      </c>
      <c r="K363" s="4">
        <f>IFERROR(__xludf.DUMMYFUNCTION("""COMPUTED_VALUE"""),2125531.456608)</f>
        <v>2125531.457</v>
      </c>
    </row>
    <row r="364" ht="22.5" customHeight="1">
      <c r="A364" s="2" t="str">
        <f>IFERROR(__xludf.DUMMYFUNCTION("""COMPUTED_VALUE"""),"L2")</f>
        <v>L2</v>
      </c>
      <c r="B364" s="2" t="str">
        <f>IFERROR(__xludf.DUMMYFUNCTION("""COMPUTED_VALUE"""),"2026-03")</f>
        <v>2026-03</v>
      </c>
      <c r="C364" s="2" t="str">
        <f>IFERROR(__xludf.DUMMYFUNCTION("""COMPUTED_VALUE"""),"FRAME-SUV")</f>
        <v>FRAME-SUV</v>
      </c>
      <c r="D364" s="2">
        <f>IFERROR(__xludf.DUMMYFUNCTION("""COMPUTED_VALUE"""),0.0)</f>
        <v>0</v>
      </c>
      <c r="E364" s="2">
        <f>IFERROR(__xludf.DUMMYFUNCTION("""COMPUTED_VALUE"""),0.0)</f>
        <v>0</v>
      </c>
      <c r="F364" s="4">
        <f>IFERROR(__xludf.DUMMYFUNCTION("""COMPUTED_VALUE"""),0.0)</f>
        <v>0</v>
      </c>
      <c r="G364" s="4">
        <f>IFERROR(__xludf.DUMMYFUNCTION("""COMPUTED_VALUE"""),0.0)</f>
        <v>0</v>
      </c>
      <c r="H364" s="9">
        <f>IFERROR(__xludf.DUMMYFUNCTION("""COMPUTED_VALUE"""),1.32264)</f>
        <v>1.32264</v>
      </c>
      <c r="I364" s="4">
        <f>IFERROR(__xludf.DUMMYFUNCTION("""COMPUTED_VALUE"""),0.0)</f>
        <v>0</v>
      </c>
      <c r="J364" s="4">
        <f>IFERROR(__xludf.DUMMYFUNCTION("""COMPUTED_VALUE"""),647.868)</f>
        <v>647.868</v>
      </c>
      <c r="K364" s="4">
        <f>IFERROR(__xludf.DUMMYFUNCTION("""COMPUTED_VALUE"""),647.868)</f>
        <v>647.868</v>
      </c>
    </row>
    <row r="365" ht="22.5" customHeight="1">
      <c r="A365" s="2" t="str">
        <f>IFERROR(__xludf.DUMMYFUNCTION("""COMPUTED_VALUE"""),"L2")</f>
        <v>L2</v>
      </c>
      <c r="B365" s="2" t="str">
        <f>IFERROR(__xludf.DUMMYFUNCTION("""COMPUTED_VALUE"""),"2026-04")</f>
        <v>2026-04</v>
      </c>
      <c r="C365" s="2" t="str">
        <f>IFERROR(__xludf.DUMMYFUNCTION("""COMPUTED_VALUE"""),"FRAME-SUV")</f>
        <v>FRAME-SUV</v>
      </c>
      <c r="D365" s="2">
        <f>IFERROR(__xludf.DUMMYFUNCTION("""COMPUTED_VALUE"""),0.0)</f>
        <v>0</v>
      </c>
      <c r="E365" s="2">
        <f>IFERROR(__xludf.DUMMYFUNCTION("""COMPUTED_VALUE"""),0.0)</f>
        <v>0</v>
      </c>
      <c r="F365" s="4">
        <f>IFERROR(__xludf.DUMMYFUNCTION("""COMPUTED_VALUE"""),0.0)</f>
        <v>0</v>
      </c>
      <c r="G365" s="4">
        <f>IFERROR(__xludf.DUMMYFUNCTION("""COMPUTED_VALUE"""),0.0)</f>
        <v>0</v>
      </c>
      <c r="H365" s="9">
        <f>IFERROR(__xludf.DUMMYFUNCTION("""COMPUTED_VALUE"""),1.32264)</f>
        <v>1.32264</v>
      </c>
      <c r="I365" s="4">
        <f>IFERROR(__xludf.DUMMYFUNCTION("""COMPUTED_VALUE"""),0.0)</f>
        <v>0</v>
      </c>
      <c r="J365" s="4">
        <f>IFERROR(__xludf.DUMMYFUNCTION("""COMPUTED_VALUE"""),647.868)</f>
        <v>647.868</v>
      </c>
      <c r="K365" s="4">
        <f>IFERROR(__xludf.DUMMYFUNCTION("""COMPUTED_VALUE"""),647.868)</f>
        <v>647.868</v>
      </c>
    </row>
    <row r="366" ht="22.5" customHeight="1">
      <c r="A366" s="2" t="str">
        <f>IFERROR(__xludf.DUMMYFUNCTION("""COMPUTED_VALUE"""),"L2")</f>
        <v>L2</v>
      </c>
      <c r="B366" s="2" t="str">
        <f>IFERROR(__xludf.DUMMYFUNCTION("""COMPUTED_VALUE"""),"2026-05")</f>
        <v>2026-05</v>
      </c>
      <c r="C366" s="2" t="str">
        <f>IFERROR(__xludf.DUMMYFUNCTION("""COMPUTED_VALUE"""),"FRAME-SUV")</f>
        <v>FRAME-SUV</v>
      </c>
      <c r="D366" s="2">
        <f>IFERROR(__xludf.DUMMYFUNCTION("""COMPUTED_VALUE"""),0.0)</f>
        <v>0</v>
      </c>
      <c r="E366" s="2">
        <f>IFERROR(__xludf.DUMMYFUNCTION("""COMPUTED_VALUE"""),0.0)</f>
        <v>0</v>
      </c>
      <c r="F366" s="4">
        <f>IFERROR(__xludf.DUMMYFUNCTION("""COMPUTED_VALUE"""),0.0)</f>
        <v>0</v>
      </c>
      <c r="G366" s="4">
        <f>IFERROR(__xludf.DUMMYFUNCTION("""COMPUTED_VALUE"""),0.0)</f>
        <v>0</v>
      </c>
      <c r="H366" s="9">
        <f>IFERROR(__xludf.DUMMYFUNCTION("""COMPUTED_VALUE"""),1.32264)</f>
        <v>1.32264</v>
      </c>
      <c r="I366" s="4">
        <f>IFERROR(__xludf.DUMMYFUNCTION("""COMPUTED_VALUE"""),0.0)</f>
        <v>0</v>
      </c>
      <c r="J366" s="4">
        <f>IFERROR(__xludf.DUMMYFUNCTION("""COMPUTED_VALUE"""),647.868)</f>
        <v>647.868</v>
      </c>
      <c r="K366" s="4">
        <f>IFERROR(__xludf.DUMMYFUNCTION("""COMPUTED_VALUE"""),647.868)</f>
        <v>647.868</v>
      </c>
    </row>
    <row r="367" ht="22.5" customHeight="1">
      <c r="A367" s="2" t="str">
        <f>IFERROR(__xludf.DUMMYFUNCTION("""COMPUTED_VALUE"""),"L2")</f>
        <v>L2</v>
      </c>
      <c r="B367" s="2" t="str">
        <f>IFERROR(__xludf.DUMMYFUNCTION("""COMPUTED_VALUE"""),"2026-06")</f>
        <v>2026-06</v>
      </c>
      <c r="C367" s="2" t="str">
        <f>IFERROR(__xludf.DUMMYFUNCTION("""COMPUTED_VALUE"""),"FRAME-SUV")</f>
        <v>FRAME-SUV</v>
      </c>
      <c r="D367" s="2">
        <f>IFERROR(__xludf.DUMMYFUNCTION("""COMPUTED_VALUE"""),0.0)</f>
        <v>0</v>
      </c>
      <c r="E367" s="2">
        <f>IFERROR(__xludf.DUMMYFUNCTION("""COMPUTED_VALUE"""),0.0)</f>
        <v>0</v>
      </c>
      <c r="F367" s="4">
        <f>IFERROR(__xludf.DUMMYFUNCTION("""COMPUTED_VALUE"""),0.0)</f>
        <v>0</v>
      </c>
      <c r="G367" s="4">
        <f>IFERROR(__xludf.DUMMYFUNCTION("""COMPUTED_VALUE"""),0.0)</f>
        <v>0</v>
      </c>
      <c r="H367" s="9">
        <f>IFERROR(__xludf.DUMMYFUNCTION("""COMPUTED_VALUE"""),1.32264)</f>
        <v>1.32264</v>
      </c>
      <c r="I367" s="4">
        <f>IFERROR(__xludf.DUMMYFUNCTION("""COMPUTED_VALUE"""),0.0)</f>
        <v>0</v>
      </c>
      <c r="J367" s="4">
        <f>IFERROR(__xludf.DUMMYFUNCTION("""COMPUTED_VALUE"""),647.868)</f>
        <v>647.868</v>
      </c>
      <c r="K367" s="4">
        <f>IFERROR(__xludf.DUMMYFUNCTION("""COMPUTED_VALUE"""),647.868)</f>
        <v>647.868</v>
      </c>
    </row>
    <row r="368" ht="22.5" customHeight="1">
      <c r="A368" s="2" t="str">
        <f>IFERROR(__xludf.DUMMYFUNCTION("""COMPUTED_VALUE"""),"L2")</f>
        <v>L2</v>
      </c>
      <c r="B368" s="2" t="str">
        <f>IFERROR(__xludf.DUMMYFUNCTION("""COMPUTED_VALUE"""),"2026-07")</f>
        <v>2026-07</v>
      </c>
      <c r="C368" s="2" t="str">
        <f>IFERROR(__xludf.DUMMYFUNCTION("""COMPUTED_VALUE"""),"FRAME-SUV")</f>
        <v>FRAME-SUV</v>
      </c>
      <c r="D368" s="2">
        <f>IFERROR(__xludf.DUMMYFUNCTION("""COMPUTED_VALUE"""),0.0)</f>
        <v>0</v>
      </c>
      <c r="E368" s="2">
        <f>IFERROR(__xludf.DUMMYFUNCTION("""COMPUTED_VALUE"""),0.0)</f>
        <v>0</v>
      </c>
      <c r="F368" s="4">
        <f>IFERROR(__xludf.DUMMYFUNCTION("""COMPUTED_VALUE"""),0.0)</f>
        <v>0</v>
      </c>
      <c r="G368" s="4">
        <f>IFERROR(__xludf.DUMMYFUNCTION("""COMPUTED_VALUE"""),0.0)</f>
        <v>0</v>
      </c>
      <c r="H368" s="9">
        <f>IFERROR(__xludf.DUMMYFUNCTION("""COMPUTED_VALUE"""),1.32264)</f>
        <v>1.32264</v>
      </c>
      <c r="I368" s="4">
        <f>IFERROR(__xludf.DUMMYFUNCTION("""COMPUTED_VALUE"""),0.0)</f>
        <v>0</v>
      </c>
      <c r="J368" s="4">
        <f>IFERROR(__xludf.DUMMYFUNCTION("""COMPUTED_VALUE"""),647.868)</f>
        <v>647.868</v>
      </c>
      <c r="K368" s="4">
        <f>IFERROR(__xludf.DUMMYFUNCTION("""COMPUTED_VALUE"""),647.868)</f>
        <v>647.868</v>
      </c>
    </row>
    <row r="369" ht="22.5" customHeight="1">
      <c r="A369" s="2" t="str">
        <f>IFERROR(__xludf.DUMMYFUNCTION("""COMPUTED_VALUE"""),"L2")</f>
        <v>L2</v>
      </c>
      <c r="B369" s="2" t="str">
        <f>IFERROR(__xludf.DUMMYFUNCTION("""COMPUTED_VALUE"""),"2026-08")</f>
        <v>2026-08</v>
      </c>
      <c r="C369" s="2" t="str">
        <f>IFERROR(__xludf.DUMMYFUNCTION("""COMPUTED_VALUE"""),"FRAME-SUV")</f>
        <v>FRAME-SUV</v>
      </c>
      <c r="D369" s="2">
        <f>IFERROR(__xludf.DUMMYFUNCTION("""COMPUTED_VALUE"""),0.0)</f>
        <v>0</v>
      </c>
      <c r="E369" s="2">
        <f>IFERROR(__xludf.DUMMYFUNCTION("""COMPUTED_VALUE"""),0.0)</f>
        <v>0</v>
      </c>
      <c r="F369" s="4">
        <f>IFERROR(__xludf.DUMMYFUNCTION("""COMPUTED_VALUE"""),0.0)</f>
        <v>0</v>
      </c>
      <c r="G369" s="4">
        <f>IFERROR(__xludf.DUMMYFUNCTION("""COMPUTED_VALUE"""),0.0)</f>
        <v>0</v>
      </c>
      <c r="H369" s="9">
        <f>IFERROR(__xludf.DUMMYFUNCTION("""COMPUTED_VALUE"""),1.32264)</f>
        <v>1.32264</v>
      </c>
      <c r="I369" s="4">
        <f>IFERROR(__xludf.DUMMYFUNCTION("""COMPUTED_VALUE"""),0.0)</f>
        <v>0</v>
      </c>
      <c r="J369" s="4">
        <f>IFERROR(__xludf.DUMMYFUNCTION("""COMPUTED_VALUE"""),647.868)</f>
        <v>647.868</v>
      </c>
      <c r="K369" s="4">
        <f>IFERROR(__xludf.DUMMYFUNCTION("""COMPUTED_VALUE"""),647.868)</f>
        <v>647.868</v>
      </c>
    </row>
    <row r="370" ht="22.5" customHeight="1">
      <c r="A370" s="2" t="str">
        <f>IFERROR(__xludf.DUMMYFUNCTION("""COMPUTED_VALUE"""),"L2")</f>
        <v>L2</v>
      </c>
      <c r="B370" s="2" t="str">
        <f>IFERROR(__xludf.DUMMYFUNCTION("""COMPUTED_VALUE"""),"2026-09")</f>
        <v>2026-09</v>
      </c>
      <c r="C370" s="2" t="str">
        <f>IFERROR(__xludf.DUMMYFUNCTION("""COMPUTED_VALUE"""),"FRAME-SUV")</f>
        <v>FRAME-SUV</v>
      </c>
      <c r="D370" s="2">
        <f>IFERROR(__xludf.DUMMYFUNCTION("""COMPUTED_VALUE"""),0.0)</f>
        <v>0</v>
      </c>
      <c r="E370" s="2">
        <f>IFERROR(__xludf.DUMMYFUNCTION("""COMPUTED_VALUE"""),0.0)</f>
        <v>0</v>
      </c>
      <c r="F370" s="4">
        <f>IFERROR(__xludf.DUMMYFUNCTION("""COMPUTED_VALUE"""),0.0)</f>
        <v>0</v>
      </c>
      <c r="G370" s="4">
        <f>IFERROR(__xludf.DUMMYFUNCTION("""COMPUTED_VALUE"""),0.0)</f>
        <v>0</v>
      </c>
      <c r="H370" s="9">
        <f>IFERROR(__xludf.DUMMYFUNCTION("""COMPUTED_VALUE"""),1.32264)</f>
        <v>1.32264</v>
      </c>
      <c r="I370" s="4">
        <f>IFERROR(__xludf.DUMMYFUNCTION("""COMPUTED_VALUE"""),0.0)</f>
        <v>0</v>
      </c>
      <c r="J370" s="4">
        <f>IFERROR(__xludf.DUMMYFUNCTION("""COMPUTED_VALUE"""),647.868)</f>
        <v>647.868</v>
      </c>
      <c r="K370" s="4">
        <f>IFERROR(__xludf.DUMMYFUNCTION("""COMPUTED_VALUE"""),647.868)</f>
        <v>647.868</v>
      </c>
    </row>
    <row r="371" ht="22.5" customHeight="1">
      <c r="A371" s="2" t="str">
        <f>IFERROR(__xludf.DUMMYFUNCTION("""COMPUTED_VALUE"""),"L2")</f>
        <v>L2</v>
      </c>
      <c r="B371" s="2" t="str">
        <f>IFERROR(__xludf.DUMMYFUNCTION("""COMPUTED_VALUE"""),"2026-10")</f>
        <v>2026-10</v>
      </c>
      <c r="C371" s="2" t="str">
        <f>IFERROR(__xludf.DUMMYFUNCTION("""COMPUTED_VALUE"""),"FRAME-SUV")</f>
        <v>FRAME-SUV</v>
      </c>
      <c r="D371" s="2">
        <f>IFERROR(__xludf.DUMMYFUNCTION("""COMPUTED_VALUE"""),0.0)</f>
        <v>0</v>
      </c>
      <c r="E371" s="2">
        <f>IFERROR(__xludf.DUMMYFUNCTION("""COMPUTED_VALUE"""),0.0)</f>
        <v>0</v>
      </c>
      <c r="F371" s="4">
        <f>IFERROR(__xludf.DUMMYFUNCTION("""COMPUTED_VALUE"""),0.0)</f>
        <v>0</v>
      </c>
      <c r="G371" s="4">
        <f>IFERROR(__xludf.DUMMYFUNCTION("""COMPUTED_VALUE"""),0.0)</f>
        <v>0</v>
      </c>
      <c r="H371" s="9">
        <f>IFERROR(__xludf.DUMMYFUNCTION("""COMPUTED_VALUE"""),1.32264)</f>
        <v>1.32264</v>
      </c>
      <c r="I371" s="4">
        <f>IFERROR(__xludf.DUMMYFUNCTION("""COMPUTED_VALUE"""),0.0)</f>
        <v>0</v>
      </c>
      <c r="J371" s="4">
        <f>IFERROR(__xludf.DUMMYFUNCTION("""COMPUTED_VALUE"""),0.0)</f>
        <v>0</v>
      </c>
      <c r="K371" s="4">
        <f>IFERROR(__xludf.DUMMYFUNCTION("""COMPUTED_VALUE"""),0.0)</f>
        <v>0</v>
      </c>
    </row>
    <row r="372" ht="22.5" customHeight="1">
      <c r="A372" s="2" t="str">
        <f>IFERROR(__xludf.DUMMYFUNCTION("""COMPUTED_VALUE"""),"L2")</f>
        <v>L2</v>
      </c>
      <c r="B372" s="2" t="str">
        <f>IFERROR(__xludf.DUMMYFUNCTION("""COMPUTED_VALUE"""),"2026-11")</f>
        <v>2026-11</v>
      </c>
      <c r="C372" s="2" t="str">
        <f>IFERROR(__xludf.DUMMYFUNCTION("""COMPUTED_VALUE"""),"FRAME-SUV")</f>
        <v>FRAME-SUV</v>
      </c>
      <c r="D372" s="2">
        <f>IFERROR(__xludf.DUMMYFUNCTION("""COMPUTED_VALUE"""),0.0)</f>
        <v>0</v>
      </c>
      <c r="E372" s="2">
        <f>IFERROR(__xludf.DUMMYFUNCTION("""COMPUTED_VALUE"""),0.0)</f>
        <v>0</v>
      </c>
      <c r="F372" s="4">
        <f>IFERROR(__xludf.DUMMYFUNCTION("""COMPUTED_VALUE"""),0.0)</f>
        <v>0</v>
      </c>
      <c r="G372" s="4">
        <f>IFERROR(__xludf.DUMMYFUNCTION("""COMPUTED_VALUE"""),0.0)</f>
        <v>0</v>
      </c>
      <c r="H372" s="9">
        <f>IFERROR(__xludf.DUMMYFUNCTION("""COMPUTED_VALUE"""),1.32264)</f>
        <v>1.32264</v>
      </c>
      <c r="I372" s="4">
        <f>IFERROR(__xludf.DUMMYFUNCTION("""COMPUTED_VALUE"""),0.0)</f>
        <v>0</v>
      </c>
      <c r="J372" s="4">
        <f>IFERROR(__xludf.DUMMYFUNCTION("""COMPUTED_VALUE"""),0.0)</f>
        <v>0</v>
      </c>
      <c r="K372" s="4">
        <f>IFERROR(__xludf.DUMMYFUNCTION("""COMPUTED_VALUE"""),0.0)</f>
        <v>0</v>
      </c>
    </row>
    <row r="373" ht="22.5" customHeight="1">
      <c r="A373" s="2" t="str">
        <f>IFERROR(__xludf.DUMMYFUNCTION("""COMPUTED_VALUE"""),"L2")</f>
        <v>L2</v>
      </c>
      <c r="B373" s="2" t="str">
        <f>IFERROR(__xludf.DUMMYFUNCTION("""COMPUTED_VALUE"""),"2026-12")</f>
        <v>2026-12</v>
      </c>
      <c r="C373" s="2" t="str">
        <f>IFERROR(__xludf.DUMMYFUNCTION("""COMPUTED_VALUE"""),"FRAME-SUV")</f>
        <v>FRAME-SUV</v>
      </c>
      <c r="D373" s="2">
        <f>IFERROR(__xludf.DUMMYFUNCTION("""COMPUTED_VALUE"""),0.0)</f>
        <v>0</v>
      </c>
      <c r="E373" s="2">
        <f>IFERROR(__xludf.DUMMYFUNCTION("""COMPUTED_VALUE"""),0.0)</f>
        <v>0</v>
      </c>
      <c r="F373" s="4">
        <f>IFERROR(__xludf.DUMMYFUNCTION("""COMPUTED_VALUE"""),0.0)</f>
        <v>0</v>
      </c>
      <c r="G373" s="4">
        <f>IFERROR(__xludf.DUMMYFUNCTION("""COMPUTED_VALUE"""),0.0)</f>
        <v>0</v>
      </c>
      <c r="H373" s="9">
        <f>IFERROR(__xludf.DUMMYFUNCTION("""COMPUTED_VALUE"""),1.32264)</f>
        <v>1.32264</v>
      </c>
      <c r="I373" s="4">
        <f>IFERROR(__xludf.DUMMYFUNCTION("""COMPUTED_VALUE"""),0.0)</f>
        <v>0</v>
      </c>
      <c r="J373" s="4">
        <f>IFERROR(__xludf.DUMMYFUNCTION("""COMPUTED_VALUE"""),0.0)</f>
        <v>0</v>
      </c>
      <c r="K373" s="4">
        <f>IFERROR(__xludf.DUMMYFUNCTION("""COMPUTED_VALUE"""),0.0)</f>
        <v>0</v>
      </c>
    </row>
    <row r="374" ht="22.5" customHeight="1">
      <c r="A374" s="2" t="str">
        <f>IFERROR(__xludf.DUMMYFUNCTION("""COMPUTED_VALUE"""),"L2")</f>
        <v>L2</v>
      </c>
      <c r="B374" s="2" t="str">
        <f>IFERROR(__xludf.DUMMYFUNCTION("""COMPUTED_VALUE"""),"2026-01")</f>
        <v>2026-01</v>
      </c>
      <c r="C374" s="2" t="str">
        <f>IFERROR(__xludf.DUMMYFUNCTION("""COMPUTED_VALUE"""),"FRAME-SUV - LX")</f>
        <v>FRAME-SUV - LX</v>
      </c>
      <c r="D374" s="2">
        <f>IFERROR(__xludf.DUMMYFUNCTION("""COMPUTED_VALUE"""),0.0)</f>
        <v>0</v>
      </c>
      <c r="E374" s="2">
        <f>IFERROR(__xludf.DUMMYFUNCTION("""COMPUTED_VALUE"""),0.0)</f>
        <v>0</v>
      </c>
      <c r="F374" s="4">
        <f>IFERROR(__xludf.DUMMYFUNCTION("""COMPUTED_VALUE"""),0.0)</f>
        <v>0</v>
      </c>
      <c r="G374" s="4">
        <f>IFERROR(__xludf.DUMMYFUNCTION("""COMPUTED_VALUE"""),0.0)</f>
        <v>0</v>
      </c>
      <c r="H374" s="9">
        <f>IFERROR(__xludf.DUMMYFUNCTION("""COMPUTED_VALUE"""),1.32264)</f>
        <v>1.32264</v>
      </c>
      <c r="I374" s="4">
        <f>IFERROR(__xludf.DUMMYFUNCTION("""COMPUTED_VALUE"""),0.0)</f>
        <v>0</v>
      </c>
      <c r="J374" s="4">
        <f>IFERROR(__xludf.DUMMYFUNCTION("""COMPUTED_VALUE"""),55667.497500000005)</f>
        <v>55667.4975</v>
      </c>
      <c r="K374" s="4">
        <f>IFERROR(__xludf.DUMMYFUNCTION("""COMPUTED_VALUE"""),55667.497500000005)</f>
        <v>55667.4975</v>
      </c>
    </row>
    <row r="375" ht="22.5" customHeight="1">
      <c r="A375" s="2" t="str">
        <f>IFERROR(__xludf.DUMMYFUNCTION("""COMPUTED_VALUE"""),"L2")</f>
        <v>L2</v>
      </c>
      <c r="B375" s="2" t="str">
        <f>IFERROR(__xludf.DUMMYFUNCTION("""COMPUTED_VALUE"""),"2026-02")</f>
        <v>2026-02</v>
      </c>
      <c r="C375" s="2" t="str">
        <f>IFERROR(__xludf.DUMMYFUNCTION("""COMPUTED_VALUE"""),"FRAME-SUV - LX")</f>
        <v>FRAME-SUV - LX</v>
      </c>
      <c r="D375" s="2">
        <f>IFERROR(__xludf.DUMMYFUNCTION("""COMPUTED_VALUE"""),0.0)</f>
        <v>0</v>
      </c>
      <c r="E375" s="2">
        <f>IFERROR(__xludf.DUMMYFUNCTION("""COMPUTED_VALUE"""),0.0)</f>
        <v>0</v>
      </c>
      <c r="F375" s="4">
        <f>IFERROR(__xludf.DUMMYFUNCTION("""COMPUTED_VALUE"""),0.0)</f>
        <v>0</v>
      </c>
      <c r="G375" s="4">
        <f>IFERROR(__xludf.DUMMYFUNCTION("""COMPUTED_VALUE"""),0.0)</f>
        <v>0</v>
      </c>
      <c r="H375" s="9">
        <f>IFERROR(__xludf.DUMMYFUNCTION("""COMPUTED_VALUE"""),1.32264)</f>
        <v>1.32264</v>
      </c>
      <c r="I375" s="4">
        <f>IFERROR(__xludf.DUMMYFUNCTION("""COMPUTED_VALUE"""),0.0)</f>
        <v>0</v>
      </c>
      <c r="J375" s="4">
        <f>IFERROR(__xludf.DUMMYFUNCTION("""COMPUTED_VALUE"""),19459.3)</f>
        <v>19459.3</v>
      </c>
      <c r="K375" s="4">
        <f>IFERROR(__xludf.DUMMYFUNCTION("""COMPUTED_VALUE"""),19459.3)</f>
        <v>19459.3</v>
      </c>
    </row>
    <row r="376" ht="22.5" customHeight="1">
      <c r="A376" s="2" t="str">
        <f>IFERROR(__xludf.DUMMYFUNCTION("""COMPUTED_VALUE"""),"L2")</f>
        <v>L2</v>
      </c>
      <c r="B376" s="2" t="str">
        <f>IFERROR(__xludf.DUMMYFUNCTION("""COMPUTED_VALUE"""),"2026-03")</f>
        <v>2026-03</v>
      </c>
      <c r="C376" s="2" t="str">
        <f>IFERROR(__xludf.DUMMYFUNCTION("""COMPUTED_VALUE"""),"FRAME-SUV - LX")</f>
        <v>FRAME-SUV - LX</v>
      </c>
      <c r="D376" s="2">
        <f>IFERROR(__xludf.DUMMYFUNCTION("""COMPUTED_VALUE"""),0.0)</f>
        <v>0</v>
      </c>
      <c r="E376" s="2">
        <f>IFERROR(__xludf.DUMMYFUNCTION("""COMPUTED_VALUE"""),0.0)</f>
        <v>0</v>
      </c>
      <c r="F376" s="4">
        <f>IFERROR(__xludf.DUMMYFUNCTION("""COMPUTED_VALUE"""),0.0)</f>
        <v>0</v>
      </c>
      <c r="G376" s="4">
        <f>IFERROR(__xludf.DUMMYFUNCTION("""COMPUTED_VALUE"""),0.0)</f>
        <v>0</v>
      </c>
      <c r="H376" s="9">
        <f>IFERROR(__xludf.DUMMYFUNCTION("""COMPUTED_VALUE"""),1.32264)</f>
        <v>1.32264</v>
      </c>
      <c r="I376" s="4">
        <f>IFERROR(__xludf.DUMMYFUNCTION("""COMPUTED_VALUE"""),0.0)</f>
        <v>0</v>
      </c>
      <c r="J376" s="4">
        <f>IFERROR(__xludf.DUMMYFUNCTION("""COMPUTED_VALUE"""),0.0)</f>
        <v>0</v>
      </c>
      <c r="K376" s="4">
        <f>IFERROR(__xludf.DUMMYFUNCTION("""COMPUTED_VALUE"""),0.0)</f>
        <v>0</v>
      </c>
    </row>
    <row r="377" ht="22.5" customHeight="1">
      <c r="A377" s="2" t="str">
        <f>IFERROR(__xludf.DUMMYFUNCTION("""COMPUTED_VALUE"""),"L2")</f>
        <v>L2</v>
      </c>
      <c r="B377" s="2" t="str">
        <f>IFERROR(__xludf.DUMMYFUNCTION("""COMPUTED_VALUE"""),"2026-04")</f>
        <v>2026-04</v>
      </c>
      <c r="C377" s="2" t="str">
        <f>IFERROR(__xludf.DUMMYFUNCTION("""COMPUTED_VALUE"""),"FRAME-SUV - LX")</f>
        <v>FRAME-SUV - LX</v>
      </c>
      <c r="D377" s="2">
        <f>IFERROR(__xludf.DUMMYFUNCTION("""COMPUTED_VALUE"""),0.0)</f>
        <v>0</v>
      </c>
      <c r="E377" s="2">
        <f>IFERROR(__xludf.DUMMYFUNCTION("""COMPUTED_VALUE"""),0.0)</f>
        <v>0</v>
      </c>
      <c r="F377" s="4">
        <f>IFERROR(__xludf.DUMMYFUNCTION("""COMPUTED_VALUE"""),0.0)</f>
        <v>0</v>
      </c>
      <c r="G377" s="4">
        <f>IFERROR(__xludf.DUMMYFUNCTION("""COMPUTED_VALUE"""),0.0)</f>
        <v>0</v>
      </c>
      <c r="H377" s="9">
        <f>IFERROR(__xludf.DUMMYFUNCTION("""COMPUTED_VALUE"""),1.32264)</f>
        <v>1.32264</v>
      </c>
      <c r="I377" s="4">
        <f>IFERROR(__xludf.DUMMYFUNCTION("""COMPUTED_VALUE"""),0.0)</f>
        <v>0</v>
      </c>
      <c r="J377" s="4">
        <f>IFERROR(__xludf.DUMMYFUNCTION("""COMPUTED_VALUE"""),0.0)</f>
        <v>0</v>
      </c>
      <c r="K377" s="4">
        <f>IFERROR(__xludf.DUMMYFUNCTION("""COMPUTED_VALUE"""),0.0)</f>
        <v>0</v>
      </c>
    </row>
    <row r="378" ht="22.5" customHeight="1">
      <c r="A378" s="2" t="str">
        <f>IFERROR(__xludf.DUMMYFUNCTION("""COMPUTED_VALUE"""),"L2")</f>
        <v>L2</v>
      </c>
      <c r="B378" s="2" t="str">
        <f>IFERROR(__xludf.DUMMYFUNCTION("""COMPUTED_VALUE"""),"2026-05")</f>
        <v>2026-05</v>
      </c>
      <c r="C378" s="2" t="str">
        <f>IFERROR(__xludf.DUMMYFUNCTION("""COMPUTED_VALUE"""),"FRAME-SUV - LX")</f>
        <v>FRAME-SUV - LX</v>
      </c>
      <c r="D378" s="2">
        <f>IFERROR(__xludf.DUMMYFUNCTION("""COMPUTED_VALUE"""),0.0)</f>
        <v>0</v>
      </c>
      <c r="E378" s="2">
        <f>IFERROR(__xludf.DUMMYFUNCTION("""COMPUTED_VALUE"""),0.0)</f>
        <v>0</v>
      </c>
      <c r="F378" s="4">
        <f>IFERROR(__xludf.DUMMYFUNCTION("""COMPUTED_VALUE"""),0.0)</f>
        <v>0</v>
      </c>
      <c r="G378" s="4">
        <f>IFERROR(__xludf.DUMMYFUNCTION("""COMPUTED_VALUE"""),0.0)</f>
        <v>0</v>
      </c>
      <c r="H378" s="9">
        <f>IFERROR(__xludf.DUMMYFUNCTION("""COMPUTED_VALUE"""),1.32264)</f>
        <v>1.32264</v>
      </c>
      <c r="I378" s="4">
        <f>IFERROR(__xludf.DUMMYFUNCTION("""COMPUTED_VALUE"""),0.0)</f>
        <v>0</v>
      </c>
      <c r="J378" s="4">
        <f>IFERROR(__xludf.DUMMYFUNCTION("""COMPUTED_VALUE"""),0.0)</f>
        <v>0</v>
      </c>
      <c r="K378" s="4">
        <f>IFERROR(__xludf.DUMMYFUNCTION("""COMPUTED_VALUE"""),0.0)</f>
        <v>0</v>
      </c>
    </row>
    <row r="379" ht="22.5" customHeight="1">
      <c r="A379" s="2" t="str">
        <f>IFERROR(__xludf.DUMMYFUNCTION("""COMPUTED_VALUE"""),"L2")</f>
        <v>L2</v>
      </c>
      <c r="B379" s="2" t="str">
        <f>IFERROR(__xludf.DUMMYFUNCTION("""COMPUTED_VALUE"""),"2026-06")</f>
        <v>2026-06</v>
      </c>
      <c r="C379" s="2" t="str">
        <f>IFERROR(__xludf.DUMMYFUNCTION("""COMPUTED_VALUE"""),"FRAME-SUV - LX")</f>
        <v>FRAME-SUV - LX</v>
      </c>
      <c r="D379" s="2">
        <f>IFERROR(__xludf.DUMMYFUNCTION("""COMPUTED_VALUE"""),0.0)</f>
        <v>0</v>
      </c>
      <c r="E379" s="2">
        <f>IFERROR(__xludf.DUMMYFUNCTION("""COMPUTED_VALUE"""),0.0)</f>
        <v>0</v>
      </c>
      <c r="F379" s="4">
        <f>IFERROR(__xludf.DUMMYFUNCTION("""COMPUTED_VALUE"""),0.0)</f>
        <v>0</v>
      </c>
      <c r="G379" s="4">
        <f>IFERROR(__xludf.DUMMYFUNCTION("""COMPUTED_VALUE"""),0.0)</f>
        <v>0</v>
      </c>
      <c r="H379" s="9">
        <f>IFERROR(__xludf.DUMMYFUNCTION("""COMPUTED_VALUE"""),1.32264)</f>
        <v>1.32264</v>
      </c>
      <c r="I379" s="4">
        <f>IFERROR(__xludf.DUMMYFUNCTION("""COMPUTED_VALUE"""),0.0)</f>
        <v>0</v>
      </c>
      <c r="J379" s="4">
        <f>IFERROR(__xludf.DUMMYFUNCTION("""COMPUTED_VALUE"""),0.0)</f>
        <v>0</v>
      </c>
      <c r="K379" s="4">
        <f>IFERROR(__xludf.DUMMYFUNCTION("""COMPUTED_VALUE"""),0.0)</f>
        <v>0</v>
      </c>
    </row>
    <row r="380" ht="22.5" customHeight="1">
      <c r="A380" s="2" t="str">
        <f>IFERROR(__xludf.DUMMYFUNCTION("""COMPUTED_VALUE"""),"L2")</f>
        <v>L2</v>
      </c>
      <c r="B380" s="2" t="str">
        <f>IFERROR(__xludf.DUMMYFUNCTION("""COMPUTED_VALUE"""),"2026-07")</f>
        <v>2026-07</v>
      </c>
      <c r="C380" s="2" t="str">
        <f>IFERROR(__xludf.DUMMYFUNCTION("""COMPUTED_VALUE"""),"FRAME-SUV - LX")</f>
        <v>FRAME-SUV - LX</v>
      </c>
      <c r="D380" s="2">
        <f>IFERROR(__xludf.DUMMYFUNCTION("""COMPUTED_VALUE"""),0.0)</f>
        <v>0</v>
      </c>
      <c r="E380" s="2">
        <f>IFERROR(__xludf.DUMMYFUNCTION("""COMPUTED_VALUE"""),0.0)</f>
        <v>0</v>
      </c>
      <c r="F380" s="4">
        <f>IFERROR(__xludf.DUMMYFUNCTION("""COMPUTED_VALUE"""),0.0)</f>
        <v>0</v>
      </c>
      <c r="G380" s="4">
        <f>IFERROR(__xludf.DUMMYFUNCTION("""COMPUTED_VALUE"""),0.0)</f>
        <v>0</v>
      </c>
      <c r="H380" s="9">
        <f>IFERROR(__xludf.DUMMYFUNCTION("""COMPUTED_VALUE"""),1.32264)</f>
        <v>1.32264</v>
      </c>
      <c r="I380" s="4">
        <f>IFERROR(__xludf.DUMMYFUNCTION("""COMPUTED_VALUE"""),0.0)</f>
        <v>0</v>
      </c>
      <c r="J380" s="4">
        <f>IFERROR(__xludf.DUMMYFUNCTION("""COMPUTED_VALUE"""),0.0)</f>
        <v>0</v>
      </c>
      <c r="K380" s="4">
        <f>IFERROR(__xludf.DUMMYFUNCTION("""COMPUTED_VALUE"""),0.0)</f>
        <v>0</v>
      </c>
    </row>
    <row r="381" ht="22.5" customHeight="1">
      <c r="A381" s="2" t="str">
        <f>IFERROR(__xludf.DUMMYFUNCTION("""COMPUTED_VALUE"""),"L2")</f>
        <v>L2</v>
      </c>
      <c r="B381" s="2" t="str">
        <f>IFERROR(__xludf.DUMMYFUNCTION("""COMPUTED_VALUE"""),"2026-08")</f>
        <v>2026-08</v>
      </c>
      <c r="C381" s="2" t="str">
        <f>IFERROR(__xludf.DUMMYFUNCTION("""COMPUTED_VALUE"""),"FRAME-SUV - LX")</f>
        <v>FRAME-SUV - LX</v>
      </c>
      <c r="D381" s="2">
        <f>IFERROR(__xludf.DUMMYFUNCTION("""COMPUTED_VALUE"""),0.0)</f>
        <v>0</v>
      </c>
      <c r="E381" s="2">
        <f>IFERROR(__xludf.DUMMYFUNCTION("""COMPUTED_VALUE"""),0.0)</f>
        <v>0</v>
      </c>
      <c r="F381" s="4">
        <f>IFERROR(__xludf.DUMMYFUNCTION("""COMPUTED_VALUE"""),0.0)</f>
        <v>0</v>
      </c>
      <c r="G381" s="4">
        <f>IFERROR(__xludf.DUMMYFUNCTION("""COMPUTED_VALUE"""),0.0)</f>
        <v>0</v>
      </c>
      <c r="H381" s="9">
        <f>IFERROR(__xludf.DUMMYFUNCTION("""COMPUTED_VALUE"""),1.32264)</f>
        <v>1.32264</v>
      </c>
      <c r="I381" s="4">
        <f>IFERROR(__xludf.DUMMYFUNCTION("""COMPUTED_VALUE"""),0.0)</f>
        <v>0</v>
      </c>
      <c r="J381" s="4">
        <f>IFERROR(__xludf.DUMMYFUNCTION("""COMPUTED_VALUE"""),0.0)</f>
        <v>0</v>
      </c>
      <c r="K381" s="4">
        <f>IFERROR(__xludf.DUMMYFUNCTION("""COMPUTED_VALUE"""),0.0)</f>
        <v>0</v>
      </c>
    </row>
    <row r="382" ht="22.5" customHeight="1">
      <c r="A382" s="2" t="str">
        <f>IFERROR(__xludf.DUMMYFUNCTION("""COMPUTED_VALUE"""),"L2")</f>
        <v>L2</v>
      </c>
      <c r="B382" s="2" t="str">
        <f>IFERROR(__xludf.DUMMYFUNCTION("""COMPUTED_VALUE"""),"2026-09")</f>
        <v>2026-09</v>
      </c>
      <c r="C382" s="2" t="str">
        <f>IFERROR(__xludf.DUMMYFUNCTION("""COMPUTED_VALUE"""),"FRAME-SUV - LX")</f>
        <v>FRAME-SUV - LX</v>
      </c>
      <c r="D382" s="2">
        <f>IFERROR(__xludf.DUMMYFUNCTION("""COMPUTED_VALUE"""),0.0)</f>
        <v>0</v>
      </c>
      <c r="E382" s="2">
        <f>IFERROR(__xludf.DUMMYFUNCTION("""COMPUTED_VALUE"""),0.0)</f>
        <v>0</v>
      </c>
      <c r="F382" s="4">
        <f>IFERROR(__xludf.DUMMYFUNCTION("""COMPUTED_VALUE"""),0.0)</f>
        <v>0</v>
      </c>
      <c r="G382" s="4">
        <f>IFERROR(__xludf.DUMMYFUNCTION("""COMPUTED_VALUE"""),0.0)</f>
        <v>0</v>
      </c>
      <c r="H382" s="9">
        <f>IFERROR(__xludf.DUMMYFUNCTION("""COMPUTED_VALUE"""),1.32264)</f>
        <v>1.32264</v>
      </c>
      <c r="I382" s="4">
        <f>IFERROR(__xludf.DUMMYFUNCTION("""COMPUTED_VALUE"""),0.0)</f>
        <v>0</v>
      </c>
      <c r="J382" s="4">
        <f>IFERROR(__xludf.DUMMYFUNCTION("""COMPUTED_VALUE"""),0.0)</f>
        <v>0</v>
      </c>
      <c r="K382" s="4">
        <f>IFERROR(__xludf.DUMMYFUNCTION("""COMPUTED_VALUE"""),0.0)</f>
        <v>0</v>
      </c>
    </row>
    <row r="383" ht="22.5" customHeight="1">
      <c r="A383" s="2" t="str">
        <f>IFERROR(__xludf.DUMMYFUNCTION("""COMPUTED_VALUE"""),"L2")</f>
        <v>L2</v>
      </c>
      <c r="B383" s="2" t="str">
        <f>IFERROR(__xludf.DUMMYFUNCTION("""COMPUTED_VALUE"""),"2026-10")</f>
        <v>2026-10</v>
      </c>
      <c r="C383" s="2" t="str">
        <f>IFERROR(__xludf.DUMMYFUNCTION("""COMPUTED_VALUE"""),"FRAME-SUV - LX")</f>
        <v>FRAME-SUV - LX</v>
      </c>
      <c r="D383" s="2">
        <f>IFERROR(__xludf.DUMMYFUNCTION("""COMPUTED_VALUE"""),0.0)</f>
        <v>0</v>
      </c>
      <c r="E383" s="2">
        <f>IFERROR(__xludf.DUMMYFUNCTION("""COMPUTED_VALUE"""),0.0)</f>
        <v>0</v>
      </c>
      <c r="F383" s="4">
        <f>IFERROR(__xludf.DUMMYFUNCTION("""COMPUTED_VALUE"""),0.0)</f>
        <v>0</v>
      </c>
      <c r="G383" s="4">
        <f>IFERROR(__xludf.DUMMYFUNCTION("""COMPUTED_VALUE"""),0.0)</f>
        <v>0</v>
      </c>
      <c r="H383" s="9">
        <f>IFERROR(__xludf.DUMMYFUNCTION("""COMPUTED_VALUE"""),1.32264)</f>
        <v>1.32264</v>
      </c>
      <c r="I383" s="4">
        <f>IFERROR(__xludf.DUMMYFUNCTION("""COMPUTED_VALUE"""),0.0)</f>
        <v>0</v>
      </c>
      <c r="J383" s="4">
        <f>IFERROR(__xludf.DUMMYFUNCTION("""COMPUTED_VALUE"""),0.0)</f>
        <v>0</v>
      </c>
      <c r="K383" s="4">
        <f>IFERROR(__xludf.DUMMYFUNCTION("""COMPUTED_VALUE"""),0.0)</f>
        <v>0</v>
      </c>
    </row>
    <row r="384" ht="22.5" customHeight="1">
      <c r="A384" s="2" t="str">
        <f>IFERROR(__xludf.DUMMYFUNCTION("""COMPUTED_VALUE"""),"L2")</f>
        <v>L2</v>
      </c>
      <c r="B384" s="2" t="str">
        <f>IFERROR(__xludf.DUMMYFUNCTION("""COMPUTED_VALUE"""),"2026-11")</f>
        <v>2026-11</v>
      </c>
      <c r="C384" s="2" t="str">
        <f>IFERROR(__xludf.DUMMYFUNCTION("""COMPUTED_VALUE"""),"FRAME-SUV - LX")</f>
        <v>FRAME-SUV - LX</v>
      </c>
      <c r="D384" s="2">
        <f>IFERROR(__xludf.DUMMYFUNCTION("""COMPUTED_VALUE"""),0.0)</f>
        <v>0</v>
      </c>
      <c r="E384" s="2">
        <f>IFERROR(__xludf.DUMMYFUNCTION("""COMPUTED_VALUE"""),0.0)</f>
        <v>0</v>
      </c>
      <c r="F384" s="4">
        <f>IFERROR(__xludf.DUMMYFUNCTION("""COMPUTED_VALUE"""),0.0)</f>
        <v>0</v>
      </c>
      <c r="G384" s="4">
        <f>IFERROR(__xludf.DUMMYFUNCTION("""COMPUTED_VALUE"""),0.0)</f>
        <v>0</v>
      </c>
      <c r="H384" s="9">
        <f>IFERROR(__xludf.DUMMYFUNCTION("""COMPUTED_VALUE"""),1.32264)</f>
        <v>1.32264</v>
      </c>
      <c r="I384" s="4">
        <f>IFERROR(__xludf.DUMMYFUNCTION("""COMPUTED_VALUE"""),0.0)</f>
        <v>0</v>
      </c>
      <c r="J384" s="4">
        <f>IFERROR(__xludf.DUMMYFUNCTION("""COMPUTED_VALUE"""),0.0)</f>
        <v>0</v>
      </c>
      <c r="K384" s="4">
        <f>IFERROR(__xludf.DUMMYFUNCTION("""COMPUTED_VALUE"""),0.0)</f>
        <v>0</v>
      </c>
    </row>
    <row r="385" ht="22.5" customHeight="1">
      <c r="A385" s="2" t="str">
        <f>IFERROR(__xludf.DUMMYFUNCTION("""COMPUTED_VALUE"""),"L2")</f>
        <v>L2</v>
      </c>
      <c r="B385" s="2" t="str">
        <f>IFERROR(__xludf.DUMMYFUNCTION("""COMPUTED_VALUE"""),"2026-12")</f>
        <v>2026-12</v>
      </c>
      <c r="C385" s="2" t="str">
        <f>IFERROR(__xludf.DUMMYFUNCTION("""COMPUTED_VALUE"""),"FRAME-SUV - LX")</f>
        <v>FRAME-SUV - LX</v>
      </c>
      <c r="D385" s="2">
        <f>IFERROR(__xludf.DUMMYFUNCTION("""COMPUTED_VALUE"""),0.0)</f>
        <v>0</v>
      </c>
      <c r="E385" s="2">
        <f>IFERROR(__xludf.DUMMYFUNCTION("""COMPUTED_VALUE"""),0.0)</f>
        <v>0</v>
      </c>
      <c r="F385" s="4">
        <f>IFERROR(__xludf.DUMMYFUNCTION("""COMPUTED_VALUE"""),0.0)</f>
        <v>0</v>
      </c>
      <c r="G385" s="4">
        <f>IFERROR(__xludf.DUMMYFUNCTION("""COMPUTED_VALUE"""),0.0)</f>
        <v>0</v>
      </c>
      <c r="H385" s="9">
        <f>IFERROR(__xludf.DUMMYFUNCTION("""COMPUTED_VALUE"""),1.32264)</f>
        <v>1.32264</v>
      </c>
      <c r="I385" s="4">
        <f>IFERROR(__xludf.DUMMYFUNCTION("""COMPUTED_VALUE"""),0.0)</f>
        <v>0</v>
      </c>
      <c r="J385" s="4">
        <f>IFERROR(__xludf.DUMMYFUNCTION("""COMPUTED_VALUE"""),0.0)</f>
        <v>0</v>
      </c>
      <c r="K385" s="4">
        <f>IFERROR(__xludf.DUMMYFUNCTION("""COMPUTED_VALUE"""),0.0)</f>
        <v>0</v>
      </c>
    </row>
    <row r="386" ht="22.5" customHeight="1">
      <c r="A386" s="2" t="str">
        <f>IFERROR(__xludf.DUMMYFUNCTION("""COMPUTED_VALUE"""),"L2")</f>
        <v>L2</v>
      </c>
      <c r="B386" s="2" t="str">
        <f>IFERROR(__xludf.DUMMYFUNCTION("""COMPUTED_VALUE"""),"2026-01")</f>
        <v>2026-01</v>
      </c>
      <c r="C386" s="2" t="str">
        <f>IFERROR(__xludf.DUMMYFUNCTION("""COMPUTED_VALUE"""),"FRAMESEAT-SD")</f>
        <v>FRAMESEAT-SD</v>
      </c>
      <c r="D386" s="2">
        <f>IFERROR(__xludf.DUMMYFUNCTION("""COMPUTED_VALUE"""),0.0)</f>
        <v>0</v>
      </c>
      <c r="E386" s="2">
        <f>IFERROR(__xludf.DUMMYFUNCTION("""COMPUTED_VALUE"""),0.0)</f>
        <v>0</v>
      </c>
      <c r="F386" s="4">
        <f>IFERROR(__xludf.DUMMYFUNCTION("""COMPUTED_VALUE"""),0.0)</f>
        <v>0</v>
      </c>
      <c r="G386" s="4">
        <f>IFERROR(__xludf.DUMMYFUNCTION("""COMPUTED_VALUE"""),0.0)</f>
        <v>0</v>
      </c>
      <c r="H386" s="9">
        <f>IFERROR(__xludf.DUMMYFUNCTION("""COMPUTED_VALUE"""),1.1)</f>
        <v>1.1</v>
      </c>
      <c r="I386" s="4">
        <f>IFERROR(__xludf.DUMMYFUNCTION("""COMPUTED_VALUE"""),0.0)</f>
        <v>0</v>
      </c>
      <c r="J386" s="4">
        <f>IFERROR(__xludf.DUMMYFUNCTION("""COMPUTED_VALUE"""),12001.515)</f>
        <v>12001.515</v>
      </c>
      <c r="K386" s="4">
        <f>IFERROR(__xludf.DUMMYFUNCTION("""COMPUTED_VALUE"""),12001.515)</f>
        <v>12001.515</v>
      </c>
    </row>
    <row r="387" ht="22.5" customHeight="1">
      <c r="A387" s="2" t="str">
        <f>IFERROR(__xludf.DUMMYFUNCTION("""COMPUTED_VALUE"""),"L2")</f>
        <v>L2</v>
      </c>
      <c r="B387" s="2" t="str">
        <f>IFERROR(__xludf.DUMMYFUNCTION("""COMPUTED_VALUE"""),"2026-02")</f>
        <v>2026-02</v>
      </c>
      <c r="C387" s="2" t="str">
        <f>IFERROR(__xludf.DUMMYFUNCTION("""COMPUTED_VALUE"""),"FRAMESEAT-SD")</f>
        <v>FRAMESEAT-SD</v>
      </c>
      <c r="D387" s="2">
        <f>IFERROR(__xludf.DUMMYFUNCTION("""COMPUTED_VALUE"""),0.0)</f>
        <v>0</v>
      </c>
      <c r="E387" s="2">
        <f>IFERROR(__xludf.DUMMYFUNCTION("""COMPUTED_VALUE"""),0.0)</f>
        <v>0</v>
      </c>
      <c r="F387" s="4">
        <f>IFERROR(__xludf.DUMMYFUNCTION("""COMPUTED_VALUE"""),0.0)</f>
        <v>0</v>
      </c>
      <c r="G387" s="4">
        <f>IFERROR(__xludf.DUMMYFUNCTION("""COMPUTED_VALUE"""),0.0)</f>
        <v>0</v>
      </c>
      <c r="H387" s="9">
        <f>IFERROR(__xludf.DUMMYFUNCTION("""COMPUTED_VALUE"""),1.1)</f>
        <v>1.1</v>
      </c>
      <c r="I387" s="4">
        <f>IFERROR(__xludf.DUMMYFUNCTION("""COMPUTED_VALUE"""),0.0)</f>
        <v>0</v>
      </c>
      <c r="J387" s="4">
        <f>IFERROR(__xludf.DUMMYFUNCTION("""COMPUTED_VALUE"""),12001.515)</f>
        <v>12001.515</v>
      </c>
      <c r="K387" s="4">
        <f>IFERROR(__xludf.DUMMYFUNCTION("""COMPUTED_VALUE"""),12001.515)</f>
        <v>12001.515</v>
      </c>
    </row>
    <row r="388" ht="22.5" customHeight="1">
      <c r="A388" s="2" t="str">
        <f>IFERROR(__xludf.DUMMYFUNCTION("""COMPUTED_VALUE"""),"L2")</f>
        <v>L2</v>
      </c>
      <c r="B388" s="2" t="str">
        <f>IFERROR(__xludf.DUMMYFUNCTION("""COMPUTED_VALUE"""),"2026-03")</f>
        <v>2026-03</v>
      </c>
      <c r="C388" s="2" t="str">
        <f>IFERROR(__xludf.DUMMYFUNCTION("""COMPUTED_VALUE"""),"FRAMESEAT-SD")</f>
        <v>FRAMESEAT-SD</v>
      </c>
      <c r="D388" s="2">
        <f>IFERROR(__xludf.DUMMYFUNCTION("""COMPUTED_VALUE"""),0.0)</f>
        <v>0</v>
      </c>
      <c r="E388" s="2">
        <f>IFERROR(__xludf.DUMMYFUNCTION("""COMPUTED_VALUE"""),0.0)</f>
        <v>0</v>
      </c>
      <c r="F388" s="4">
        <f>IFERROR(__xludf.DUMMYFUNCTION("""COMPUTED_VALUE"""),0.0)</f>
        <v>0</v>
      </c>
      <c r="G388" s="4">
        <f>IFERROR(__xludf.DUMMYFUNCTION("""COMPUTED_VALUE"""),0.0)</f>
        <v>0</v>
      </c>
      <c r="H388" s="9">
        <f>IFERROR(__xludf.DUMMYFUNCTION("""COMPUTED_VALUE"""),1.1)</f>
        <v>1.1</v>
      </c>
      <c r="I388" s="4">
        <f>IFERROR(__xludf.DUMMYFUNCTION("""COMPUTED_VALUE"""),0.0)</f>
        <v>0</v>
      </c>
      <c r="J388" s="4">
        <f>IFERROR(__xludf.DUMMYFUNCTION("""COMPUTED_VALUE"""),12001.515)</f>
        <v>12001.515</v>
      </c>
      <c r="K388" s="4">
        <f>IFERROR(__xludf.DUMMYFUNCTION("""COMPUTED_VALUE"""),12001.515)</f>
        <v>12001.515</v>
      </c>
    </row>
    <row r="389" ht="22.5" customHeight="1">
      <c r="A389" s="2" t="str">
        <f>IFERROR(__xludf.DUMMYFUNCTION("""COMPUTED_VALUE"""),"L2")</f>
        <v>L2</v>
      </c>
      <c r="B389" s="2" t="str">
        <f>IFERROR(__xludf.DUMMYFUNCTION("""COMPUTED_VALUE"""),"2026-04")</f>
        <v>2026-04</v>
      </c>
      <c r="C389" s="2" t="str">
        <f>IFERROR(__xludf.DUMMYFUNCTION("""COMPUTED_VALUE"""),"FRAMESEAT-SD")</f>
        <v>FRAMESEAT-SD</v>
      </c>
      <c r="D389" s="2">
        <f>IFERROR(__xludf.DUMMYFUNCTION("""COMPUTED_VALUE"""),0.0)</f>
        <v>0</v>
      </c>
      <c r="E389" s="2">
        <f>IFERROR(__xludf.DUMMYFUNCTION("""COMPUTED_VALUE"""),0.0)</f>
        <v>0</v>
      </c>
      <c r="F389" s="4">
        <f>IFERROR(__xludf.DUMMYFUNCTION("""COMPUTED_VALUE"""),0.0)</f>
        <v>0</v>
      </c>
      <c r="G389" s="4">
        <f>IFERROR(__xludf.DUMMYFUNCTION("""COMPUTED_VALUE"""),0.0)</f>
        <v>0</v>
      </c>
      <c r="H389" s="9">
        <f>IFERROR(__xludf.DUMMYFUNCTION("""COMPUTED_VALUE"""),1.1)</f>
        <v>1.1</v>
      </c>
      <c r="I389" s="4">
        <f>IFERROR(__xludf.DUMMYFUNCTION("""COMPUTED_VALUE"""),0.0)</f>
        <v>0</v>
      </c>
      <c r="J389" s="4">
        <f>IFERROR(__xludf.DUMMYFUNCTION("""COMPUTED_VALUE"""),12001.515)</f>
        <v>12001.515</v>
      </c>
      <c r="K389" s="4">
        <f>IFERROR(__xludf.DUMMYFUNCTION("""COMPUTED_VALUE"""),12001.515)</f>
        <v>12001.515</v>
      </c>
    </row>
    <row r="390" ht="22.5" customHeight="1">
      <c r="A390" s="2" t="str">
        <f>IFERROR(__xludf.DUMMYFUNCTION("""COMPUTED_VALUE"""),"L2")</f>
        <v>L2</v>
      </c>
      <c r="B390" s="2" t="str">
        <f>IFERROR(__xludf.DUMMYFUNCTION("""COMPUTED_VALUE"""),"2026-05")</f>
        <v>2026-05</v>
      </c>
      <c r="C390" s="2" t="str">
        <f>IFERROR(__xludf.DUMMYFUNCTION("""COMPUTED_VALUE"""),"FRAMESEAT-SD")</f>
        <v>FRAMESEAT-SD</v>
      </c>
      <c r="D390" s="2">
        <f>IFERROR(__xludf.DUMMYFUNCTION("""COMPUTED_VALUE"""),0.0)</f>
        <v>0</v>
      </c>
      <c r="E390" s="2">
        <f>IFERROR(__xludf.DUMMYFUNCTION("""COMPUTED_VALUE"""),0.0)</f>
        <v>0</v>
      </c>
      <c r="F390" s="4">
        <f>IFERROR(__xludf.DUMMYFUNCTION("""COMPUTED_VALUE"""),0.0)</f>
        <v>0</v>
      </c>
      <c r="G390" s="4">
        <f>IFERROR(__xludf.DUMMYFUNCTION("""COMPUTED_VALUE"""),0.0)</f>
        <v>0</v>
      </c>
      <c r="H390" s="9">
        <f>IFERROR(__xludf.DUMMYFUNCTION("""COMPUTED_VALUE"""),1.1)</f>
        <v>1.1</v>
      </c>
      <c r="I390" s="4">
        <f>IFERROR(__xludf.DUMMYFUNCTION("""COMPUTED_VALUE"""),0.0)</f>
        <v>0</v>
      </c>
      <c r="J390" s="4">
        <f>IFERROR(__xludf.DUMMYFUNCTION("""COMPUTED_VALUE"""),12001.515)</f>
        <v>12001.515</v>
      </c>
      <c r="K390" s="4">
        <f>IFERROR(__xludf.DUMMYFUNCTION("""COMPUTED_VALUE"""),12001.515)</f>
        <v>12001.515</v>
      </c>
    </row>
    <row r="391" ht="22.5" customHeight="1">
      <c r="A391" s="2" t="str">
        <f>IFERROR(__xludf.DUMMYFUNCTION("""COMPUTED_VALUE"""),"L2")</f>
        <v>L2</v>
      </c>
      <c r="B391" s="2" t="str">
        <f>IFERROR(__xludf.DUMMYFUNCTION("""COMPUTED_VALUE"""),"2026-06")</f>
        <v>2026-06</v>
      </c>
      <c r="C391" s="2" t="str">
        <f>IFERROR(__xludf.DUMMYFUNCTION("""COMPUTED_VALUE"""),"FRAMESEAT-SD")</f>
        <v>FRAMESEAT-SD</v>
      </c>
      <c r="D391" s="2">
        <f>IFERROR(__xludf.DUMMYFUNCTION("""COMPUTED_VALUE"""),0.0)</f>
        <v>0</v>
      </c>
      <c r="E391" s="2">
        <f>IFERROR(__xludf.DUMMYFUNCTION("""COMPUTED_VALUE"""),0.0)</f>
        <v>0</v>
      </c>
      <c r="F391" s="4">
        <f>IFERROR(__xludf.DUMMYFUNCTION("""COMPUTED_VALUE"""),0.0)</f>
        <v>0</v>
      </c>
      <c r="G391" s="4">
        <f>IFERROR(__xludf.DUMMYFUNCTION("""COMPUTED_VALUE"""),0.0)</f>
        <v>0</v>
      </c>
      <c r="H391" s="9">
        <f>IFERROR(__xludf.DUMMYFUNCTION("""COMPUTED_VALUE"""),1.1)</f>
        <v>1.1</v>
      </c>
      <c r="I391" s="4">
        <f>IFERROR(__xludf.DUMMYFUNCTION("""COMPUTED_VALUE"""),0.0)</f>
        <v>0</v>
      </c>
      <c r="J391" s="4">
        <f>IFERROR(__xludf.DUMMYFUNCTION("""COMPUTED_VALUE"""),12001.515)</f>
        <v>12001.515</v>
      </c>
      <c r="K391" s="4">
        <f>IFERROR(__xludf.DUMMYFUNCTION("""COMPUTED_VALUE"""),12001.515)</f>
        <v>12001.515</v>
      </c>
    </row>
    <row r="392" ht="22.5" customHeight="1">
      <c r="A392" s="2" t="str">
        <f>IFERROR(__xludf.DUMMYFUNCTION("""COMPUTED_VALUE"""),"L2")</f>
        <v>L2</v>
      </c>
      <c r="B392" s="2" t="str">
        <f>IFERROR(__xludf.DUMMYFUNCTION("""COMPUTED_VALUE"""),"2026-07")</f>
        <v>2026-07</v>
      </c>
      <c r="C392" s="2" t="str">
        <f>IFERROR(__xludf.DUMMYFUNCTION("""COMPUTED_VALUE"""),"FRAMESEAT-SD")</f>
        <v>FRAMESEAT-SD</v>
      </c>
      <c r="D392" s="2">
        <f>IFERROR(__xludf.DUMMYFUNCTION("""COMPUTED_VALUE"""),0.0)</f>
        <v>0</v>
      </c>
      <c r="E392" s="2">
        <f>IFERROR(__xludf.DUMMYFUNCTION("""COMPUTED_VALUE"""),0.0)</f>
        <v>0</v>
      </c>
      <c r="F392" s="4">
        <f>IFERROR(__xludf.DUMMYFUNCTION("""COMPUTED_VALUE"""),0.0)</f>
        <v>0</v>
      </c>
      <c r="G392" s="4">
        <f>IFERROR(__xludf.DUMMYFUNCTION("""COMPUTED_VALUE"""),0.0)</f>
        <v>0</v>
      </c>
      <c r="H392" s="9">
        <f>IFERROR(__xludf.DUMMYFUNCTION("""COMPUTED_VALUE"""),1.1)</f>
        <v>1.1</v>
      </c>
      <c r="I392" s="4">
        <f>IFERROR(__xludf.DUMMYFUNCTION("""COMPUTED_VALUE"""),0.0)</f>
        <v>0</v>
      </c>
      <c r="J392" s="4">
        <f>IFERROR(__xludf.DUMMYFUNCTION("""COMPUTED_VALUE"""),12001.515)</f>
        <v>12001.515</v>
      </c>
      <c r="K392" s="4">
        <f>IFERROR(__xludf.DUMMYFUNCTION("""COMPUTED_VALUE"""),12001.515)</f>
        <v>12001.515</v>
      </c>
    </row>
    <row r="393" ht="22.5" customHeight="1">
      <c r="A393" s="2" t="str">
        <f>IFERROR(__xludf.DUMMYFUNCTION("""COMPUTED_VALUE"""),"L2")</f>
        <v>L2</v>
      </c>
      <c r="B393" s="2" t="str">
        <f>IFERROR(__xludf.DUMMYFUNCTION("""COMPUTED_VALUE"""),"2026-08")</f>
        <v>2026-08</v>
      </c>
      <c r="C393" s="2" t="str">
        <f>IFERROR(__xludf.DUMMYFUNCTION("""COMPUTED_VALUE"""),"FRAMESEAT-SD")</f>
        <v>FRAMESEAT-SD</v>
      </c>
      <c r="D393" s="2">
        <f>IFERROR(__xludf.DUMMYFUNCTION("""COMPUTED_VALUE"""),0.0)</f>
        <v>0</v>
      </c>
      <c r="E393" s="2">
        <f>IFERROR(__xludf.DUMMYFUNCTION("""COMPUTED_VALUE"""),0.0)</f>
        <v>0</v>
      </c>
      <c r="F393" s="4">
        <f>IFERROR(__xludf.DUMMYFUNCTION("""COMPUTED_VALUE"""),0.0)</f>
        <v>0</v>
      </c>
      <c r="G393" s="4">
        <f>IFERROR(__xludf.DUMMYFUNCTION("""COMPUTED_VALUE"""),0.0)</f>
        <v>0</v>
      </c>
      <c r="H393" s="9">
        <f>IFERROR(__xludf.DUMMYFUNCTION("""COMPUTED_VALUE"""),1.1)</f>
        <v>1.1</v>
      </c>
      <c r="I393" s="4">
        <f>IFERROR(__xludf.DUMMYFUNCTION("""COMPUTED_VALUE"""),0.0)</f>
        <v>0</v>
      </c>
      <c r="J393" s="4">
        <f>IFERROR(__xludf.DUMMYFUNCTION("""COMPUTED_VALUE"""),12001.515)</f>
        <v>12001.515</v>
      </c>
      <c r="K393" s="4">
        <f>IFERROR(__xludf.DUMMYFUNCTION("""COMPUTED_VALUE"""),12001.515)</f>
        <v>12001.515</v>
      </c>
    </row>
    <row r="394" ht="22.5" customHeight="1">
      <c r="A394" s="2" t="str">
        <f>IFERROR(__xludf.DUMMYFUNCTION("""COMPUTED_VALUE"""),"L2")</f>
        <v>L2</v>
      </c>
      <c r="B394" s="2" t="str">
        <f>IFERROR(__xludf.DUMMYFUNCTION("""COMPUTED_VALUE"""),"2026-09")</f>
        <v>2026-09</v>
      </c>
      <c r="C394" s="2" t="str">
        <f>IFERROR(__xludf.DUMMYFUNCTION("""COMPUTED_VALUE"""),"FRAMESEAT-SD")</f>
        <v>FRAMESEAT-SD</v>
      </c>
      <c r="D394" s="2">
        <f>IFERROR(__xludf.DUMMYFUNCTION("""COMPUTED_VALUE"""),0.0)</f>
        <v>0</v>
      </c>
      <c r="E394" s="2">
        <f>IFERROR(__xludf.DUMMYFUNCTION("""COMPUTED_VALUE"""),0.0)</f>
        <v>0</v>
      </c>
      <c r="F394" s="4">
        <f>IFERROR(__xludf.DUMMYFUNCTION("""COMPUTED_VALUE"""),0.0)</f>
        <v>0</v>
      </c>
      <c r="G394" s="4">
        <f>IFERROR(__xludf.DUMMYFUNCTION("""COMPUTED_VALUE"""),0.0)</f>
        <v>0</v>
      </c>
      <c r="H394" s="9">
        <f>IFERROR(__xludf.DUMMYFUNCTION("""COMPUTED_VALUE"""),1.1)</f>
        <v>1.1</v>
      </c>
      <c r="I394" s="4">
        <f>IFERROR(__xludf.DUMMYFUNCTION("""COMPUTED_VALUE"""),0.0)</f>
        <v>0</v>
      </c>
      <c r="J394" s="4">
        <f>IFERROR(__xludf.DUMMYFUNCTION("""COMPUTED_VALUE"""),12001.515)</f>
        <v>12001.515</v>
      </c>
      <c r="K394" s="4">
        <f>IFERROR(__xludf.DUMMYFUNCTION("""COMPUTED_VALUE"""),12001.515)</f>
        <v>12001.515</v>
      </c>
    </row>
    <row r="395" ht="22.5" customHeight="1">
      <c r="A395" s="2" t="str">
        <f>IFERROR(__xludf.DUMMYFUNCTION("""COMPUTED_VALUE"""),"L2")</f>
        <v>L2</v>
      </c>
      <c r="B395" s="2" t="str">
        <f>IFERROR(__xludf.DUMMYFUNCTION("""COMPUTED_VALUE"""),"2026-10")</f>
        <v>2026-10</v>
      </c>
      <c r="C395" s="2" t="str">
        <f>IFERROR(__xludf.DUMMYFUNCTION("""COMPUTED_VALUE"""),"FRAMESEAT-SD")</f>
        <v>FRAMESEAT-SD</v>
      </c>
      <c r="D395" s="2">
        <f>IFERROR(__xludf.DUMMYFUNCTION("""COMPUTED_VALUE"""),0.0)</f>
        <v>0</v>
      </c>
      <c r="E395" s="2">
        <f>IFERROR(__xludf.DUMMYFUNCTION("""COMPUTED_VALUE"""),0.0)</f>
        <v>0</v>
      </c>
      <c r="F395" s="4">
        <f>IFERROR(__xludf.DUMMYFUNCTION("""COMPUTED_VALUE"""),0.0)</f>
        <v>0</v>
      </c>
      <c r="G395" s="4">
        <f>IFERROR(__xludf.DUMMYFUNCTION("""COMPUTED_VALUE"""),0.0)</f>
        <v>0</v>
      </c>
      <c r="H395" s="9">
        <f>IFERROR(__xludf.DUMMYFUNCTION("""COMPUTED_VALUE"""),1.1)</f>
        <v>1.1</v>
      </c>
      <c r="I395" s="4">
        <f>IFERROR(__xludf.DUMMYFUNCTION("""COMPUTED_VALUE"""),0.0)</f>
        <v>0</v>
      </c>
      <c r="J395" s="4">
        <f>IFERROR(__xludf.DUMMYFUNCTION("""COMPUTED_VALUE"""),12001.515)</f>
        <v>12001.515</v>
      </c>
      <c r="K395" s="4">
        <f>IFERROR(__xludf.DUMMYFUNCTION("""COMPUTED_VALUE"""),12001.515)</f>
        <v>12001.515</v>
      </c>
    </row>
    <row r="396" ht="22.5" customHeight="1">
      <c r="A396" s="2" t="str">
        <f>IFERROR(__xludf.DUMMYFUNCTION("""COMPUTED_VALUE"""),"L2")</f>
        <v>L2</v>
      </c>
      <c r="B396" s="2" t="str">
        <f>IFERROR(__xludf.DUMMYFUNCTION("""COMPUTED_VALUE"""),"2026-11")</f>
        <v>2026-11</v>
      </c>
      <c r="C396" s="2" t="str">
        <f>IFERROR(__xludf.DUMMYFUNCTION("""COMPUTED_VALUE"""),"FRAMESEAT-SD")</f>
        <v>FRAMESEAT-SD</v>
      </c>
      <c r="D396" s="2">
        <f>IFERROR(__xludf.DUMMYFUNCTION("""COMPUTED_VALUE"""),0.0)</f>
        <v>0</v>
      </c>
      <c r="E396" s="2">
        <f>IFERROR(__xludf.DUMMYFUNCTION("""COMPUTED_VALUE"""),0.0)</f>
        <v>0</v>
      </c>
      <c r="F396" s="4">
        <f>IFERROR(__xludf.DUMMYFUNCTION("""COMPUTED_VALUE"""),0.0)</f>
        <v>0</v>
      </c>
      <c r="G396" s="4">
        <f>IFERROR(__xludf.DUMMYFUNCTION("""COMPUTED_VALUE"""),0.0)</f>
        <v>0</v>
      </c>
      <c r="H396" s="9">
        <f>IFERROR(__xludf.DUMMYFUNCTION("""COMPUTED_VALUE"""),1.1)</f>
        <v>1.1</v>
      </c>
      <c r="I396" s="4">
        <f>IFERROR(__xludf.DUMMYFUNCTION("""COMPUTED_VALUE"""),0.0)</f>
        <v>0</v>
      </c>
      <c r="J396" s="4">
        <f>IFERROR(__xludf.DUMMYFUNCTION("""COMPUTED_VALUE"""),12001.515)</f>
        <v>12001.515</v>
      </c>
      <c r="K396" s="4">
        <f>IFERROR(__xludf.DUMMYFUNCTION("""COMPUTED_VALUE"""),12001.515)</f>
        <v>12001.515</v>
      </c>
    </row>
    <row r="397" ht="22.5" customHeight="1">
      <c r="A397" s="2" t="str">
        <f>IFERROR(__xludf.DUMMYFUNCTION("""COMPUTED_VALUE"""),"L2")</f>
        <v>L2</v>
      </c>
      <c r="B397" s="2" t="str">
        <f>IFERROR(__xludf.DUMMYFUNCTION("""COMPUTED_VALUE"""),"2026-12")</f>
        <v>2026-12</v>
      </c>
      <c r="C397" s="2" t="str">
        <f>IFERROR(__xludf.DUMMYFUNCTION("""COMPUTED_VALUE"""),"FRAMESEAT-SD")</f>
        <v>FRAMESEAT-SD</v>
      </c>
      <c r="D397" s="2">
        <f>IFERROR(__xludf.DUMMYFUNCTION("""COMPUTED_VALUE"""),0.0)</f>
        <v>0</v>
      </c>
      <c r="E397" s="2">
        <f>IFERROR(__xludf.DUMMYFUNCTION("""COMPUTED_VALUE"""),0.0)</f>
        <v>0</v>
      </c>
      <c r="F397" s="4">
        <f>IFERROR(__xludf.DUMMYFUNCTION("""COMPUTED_VALUE"""),0.0)</f>
        <v>0</v>
      </c>
      <c r="G397" s="4">
        <f>IFERROR(__xludf.DUMMYFUNCTION("""COMPUTED_VALUE"""),0.0)</f>
        <v>0</v>
      </c>
      <c r="H397" s="9">
        <f>IFERROR(__xludf.DUMMYFUNCTION("""COMPUTED_VALUE"""),1.1)</f>
        <v>1.1</v>
      </c>
      <c r="I397" s="4">
        <f>IFERROR(__xludf.DUMMYFUNCTION("""COMPUTED_VALUE"""),0.0)</f>
        <v>0</v>
      </c>
      <c r="J397" s="4">
        <f>IFERROR(__xludf.DUMMYFUNCTION("""COMPUTED_VALUE"""),12001.515)</f>
        <v>12001.515</v>
      </c>
      <c r="K397" s="4">
        <f>IFERROR(__xludf.DUMMYFUNCTION("""COMPUTED_VALUE"""),12001.515)</f>
        <v>12001.515</v>
      </c>
    </row>
    <row r="398" ht="22.5" customHeight="1">
      <c r="A398" s="2" t="str">
        <f>IFERROR(__xludf.DUMMYFUNCTION("""COMPUTED_VALUE"""),"L2")</f>
        <v>L2</v>
      </c>
      <c r="B398" s="2" t="str">
        <f>IFERROR(__xludf.DUMMYFUNCTION("""COMPUTED_VALUE"""),"2026-01")</f>
        <v>2026-01</v>
      </c>
      <c r="C398" s="2" t="str">
        <f>IFERROR(__xludf.DUMMYFUNCTION("""COMPUTED_VALUE"""),"FRAMESEAT-SD - LX")</f>
        <v>FRAMESEAT-SD - LX</v>
      </c>
      <c r="D398" s="2">
        <f>IFERROR(__xludf.DUMMYFUNCTION("""COMPUTED_VALUE"""),0.0)</f>
        <v>0</v>
      </c>
      <c r="E398" s="2">
        <f>IFERROR(__xludf.DUMMYFUNCTION("""COMPUTED_VALUE"""),0.0)</f>
        <v>0</v>
      </c>
      <c r="F398" s="4">
        <f>IFERROR(__xludf.DUMMYFUNCTION("""COMPUTED_VALUE"""),0.0)</f>
        <v>0</v>
      </c>
      <c r="G398" s="4">
        <f>IFERROR(__xludf.DUMMYFUNCTION("""COMPUTED_VALUE"""),0.0)</f>
        <v>0</v>
      </c>
      <c r="H398" s="9">
        <f>IFERROR(__xludf.DUMMYFUNCTION("""COMPUTED_VALUE"""),1.1)</f>
        <v>1.1</v>
      </c>
      <c r="I398" s="4">
        <f>IFERROR(__xludf.DUMMYFUNCTION("""COMPUTED_VALUE"""),0.0)</f>
        <v>0</v>
      </c>
      <c r="J398" s="4">
        <f>IFERROR(__xludf.DUMMYFUNCTION("""COMPUTED_VALUE"""),4828.925666666666)</f>
        <v>4828.925667</v>
      </c>
      <c r="K398" s="4">
        <f>IFERROR(__xludf.DUMMYFUNCTION("""COMPUTED_VALUE"""),4828.925666666666)</f>
        <v>4828.925667</v>
      </c>
    </row>
    <row r="399" ht="22.5" customHeight="1">
      <c r="A399" s="2" t="str">
        <f>IFERROR(__xludf.DUMMYFUNCTION("""COMPUTED_VALUE"""),"L2")</f>
        <v>L2</v>
      </c>
      <c r="B399" s="2" t="str">
        <f>IFERROR(__xludf.DUMMYFUNCTION("""COMPUTED_VALUE"""),"2026-02")</f>
        <v>2026-02</v>
      </c>
      <c r="C399" s="2" t="str">
        <f>IFERROR(__xludf.DUMMYFUNCTION("""COMPUTED_VALUE"""),"FRAMESEAT-SD - LX")</f>
        <v>FRAMESEAT-SD - LX</v>
      </c>
      <c r="D399" s="2">
        <f>IFERROR(__xludf.DUMMYFUNCTION("""COMPUTED_VALUE"""),0.0)</f>
        <v>0</v>
      </c>
      <c r="E399" s="2">
        <f>IFERROR(__xludf.DUMMYFUNCTION("""COMPUTED_VALUE"""),0.0)</f>
        <v>0</v>
      </c>
      <c r="F399" s="4">
        <f>IFERROR(__xludf.DUMMYFUNCTION("""COMPUTED_VALUE"""),0.0)</f>
        <v>0</v>
      </c>
      <c r="G399" s="4">
        <f>IFERROR(__xludf.DUMMYFUNCTION("""COMPUTED_VALUE"""),0.0)</f>
        <v>0</v>
      </c>
      <c r="H399" s="9">
        <f>IFERROR(__xludf.DUMMYFUNCTION("""COMPUTED_VALUE"""),1.1)</f>
        <v>1.1</v>
      </c>
      <c r="I399" s="4">
        <f>IFERROR(__xludf.DUMMYFUNCTION("""COMPUTED_VALUE"""),0.0)</f>
        <v>0</v>
      </c>
      <c r="J399" s="4">
        <f>IFERROR(__xludf.DUMMYFUNCTION("""COMPUTED_VALUE"""),4828.925666666666)</f>
        <v>4828.925667</v>
      </c>
      <c r="K399" s="4">
        <f>IFERROR(__xludf.DUMMYFUNCTION("""COMPUTED_VALUE"""),4828.925666666666)</f>
        <v>4828.925667</v>
      </c>
    </row>
    <row r="400" ht="22.5" customHeight="1">
      <c r="A400" s="2" t="str">
        <f>IFERROR(__xludf.DUMMYFUNCTION("""COMPUTED_VALUE"""),"L2")</f>
        <v>L2</v>
      </c>
      <c r="B400" s="2" t="str">
        <f>IFERROR(__xludf.DUMMYFUNCTION("""COMPUTED_VALUE"""),"2026-03")</f>
        <v>2026-03</v>
      </c>
      <c r="C400" s="2" t="str">
        <f>IFERROR(__xludf.DUMMYFUNCTION("""COMPUTED_VALUE"""),"FRAMESEAT-SD - LX")</f>
        <v>FRAMESEAT-SD - LX</v>
      </c>
      <c r="D400" s="2">
        <f>IFERROR(__xludf.DUMMYFUNCTION("""COMPUTED_VALUE"""),0.0)</f>
        <v>0</v>
      </c>
      <c r="E400" s="2">
        <f>IFERROR(__xludf.DUMMYFUNCTION("""COMPUTED_VALUE"""),0.0)</f>
        <v>0</v>
      </c>
      <c r="F400" s="4">
        <f>IFERROR(__xludf.DUMMYFUNCTION("""COMPUTED_VALUE"""),0.0)</f>
        <v>0</v>
      </c>
      <c r="G400" s="4">
        <f>IFERROR(__xludf.DUMMYFUNCTION("""COMPUTED_VALUE"""),0.0)</f>
        <v>0</v>
      </c>
      <c r="H400" s="9">
        <f>IFERROR(__xludf.DUMMYFUNCTION("""COMPUTED_VALUE"""),1.1)</f>
        <v>1.1</v>
      </c>
      <c r="I400" s="4">
        <f>IFERROR(__xludf.DUMMYFUNCTION("""COMPUTED_VALUE"""),0.0)</f>
        <v>0</v>
      </c>
      <c r="J400" s="4">
        <f>IFERROR(__xludf.DUMMYFUNCTION("""COMPUTED_VALUE"""),4828.925666666666)</f>
        <v>4828.925667</v>
      </c>
      <c r="K400" s="4">
        <f>IFERROR(__xludf.DUMMYFUNCTION("""COMPUTED_VALUE"""),4828.925666666666)</f>
        <v>4828.925667</v>
      </c>
    </row>
    <row r="401" ht="22.5" customHeight="1">
      <c r="A401" s="2" t="str">
        <f>IFERROR(__xludf.DUMMYFUNCTION("""COMPUTED_VALUE"""),"L2")</f>
        <v>L2</v>
      </c>
      <c r="B401" s="2" t="str">
        <f>IFERROR(__xludf.DUMMYFUNCTION("""COMPUTED_VALUE"""),"2026-04")</f>
        <v>2026-04</v>
      </c>
      <c r="C401" s="2" t="str">
        <f>IFERROR(__xludf.DUMMYFUNCTION("""COMPUTED_VALUE"""),"FRAMESEAT-SD - LX")</f>
        <v>FRAMESEAT-SD - LX</v>
      </c>
      <c r="D401" s="2">
        <f>IFERROR(__xludf.DUMMYFUNCTION("""COMPUTED_VALUE"""),0.0)</f>
        <v>0</v>
      </c>
      <c r="E401" s="2">
        <f>IFERROR(__xludf.DUMMYFUNCTION("""COMPUTED_VALUE"""),0.0)</f>
        <v>0</v>
      </c>
      <c r="F401" s="4">
        <f>IFERROR(__xludf.DUMMYFUNCTION("""COMPUTED_VALUE"""),0.0)</f>
        <v>0</v>
      </c>
      <c r="G401" s="4">
        <f>IFERROR(__xludf.DUMMYFUNCTION("""COMPUTED_VALUE"""),0.0)</f>
        <v>0</v>
      </c>
      <c r="H401" s="9">
        <f>IFERROR(__xludf.DUMMYFUNCTION("""COMPUTED_VALUE"""),1.1)</f>
        <v>1.1</v>
      </c>
      <c r="I401" s="4">
        <f>IFERROR(__xludf.DUMMYFUNCTION("""COMPUTED_VALUE"""),0.0)</f>
        <v>0</v>
      </c>
      <c r="J401" s="4">
        <f>IFERROR(__xludf.DUMMYFUNCTION("""COMPUTED_VALUE"""),4828.925666666666)</f>
        <v>4828.925667</v>
      </c>
      <c r="K401" s="4">
        <f>IFERROR(__xludf.DUMMYFUNCTION("""COMPUTED_VALUE"""),4828.925666666666)</f>
        <v>4828.925667</v>
      </c>
    </row>
    <row r="402" ht="22.5" customHeight="1">
      <c r="A402" s="2" t="str">
        <f>IFERROR(__xludf.DUMMYFUNCTION("""COMPUTED_VALUE"""),"L2")</f>
        <v>L2</v>
      </c>
      <c r="B402" s="2" t="str">
        <f>IFERROR(__xludf.DUMMYFUNCTION("""COMPUTED_VALUE"""),"2026-05")</f>
        <v>2026-05</v>
      </c>
      <c r="C402" s="2" t="str">
        <f>IFERROR(__xludf.DUMMYFUNCTION("""COMPUTED_VALUE"""),"FRAMESEAT-SD - LX")</f>
        <v>FRAMESEAT-SD - LX</v>
      </c>
      <c r="D402" s="2">
        <f>IFERROR(__xludf.DUMMYFUNCTION("""COMPUTED_VALUE"""),0.0)</f>
        <v>0</v>
      </c>
      <c r="E402" s="2">
        <f>IFERROR(__xludf.DUMMYFUNCTION("""COMPUTED_VALUE"""),0.0)</f>
        <v>0</v>
      </c>
      <c r="F402" s="4">
        <f>IFERROR(__xludf.DUMMYFUNCTION("""COMPUTED_VALUE"""),0.0)</f>
        <v>0</v>
      </c>
      <c r="G402" s="4">
        <f>IFERROR(__xludf.DUMMYFUNCTION("""COMPUTED_VALUE"""),0.0)</f>
        <v>0</v>
      </c>
      <c r="H402" s="9">
        <f>IFERROR(__xludf.DUMMYFUNCTION("""COMPUTED_VALUE"""),1.1)</f>
        <v>1.1</v>
      </c>
      <c r="I402" s="4">
        <f>IFERROR(__xludf.DUMMYFUNCTION("""COMPUTED_VALUE"""),0.0)</f>
        <v>0</v>
      </c>
      <c r="J402" s="4">
        <f>IFERROR(__xludf.DUMMYFUNCTION("""COMPUTED_VALUE"""),4828.925666666666)</f>
        <v>4828.925667</v>
      </c>
      <c r="K402" s="4">
        <f>IFERROR(__xludf.DUMMYFUNCTION("""COMPUTED_VALUE"""),4828.925666666666)</f>
        <v>4828.925667</v>
      </c>
    </row>
    <row r="403" ht="22.5" customHeight="1">
      <c r="A403" s="2" t="str">
        <f>IFERROR(__xludf.DUMMYFUNCTION("""COMPUTED_VALUE"""),"L2")</f>
        <v>L2</v>
      </c>
      <c r="B403" s="2" t="str">
        <f>IFERROR(__xludf.DUMMYFUNCTION("""COMPUTED_VALUE"""),"2026-06")</f>
        <v>2026-06</v>
      </c>
      <c r="C403" s="2" t="str">
        <f>IFERROR(__xludf.DUMMYFUNCTION("""COMPUTED_VALUE"""),"FRAMESEAT-SD - LX")</f>
        <v>FRAMESEAT-SD - LX</v>
      </c>
      <c r="D403" s="2">
        <f>IFERROR(__xludf.DUMMYFUNCTION("""COMPUTED_VALUE"""),0.0)</f>
        <v>0</v>
      </c>
      <c r="E403" s="2">
        <f>IFERROR(__xludf.DUMMYFUNCTION("""COMPUTED_VALUE"""),0.0)</f>
        <v>0</v>
      </c>
      <c r="F403" s="4">
        <f>IFERROR(__xludf.DUMMYFUNCTION("""COMPUTED_VALUE"""),0.0)</f>
        <v>0</v>
      </c>
      <c r="G403" s="4">
        <f>IFERROR(__xludf.DUMMYFUNCTION("""COMPUTED_VALUE"""),0.0)</f>
        <v>0</v>
      </c>
      <c r="H403" s="9">
        <f>IFERROR(__xludf.DUMMYFUNCTION("""COMPUTED_VALUE"""),1.1)</f>
        <v>1.1</v>
      </c>
      <c r="I403" s="4">
        <f>IFERROR(__xludf.DUMMYFUNCTION("""COMPUTED_VALUE"""),0.0)</f>
        <v>0</v>
      </c>
      <c r="J403" s="4">
        <f>IFERROR(__xludf.DUMMYFUNCTION("""COMPUTED_VALUE"""),4828.925666666666)</f>
        <v>4828.925667</v>
      </c>
      <c r="K403" s="4">
        <f>IFERROR(__xludf.DUMMYFUNCTION("""COMPUTED_VALUE"""),4828.925666666666)</f>
        <v>4828.925667</v>
      </c>
    </row>
    <row r="404" ht="22.5" customHeight="1">
      <c r="A404" s="2" t="str">
        <f>IFERROR(__xludf.DUMMYFUNCTION("""COMPUTED_VALUE"""),"L2")</f>
        <v>L2</v>
      </c>
      <c r="B404" s="2" t="str">
        <f>IFERROR(__xludf.DUMMYFUNCTION("""COMPUTED_VALUE"""),"2026-07")</f>
        <v>2026-07</v>
      </c>
      <c r="C404" s="2" t="str">
        <f>IFERROR(__xludf.DUMMYFUNCTION("""COMPUTED_VALUE"""),"FRAMESEAT-SD - LX")</f>
        <v>FRAMESEAT-SD - LX</v>
      </c>
      <c r="D404" s="2">
        <f>IFERROR(__xludf.DUMMYFUNCTION("""COMPUTED_VALUE"""),0.0)</f>
        <v>0</v>
      </c>
      <c r="E404" s="2">
        <f>IFERROR(__xludf.DUMMYFUNCTION("""COMPUTED_VALUE"""),0.0)</f>
        <v>0</v>
      </c>
      <c r="F404" s="4">
        <f>IFERROR(__xludf.DUMMYFUNCTION("""COMPUTED_VALUE"""),0.0)</f>
        <v>0</v>
      </c>
      <c r="G404" s="4">
        <f>IFERROR(__xludf.DUMMYFUNCTION("""COMPUTED_VALUE"""),0.0)</f>
        <v>0</v>
      </c>
      <c r="H404" s="9">
        <f>IFERROR(__xludf.DUMMYFUNCTION("""COMPUTED_VALUE"""),1.1)</f>
        <v>1.1</v>
      </c>
      <c r="I404" s="4">
        <f>IFERROR(__xludf.DUMMYFUNCTION("""COMPUTED_VALUE"""),0.0)</f>
        <v>0</v>
      </c>
      <c r="J404" s="4">
        <f>IFERROR(__xludf.DUMMYFUNCTION("""COMPUTED_VALUE"""),4828.925666666666)</f>
        <v>4828.925667</v>
      </c>
      <c r="K404" s="4">
        <f>IFERROR(__xludf.DUMMYFUNCTION("""COMPUTED_VALUE"""),4828.925666666666)</f>
        <v>4828.925667</v>
      </c>
    </row>
    <row r="405" ht="22.5" customHeight="1">
      <c r="A405" s="2" t="str">
        <f>IFERROR(__xludf.DUMMYFUNCTION("""COMPUTED_VALUE"""),"L2")</f>
        <v>L2</v>
      </c>
      <c r="B405" s="2" t="str">
        <f>IFERROR(__xludf.DUMMYFUNCTION("""COMPUTED_VALUE"""),"2026-08")</f>
        <v>2026-08</v>
      </c>
      <c r="C405" s="2" t="str">
        <f>IFERROR(__xludf.DUMMYFUNCTION("""COMPUTED_VALUE"""),"FRAMESEAT-SD - LX")</f>
        <v>FRAMESEAT-SD - LX</v>
      </c>
      <c r="D405" s="2">
        <f>IFERROR(__xludf.DUMMYFUNCTION("""COMPUTED_VALUE"""),0.0)</f>
        <v>0</v>
      </c>
      <c r="E405" s="2">
        <f>IFERROR(__xludf.DUMMYFUNCTION("""COMPUTED_VALUE"""),0.0)</f>
        <v>0</v>
      </c>
      <c r="F405" s="4">
        <f>IFERROR(__xludf.DUMMYFUNCTION("""COMPUTED_VALUE"""),0.0)</f>
        <v>0</v>
      </c>
      <c r="G405" s="4">
        <f>IFERROR(__xludf.DUMMYFUNCTION("""COMPUTED_VALUE"""),0.0)</f>
        <v>0</v>
      </c>
      <c r="H405" s="9">
        <f>IFERROR(__xludf.DUMMYFUNCTION("""COMPUTED_VALUE"""),1.1)</f>
        <v>1.1</v>
      </c>
      <c r="I405" s="4">
        <f>IFERROR(__xludf.DUMMYFUNCTION("""COMPUTED_VALUE"""),0.0)</f>
        <v>0</v>
      </c>
      <c r="J405" s="4">
        <f>IFERROR(__xludf.DUMMYFUNCTION("""COMPUTED_VALUE"""),4828.925666666666)</f>
        <v>4828.925667</v>
      </c>
      <c r="K405" s="4">
        <f>IFERROR(__xludf.DUMMYFUNCTION("""COMPUTED_VALUE"""),4828.925666666666)</f>
        <v>4828.925667</v>
      </c>
    </row>
    <row r="406" ht="22.5" customHeight="1">
      <c r="A406" s="2" t="str">
        <f>IFERROR(__xludf.DUMMYFUNCTION("""COMPUTED_VALUE"""),"L2")</f>
        <v>L2</v>
      </c>
      <c r="B406" s="2" t="str">
        <f>IFERROR(__xludf.DUMMYFUNCTION("""COMPUTED_VALUE"""),"2026-09")</f>
        <v>2026-09</v>
      </c>
      <c r="C406" s="2" t="str">
        <f>IFERROR(__xludf.DUMMYFUNCTION("""COMPUTED_VALUE"""),"FRAMESEAT-SD - LX")</f>
        <v>FRAMESEAT-SD - LX</v>
      </c>
      <c r="D406" s="2">
        <f>IFERROR(__xludf.DUMMYFUNCTION("""COMPUTED_VALUE"""),0.0)</f>
        <v>0</v>
      </c>
      <c r="E406" s="2">
        <f>IFERROR(__xludf.DUMMYFUNCTION("""COMPUTED_VALUE"""),0.0)</f>
        <v>0</v>
      </c>
      <c r="F406" s="4">
        <f>IFERROR(__xludf.DUMMYFUNCTION("""COMPUTED_VALUE"""),0.0)</f>
        <v>0</v>
      </c>
      <c r="G406" s="4">
        <f>IFERROR(__xludf.DUMMYFUNCTION("""COMPUTED_VALUE"""),0.0)</f>
        <v>0</v>
      </c>
      <c r="H406" s="9">
        <f>IFERROR(__xludf.DUMMYFUNCTION("""COMPUTED_VALUE"""),1.1)</f>
        <v>1.1</v>
      </c>
      <c r="I406" s="4">
        <f>IFERROR(__xludf.DUMMYFUNCTION("""COMPUTED_VALUE"""),0.0)</f>
        <v>0</v>
      </c>
      <c r="J406" s="4">
        <f>IFERROR(__xludf.DUMMYFUNCTION("""COMPUTED_VALUE"""),4828.925666666666)</f>
        <v>4828.925667</v>
      </c>
      <c r="K406" s="4">
        <f>IFERROR(__xludf.DUMMYFUNCTION("""COMPUTED_VALUE"""),4828.925666666666)</f>
        <v>4828.925667</v>
      </c>
    </row>
    <row r="407" ht="22.5" customHeight="1">
      <c r="A407" s="2" t="str">
        <f>IFERROR(__xludf.DUMMYFUNCTION("""COMPUTED_VALUE"""),"L2")</f>
        <v>L2</v>
      </c>
      <c r="B407" s="2" t="str">
        <f>IFERROR(__xludf.DUMMYFUNCTION("""COMPUTED_VALUE"""),"2026-10")</f>
        <v>2026-10</v>
      </c>
      <c r="C407" s="2" t="str">
        <f>IFERROR(__xludf.DUMMYFUNCTION("""COMPUTED_VALUE"""),"FRAMESEAT-SD - LX")</f>
        <v>FRAMESEAT-SD - LX</v>
      </c>
      <c r="D407" s="2">
        <f>IFERROR(__xludf.DUMMYFUNCTION("""COMPUTED_VALUE"""),0.0)</f>
        <v>0</v>
      </c>
      <c r="E407" s="2">
        <f>IFERROR(__xludf.DUMMYFUNCTION("""COMPUTED_VALUE"""),0.0)</f>
        <v>0</v>
      </c>
      <c r="F407" s="4">
        <f>IFERROR(__xludf.DUMMYFUNCTION("""COMPUTED_VALUE"""),0.0)</f>
        <v>0</v>
      </c>
      <c r="G407" s="4">
        <f>IFERROR(__xludf.DUMMYFUNCTION("""COMPUTED_VALUE"""),0.0)</f>
        <v>0</v>
      </c>
      <c r="H407" s="9">
        <f>IFERROR(__xludf.DUMMYFUNCTION("""COMPUTED_VALUE"""),1.1)</f>
        <v>1.1</v>
      </c>
      <c r="I407" s="4">
        <f>IFERROR(__xludf.DUMMYFUNCTION("""COMPUTED_VALUE"""),0.0)</f>
        <v>0</v>
      </c>
      <c r="J407" s="4">
        <f>IFERROR(__xludf.DUMMYFUNCTION("""COMPUTED_VALUE"""),4828.925666666666)</f>
        <v>4828.925667</v>
      </c>
      <c r="K407" s="4">
        <f>IFERROR(__xludf.DUMMYFUNCTION("""COMPUTED_VALUE"""),4828.925666666666)</f>
        <v>4828.925667</v>
      </c>
    </row>
    <row r="408" ht="22.5" customHeight="1">
      <c r="A408" s="2" t="str">
        <f>IFERROR(__xludf.DUMMYFUNCTION("""COMPUTED_VALUE"""),"L2")</f>
        <v>L2</v>
      </c>
      <c r="B408" s="2" t="str">
        <f>IFERROR(__xludf.DUMMYFUNCTION("""COMPUTED_VALUE"""),"2026-11")</f>
        <v>2026-11</v>
      </c>
      <c r="C408" s="2" t="str">
        <f>IFERROR(__xludf.DUMMYFUNCTION("""COMPUTED_VALUE"""),"FRAMESEAT-SD - LX")</f>
        <v>FRAMESEAT-SD - LX</v>
      </c>
      <c r="D408" s="2">
        <f>IFERROR(__xludf.DUMMYFUNCTION("""COMPUTED_VALUE"""),0.0)</f>
        <v>0</v>
      </c>
      <c r="E408" s="2">
        <f>IFERROR(__xludf.DUMMYFUNCTION("""COMPUTED_VALUE"""),0.0)</f>
        <v>0</v>
      </c>
      <c r="F408" s="4">
        <f>IFERROR(__xludf.DUMMYFUNCTION("""COMPUTED_VALUE"""),0.0)</f>
        <v>0</v>
      </c>
      <c r="G408" s="4">
        <f>IFERROR(__xludf.DUMMYFUNCTION("""COMPUTED_VALUE"""),0.0)</f>
        <v>0</v>
      </c>
      <c r="H408" s="9">
        <f>IFERROR(__xludf.DUMMYFUNCTION("""COMPUTED_VALUE"""),1.1)</f>
        <v>1.1</v>
      </c>
      <c r="I408" s="4">
        <f>IFERROR(__xludf.DUMMYFUNCTION("""COMPUTED_VALUE"""),0.0)</f>
        <v>0</v>
      </c>
      <c r="J408" s="4">
        <f>IFERROR(__xludf.DUMMYFUNCTION("""COMPUTED_VALUE"""),4828.925666666666)</f>
        <v>4828.925667</v>
      </c>
      <c r="K408" s="4">
        <f>IFERROR(__xludf.DUMMYFUNCTION("""COMPUTED_VALUE"""),4828.925666666666)</f>
        <v>4828.925667</v>
      </c>
    </row>
    <row r="409" ht="22.5" customHeight="1">
      <c r="A409" s="2" t="str">
        <f>IFERROR(__xludf.DUMMYFUNCTION("""COMPUTED_VALUE"""),"L2")</f>
        <v>L2</v>
      </c>
      <c r="B409" s="2" t="str">
        <f>IFERROR(__xludf.DUMMYFUNCTION("""COMPUTED_VALUE"""),"2026-12")</f>
        <v>2026-12</v>
      </c>
      <c r="C409" s="2" t="str">
        <f>IFERROR(__xludf.DUMMYFUNCTION("""COMPUTED_VALUE"""),"FRAMESEAT-SD - LX")</f>
        <v>FRAMESEAT-SD - LX</v>
      </c>
      <c r="D409" s="2">
        <f>IFERROR(__xludf.DUMMYFUNCTION("""COMPUTED_VALUE"""),0.0)</f>
        <v>0</v>
      </c>
      <c r="E409" s="2">
        <f>IFERROR(__xludf.DUMMYFUNCTION("""COMPUTED_VALUE"""),0.0)</f>
        <v>0</v>
      </c>
      <c r="F409" s="4">
        <f>IFERROR(__xludf.DUMMYFUNCTION("""COMPUTED_VALUE"""),0.0)</f>
        <v>0</v>
      </c>
      <c r="G409" s="4">
        <f>IFERROR(__xludf.DUMMYFUNCTION("""COMPUTED_VALUE"""),0.0)</f>
        <v>0</v>
      </c>
      <c r="H409" s="9">
        <f>IFERROR(__xludf.DUMMYFUNCTION("""COMPUTED_VALUE"""),1.1)</f>
        <v>1.1</v>
      </c>
      <c r="I409" s="4">
        <f>IFERROR(__xludf.DUMMYFUNCTION("""COMPUTED_VALUE"""),0.0)</f>
        <v>0</v>
      </c>
      <c r="J409" s="4">
        <f>IFERROR(__xludf.DUMMYFUNCTION("""COMPUTED_VALUE"""),4828.925666666666)</f>
        <v>4828.925667</v>
      </c>
      <c r="K409" s="4">
        <f>IFERROR(__xludf.DUMMYFUNCTION("""COMPUTED_VALUE"""),4828.925666666666)</f>
        <v>4828.925667</v>
      </c>
    </row>
    <row r="410" ht="22.5" customHeight="1">
      <c r="A410" s="2" t="str">
        <f>IFERROR(__xludf.DUMMYFUNCTION("""COMPUTED_VALUE"""),"L2")</f>
        <v>L2</v>
      </c>
      <c r="B410" s="2" t="str">
        <f>IFERROR(__xludf.DUMMYFUNCTION("""COMPUTED_VALUE"""),"2026-01")</f>
        <v>2026-01</v>
      </c>
      <c r="C410" s="2" t="str">
        <f>IFERROR(__xludf.DUMMYFUNCTION("""COMPUTED_VALUE"""),"FRAMESEAT-SUV")</f>
        <v>FRAMESEAT-SUV</v>
      </c>
      <c r="D410" s="2">
        <f>IFERROR(__xludf.DUMMYFUNCTION("""COMPUTED_VALUE"""),0.0)</f>
        <v>0</v>
      </c>
      <c r="E410" s="2">
        <f>IFERROR(__xludf.DUMMYFUNCTION("""COMPUTED_VALUE"""),0.0)</f>
        <v>0</v>
      </c>
      <c r="F410" s="4">
        <f>IFERROR(__xludf.DUMMYFUNCTION("""COMPUTED_VALUE"""),0.0)</f>
        <v>0</v>
      </c>
      <c r="G410" s="4">
        <f>IFERROR(__xludf.DUMMYFUNCTION("""COMPUTED_VALUE"""),0.0)</f>
        <v>0</v>
      </c>
      <c r="H410" s="9">
        <f>IFERROR(__xludf.DUMMYFUNCTION("""COMPUTED_VALUE"""),1.1)</f>
        <v>1.1</v>
      </c>
      <c r="I410" s="4">
        <f>IFERROR(__xludf.DUMMYFUNCTION("""COMPUTED_VALUE"""),0.0)</f>
        <v>0</v>
      </c>
      <c r="J410" s="4">
        <f>IFERROR(__xludf.DUMMYFUNCTION("""COMPUTED_VALUE"""),25702.278)</f>
        <v>25702.278</v>
      </c>
      <c r="K410" s="4">
        <f>IFERROR(__xludf.DUMMYFUNCTION("""COMPUTED_VALUE"""),25702.278)</f>
        <v>25702.278</v>
      </c>
    </row>
    <row r="411" ht="22.5" customHeight="1">
      <c r="A411" s="2" t="str">
        <f>IFERROR(__xludf.DUMMYFUNCTION("""COMPUTED_VALUE"""),"L2")</f>
        <v>L2</v>
      </c>
      <c r="B411" s="2" t="str">
        <f>IFERROR(__xludf.DUMMYFUNCTION("""COMPUTED_VALUE"""),"2026-02")</f>
        <v>2026-02</v>
      </c>
      <c r="C411" s="2" t="str">
        <f>IFERROR(__xludf.DUMMYFUNCTION("""COMPUTED_VALUE"""),"FRAMESEAT-SUV")</f>
        <v>FRAMESEAT-SUV</v>
      </c>
      <c r="D411" s="2">
        <f>IFERROR(__xludf.DUMMYFUNCTION("""COMPUTED_VALUE"""),0.0)</f>
        <v>0</v>
      </c>
      <c r="E411" s="2">
        <f>IFERROR(__xludf.DUMMYFUNCTION("""COMPUTED_VALUE"""),0.0)</f>
        <v>0</v>
      </c>
      <c r="F411" s="4">
        <f>IFERROR(__xludf.DUMMYFUNCTION("""COMPUTED_VALUE"""),0.0)</f>
        <v>0</v>
      </c>
      <c r="G411" s="4">
        <f>IFERROR(__xludf.DUMMYFUNCTION("""COMPUTED_VALUE"""),0.0)</f>
        <v>0</v>
      </c>
      <c r="H411" s="9">
        <f>IFERROR(__xludf.DUMMYFUNCTION("""COMPUTED_VALUE"""),1.1)</f>
        <v>1.1</v>
      </c>
      <c r="I411" s="4">
        <f>IFERROR(__xludf.DUMMYFUNCTION("""COMPUTED_VALUE"""),0.0)</f>
        <v>0</v>
      </c>
      <c r="J411" s="4">
        <f>IFERROR(__xludf.DUMMYFUNCTION("""COMPUTED_VALUE"""),25702.278)</f>
        <v>25702.278</v>
      </c>
      <c r="K411" s="4">
        <f>IFERROR(__xludf.DUMMYFUNCTION("""COMPUTED_VALUE"""),25702.278)</f>
        <v>25702.278</v>
      </c>
    </row>
    <row r="412" ht="22.5" customHeight="1">
      <c r="A412" s="2" t="str">
        <f>IFERROR(__xludf.DUMMYFUNCTION("""COMPUTED_VALUE"""),"L2")</f>
        <v>L2</v>
      </c>
      <c r="B412" s="2" t="str">
        <f>IFERROR(__xludf.DUMMYFUNCTION("""COMPUTED_VALUE"""),"2026-03")</f>
        <v>2026-03</v>
      </c>
      <c r="C412" s="2" t="str">
        <f>IFERROR(__xludf.DUMMYFUNCTION("""COMPUTED_VALUE"""),"FRAMESEAT-SUV")</f>
        <v>FRAMESEAT-SUV</v>
      </c>
      <c r="D412" s="2">
        <f>IFERROR(__xludf.DUMMYFUNCTION("""COMPUTED_VALUE"""),0.0)</f>
        <v>0</v>
      </c>
      <c r="E412" s="2">
        <f>IFERROR(__xludf.DUMMYFUNCTION("""COMPUTED_VALUE"""),0.0)</f>
        <v>0</v>
      </c>
      <c r="F412" s="4">
        <f>IFERROR(__xludf.DUMMYFUNCTION("""COMPUTED_VALUE"""),0.0)</f>
        <v>0</v>
      </c>
      <c r="G412" s="4">
        <f>IFERROR(__xludf.DUMMYFUNCTION("""COMPUTED_VALUE"""),0.0)</f>
        <v>0</v>
      </c>
      <c r="H412" s="9">
        <f>IFERROR(__xludf.DUMMYFUNCTION("""COMPUTED_VALUE"""),1.1)</f>
        <v>1.1</v>
      </c>
      <c r="I412" s="4">
        <f>IFERROR(__xludf.DUMMYFUNCTION("""COMPUTED_VALUE"""),0.0)</f>
        <v>0</v>
      </c>
      <c r="J412" s="4">
        <f>IFERROR(__xludf.DUMMYFUNCTION("""COMPUTED_VALUE"""),25702.278)</f>
        <v>25702.278</v>
      </c>
      <c r="K412" s="4">
        <f>IFERROR(__xludf.DUMMYFUNCTION("""COMPUTED_VALUE"""),25702.278)</f>
        <v>25702.278</v>
      </c>
    </row>
    <row r="413" ht="22.5" customHeight="1">
      <c r="A413" s="2" t="str">
        <f>IFERROR(__xludf.DUMMYFUNCTION("""COMPUTED_VALUE"""),"L2")</f>
        <v>L2</v>
      </c>
      <c r="B413" s="2" t="str">
        <f>IFERROR(__xludf.DUMMYFUNCTION("""COMPUTED_VALUE"""),"2026-04")</f>
        <v>2026-04</v>
      </c>
      <c r="C413" s="2" t="str">
        <f>IFERROR(__xludf.DUMMYFUNCTION("""COMPUTED_VALUE"""),"FRAMESEAT-SUV")</f>
        <v>FRAMESEAT-SUV</v>
      </c>
      <c r="D413" s="2">
        <f>IFERROR(__xludf.DUMMYFUNCTION("""COMPUTED_VALUE"""),0.0)</f>
        <v>0</v>
      </c>
      <c r="E413" s="2">
        <f>IFERROR(__xludf.DUMMYFUNCTION("""COMPUTED_VALUE"""),0.0)</f>
        <v>0</v>
      </c>
      <c r="F413" s="4">
        <f>IFERROR(__xludf.DUMMYFUNCTION("""COMPUTED_VALUE"""),0.0)</f>
        <v>0</v>
      </c>
      <c r="G413" s="4">
        <f>IFERROR(__xludf.DUMMYFUNCTION("""COMPUTED_VALUE"""),0.0)</f>
        <v>0</v>
      </c>
      <c r="H413" s="9">
        <f>IFERROR(__xludf.DUMMYFUNCTION("""COMPUTED_VALUE"""),1.1)</f>
        <v>1.1</v>
      </c>
      <c r="I413" s="4">
        <f>IFERROR(__xludf.DUMMYFUNCTION("""COMPUTED_VALUE"""),0.0)</f>
        <v>0</v>
      </c>
      <c r="J413" s="4">
        <f>IFERROR(__xludf.DUMMYFUNCTION("""COMPUTED_VALUE"""),25702.278)</f>
        <v>25702.278</v>
      </c>
      <c r="K413" s="4">
        <f>IFERROR(__xludf.DUMMYFUNCTION("""COMPUTED_VALUE"""),25702.278)</f>
        <v>25702.278</v>
      </c>
    </row>
    <row r="414" ht="22.5" customHeight="1">
      <c r="A414" s="2" t="str">
        <f>IFERROR(__xludf.DUMMYFUNCTION("""COMPUTED_VALUE"""),"L2")</f>
        <v>L2</v>
      </c>
      <c r="B414" s="2" t="str">
        <f>IFERROR(__xludf.DUMMYFUNCTION("""COMPUTED_VALUE"""),"2026-05")</f>
        <v>2026-05</v>
      </c>
      <c r="C414" s="2" t="str">
        <f>IFERROR(__xludf.DUMMYFUNCTION("""COMPUTED_VALUE"""),"FRAMESEAT-SUV")</f>
        <v>FRAMESEAT-SUV</v>
      </c>
      <c r="D414" s="2">
        <f>IFERROR(__xludf.DUMMYFUNCTION("""COMPUTED_VALUE"""),0.0)</f>
        <v>0</v>
      </c>
      <c r="E414" s="2">
        <f>IFERROR(__xludf.DUMMYFUNCTION("""COMPUTED_VALUE"""),0.0)</f>
        <v>0</v>
      </c>
      <c r="F414" s="4">
        <f>IFERROR(__xludf.DUMMYFUNCTION("""COMPUTED_VALUE"""),0.0)</f>
        <v>0</v>
      </c>
      <c r="G414" s="4">
        <f>IFERROR(__xludf.DUMMYFUNCTION("""COMPUTED_VALUE"""),0.0)</f>
        <v>0</v>
      </c>
      <c r="H414" s="9">
        <f>IFERROR(__xludf.DUMMYFUNCTION("""COMPUTED_VALUE"""),1.1)</f>
        <v>1.1</v>
      </c>
      <c r="I414" s="4">
        <f>IFERROR(__xludf.DUMMYFUNCTION("""COMPUTED_VALUE"""),0.0)</f>
        <v>0</v>
      </c>
      <c r="J414" s="4">
        <f>IFERROR(__xludf.DUMMYFUNCTION("""COMPUTED_VALUE"""),25702.278)</f>
        <v>25702.278</v>
      </c>
      <c r="K414" s="4">
        <f>IFERROR(__xludf.DUMMYFUNCTION("""COMPUTED_VALUE"""),25702.278)</f>
        <v>25702.278</v>
      </c>
    </row>
    <row r="415" ht="22.5" customHeight="1">
      <c r="A415" s="2" t="str">
        <f>IFERROR(__xludf.DUMMYFUNCTION("""COMPUTED_VALUE"""),"L2")</f>
        <v>L2</v>
      </c>
      <c r="B415" s="2" t="str">
        <f>IFERROR(__xludf.DUMMYFUNCTION("""COMPUTED_VALUE"""),"2026-06")</f>
        <v>2026-06</v>
      </c>
      <c r="C415" s="2" t="str">
        <f>IFERROR(__xludf.DUMMYFUNCTION("""COMPUTED_VALUE"""),"FRAMESEAT-SUV")</f>
        <v>FRAMESEAT-SUV</v>
      </c>
      <c r="D415" s="2">
        <f>IFERROR(__xludf.DUMMYFUNCTION("""COMPUTED_VALUE"""),0.0)</f>
        <v>0</v>
      </c>
      <c r="E415" s="2">
        <f>IFERROR(__xludf.DUMMYFUNCTION("""COMPUTED_VALUE"""),0.0)</f>
        <v>0</v>
      </c>
      <c r="F415" s="4">
        <f>IFERROR(__xludf.DUMMYFUNCTION("""COMPUTED_VALUE"""),0.0)</f>
        <v>0</v>
      </c>
      <c r="G415" s="4">
        <f>IFERROR(__xludf.DUMMYFUNCTION("""COMPUTED_VALUE"""),0.0)</f>
        <v>0</v>
      </c>
      <c r="H415" s="9">
        <f>IFERROR(__xludf.DUMMYFUNCTION("""COMPUTED_VALUE"""),1.1)</f>
        <v>1.1</v>
      </c>
      <c r="I415" s="4">
        <f>IFERROR(__xludf.DUMMYFUNCTION("""COMPUTED_VALUE"""),0.0)</f>
        <v>0</v>
      </c>
      <c r="J415" s="4">
        <f>IFERROR(__xludf.DUMMYFUNCTION("""COMPUTED_VALUE"""),25702.278)</f>
        <v>25702.278</v>
      </c>
      <c r="K415" s="4">
        <f>IFERROR(__xludf.DUMMYFUNCTION("""COMPUTED_VALUE"""),25702.278)</f>
        <v>25702.278</v>
      </c>
    </row>
    <row r="416" ht="22.5" customHeight="1">
      <c r="A416" s="2" t="str">
        <f>IFERROR(__xludf.DUMMYFUNCTION("""COMPUTED_VALUE"""),"L2")</f>
        <v>L2</v>
      </c>
      <c r="B416" s="2" t="str">
        <f>IFERROR(__xludf.DUMMYFUNCTION("""COMPUTED_VALUE"""),"2026-07")</f>
        <v>2026-07</v>
      </c>
      <c r="C416" s="2" t="str">
        <f>IFERROR(__xludf.DUMMYFUNCTION("""COMPUTED_VALUE"""),"FRAMESEAT-SUV")</f>
        <v>FRAMESEAT-SUV</v>
      </c>
      <c r="D416" s="2">
        <f>IFERROR(__xludf.DUMMYFUNCTION("""COMPUTED_VALUE"""),0.0)</f>
        <v>0</v>
      </c>
      <c r="E416" s="2">
        <f>IFERROR(__xludf.DUMMYFUNCTION("""COMPUTED_VALUE"""),0.0)</f>
        <v>0</v>
      </c>
      <c r="F416" s="4">
        <f>IFERROR(__xludf.DUMMYFUNCTION("""COMPUTED_VALUE"""),0.0)</f>
        <v>0</v>
      </c>
      <c r="G416" s="4">
        <f>IFERROR(__xludf.DUMMYFUNCTION("""COMPUTED_VALUE"""),0.0)</f>
        <v>0</v>
      </c>
      <c r="H416" s="9">
        <f>IFERROR(__xludf.DUMMYFUNCTION("""COMPUTED_VALUE"""),1.1)</f>
        <v>1.1</v>
      </c>
      <c r="I416" s="4">
        <f>IFERROR(__xludf.DUMMYFUNCTION("""COMPUTED_VALUE"""),0.0)</f>
        <v>0</v>
      </c>
      <c r="J416" s="4">
        <f>IFERROR(__xludf.DUMMYFUNCTION("""COMPUTED_VALUE"""),25702.278)</f>
        <v>25702.278</v>
      </c>
      <c r="K416" s="4">
        <f>IFERROR(__xludf.DUMMYFUNCTION("""COMPUTED_VALUE"""),25702.278)</f>
        <v>25702.278</v>
      </c>
    </row>
    <row r="417" ht="22.5" customHeight="1">
      <c r="A417" s="2" t="str">
        <f>IFERROR(__xludf.DUMMYFUNCTION("""COMPUTED_VALUE"""),"L2")</f>
        <v>L2</v>
      </c>
      <c r="B417" s="2" t="str">
        <f>IFERROR(__xludf.DUMMYFUNCTION("""COMPUTED_VALUE"""),"2026-08")</f>
        <v>2026-08</v>
      </c>
      <c r="C417" s="2" t="str">
        <f>IFERROR(__xludf.DUMMYFUNCTION("""COMPUTED_VALUE"""),"FRAMESEAT-SUV")</f>
        <v>FRAMESEAT-SUV</v>
      </c>
      <c r="D417" s="2">
        <f>IFERROR(__xludf.DUMMYFUNCTION("""COMPUTED_VALUE"""),0.0)</f>
        <v>0</v>
      </c>
      <c r="E417" s="2">
        <f>IFERROR(__xludf.DUMMYFUNCTION("""COMPUTED_VALUE"""),0.0)</f>
        <v>0</v>
      </c>
      <c r="F417" s="4">
        <f>IFERROR(__xludf.DUMMYFUNCTION("""COMPUTED_VALUE"""),0.0)</f>
        <v>0</v>
      </c>
      <c r="G417" s="4">
        <f>IFERROR(__xludf.DUMMYFUNCTION("""COMPUTED_VALUE"""),0.0)</f>
        <v>0</v>
      </c>
      <c r="H417" s="9">
        <f>IFERROR(__xludf.DUMMYFUNCTION("""COMPUTED_VALUE"""),1.1)</f>
        <v>1.1</v>
      </c>
      <c r="I417" s="4">
        <f>IFERROR(__xludf.DUMMYFUNCTION("""COMPUTED_VALUE"""),0.0)</f>
        <v>0</v>
      </c>
      <c r="J417" s="4">
        <f>IFERROR(__xludf.DUMMYFUNCTION("""COMPUTED_VALUE"""),25702.278)</f>
        <v>25702.278</v>
      </c>
      <c r="K417" s="4">
        <f>IFERROR(__xludf.DUMMYFUNCTION("""COMPUTED_VALUE"""),25702.278)</f>
        <v>25702.278</v>
      </c>
    </row>
    <row r="418" ht="22.5" customHeight="1">
      <c r="A418" s="2" t="str">
        <f>IFERROR(__xludf.DUMMYFUNCTION("""COMPUTED_VALUE"""),"L2")</f>
        <v>L2</v>
      </c>
      <c r="B418" s="2" t="str">
        <f>IFERROR(__xludf.DUMMYFUNCTION("""COMPUTED_VALUE"""),"2026-09")</f>
        <v>2026-09</v>
      </c>
      <c r="C418" s="2" t="str">
        <f>IFERROR(__xludf.DUMMYFUNCTION("""COMPUTED_VALUE"""),"FRAMESEAT-SUV")</f>
        <v>FRAMESEAT-SUV</v>
      </c>
      <c r="D418" s="2">
        <f>IFERROR(__xludf.DUMMYFUNCTION("""COMPUTED_VALUE"""),0.0)</f>
        <v>0</v>
      </c>
      <c r="E418" s="2">
        <f>IFERROR(__xludf.DUMMYFUNCTION("""COMPUTED_VALUE"""),0.0)</f>
        <v>0</v>
      </c>
      <c r="F418" s="4">
        <f>IFERROR(__xludf.DUMMYFUNCTION("""COMPUTED_VALUE"""),0.0)</f>
        <v>0</v>
      </c>
      <c r="G418" s="4">
        <f>IFERROR(__xludf.DUMMYFUNCTION("""COMPUTED_VALUE"""),0.0)</f>
        <v>0</v>
      </c>
      <c r="H418" s="9">
        <f>IFERROR(__xludf.DUMMYFUNCTION("""COMPUTED_VALUE"""),1.1)</f>
        <v>1.1</v>
      </c>
      <c r="I418" s="4">
        <f>IFERROR(__xludf.DUMMYFUNCTION("""COMPUTED_VALUE"""),0.0)</f>
        <v>0</v>
      </c>
      <c r="J418" s="4">
        <f>IFERROR(__xludf.DUMMYFUNCTION("""COMPUTED_VALUE"""),25702.278)</f>
        <v>25702.278</v>
      </c>
      <c r="K418" s="4">
        <f>IFERROR(__xludf.DUMMYFUNCTION("""COMPUTED_VALUE"""),25702.278)</f>
        <v>25702.278</v>
      </c>
    </row>
    <row r="419" ht="22.5" customHeight="1">
      <c r="A419" s="2" t="str">
        <f>IFERROR(__xludf.DUMMYFUNCTION("""COMPUTED_VALUE"""),"L2")</f>
        <v>L2</v>
      </c>
      <c r="B419" s="2" t="str">
        <f>IFERROR(__xludf.DUMMYFUNCTION("""COMPUTED_VALUE"""),"2026-10")</f>
        <v>2026-10</v>
      </c>
      <c r="C419" s="2" t="str">
        <f>IFERROR(__xludf.DUMMYFUNCTION("""COMPUTED_VALUE"""),"FRAMESEAT-SUV")</f>
        <v>FRAMESEAT-SUV</v>
      </c>
      <c r="D419" s="2">
        <f>IFERROR(__xludf.DUMMYFUNCTION("""COMPUTED_VALUE"""),0.0)</f>
        <v>0</v>
      </c>
      <c r="E419" s="2">
        <f>IFERROR(__xludf.DUMMYFUNCTION("""COMPUTED_VALUE"""),0.0)</f>
        <v>0</v>
      </c>
      <c r="F419" s="4">
        <f>IFERROR(__xludf.DUMMYFUNCTION("""COMPUTED_VALUE"""),0.0)</f>
        <v>0</v>
      </c>
      <c r="G419" s="4">
        <f>IFERROR(__xludf.DUMMYFUNCTION("""COMPUTED_VALUE"""),0.0)</f>
        <v>0</v>
      </c>
      <c r="H419" s="9">
        <f>IFERROR(__xludf.DUMMYFUNCTION("""COMPUTED_VALUE"""),1.1)</f>
        <v>1.1</v>
      </c>
      <c r="I419" s="4">
        <f>IFERROR(__xludf.DUMMYFUNCTION("""COMPUTED_VALUE"""),0.0)</f>
        <v>0</v>
      </c>
      <c r="J419" s="4">
        <f>IFERROR(__xludf.DUMMYFUNCTION("""COMPUTED_VALUE"""),25702.278)</f>
        <v>25702.278</v>
      </c>
      <c r="K419" s="4">
        <f>IFERROR(__xludf.DUMMYFUNCTION("""COMPUTED_VALUE"""),25702.278)</f>
        <v>25702.278</v>
      </c>
    </row>
    <row r="420" ht="22.5" customHeight="1">
      <c r="A420" s="2" t="str">
        <f>IFERROR(__xludf.DUMMYFUNCTION("""COMPUTED_VALUE"""),"L2")</f>
        <v>L2</v>
      </c>
      <c r="B420" s="2" t="str">
        <f>IFERROR(__xludf.DUMMYFUNCTION("""COMPUTED_VALUE"""),"2026-11")</f>
        <v>2026-11</v>
      </c>
      <c r="C420" s="2" t="str">
        <f>IFERROR(__xludf.DUMMYFUNCTION("""COMPUTED_VALUE"""),"FRAMESEAT-SUV")</f>
        <v>FRAMESEAT-SUV</v>
      </c>
      <c r="D420" s="2">
        <f>IFERROR(__xludf.DUMMYFUNCTION("""COMPUTED_VALUE"""),0.0)</f>
        <v>0</v>
      </c>
      <c r="E420" s="2">
        <f>IFERROR(__xludf.DUMMYFUNCTION("""COMPUTED_VALUE"""),0.0)</f>
        <v>0</v>
      </c>
      <c r="F420" s="4">
        <f>IFERROR(__xludf.DUMMYFUNCTION("""COMPUTED_VALUE"""),0.0)</f>
        <v>0</v>
      </c>
      <c r="G420" s="4">
        <f>IFERROR(__xludf.DUMMYFUNCTION("""COMPUTED_VALUE"""),0.0)</f>
        <v>0</v>
      </c>
      <c r="H420" s="9">
        <f>IFERROR(__xludf.DUMMYFUNCTION("""COMPUTED_VALUE"""),1.1)</f>
        <v>1.1</v>
      </c>
      <c r="I420" s="4">
        <f>IFERROR(__xludf.DUMMYFUNCTION("""COMPUTED_VALUE"""),0.0)</f>
        <v>0</v>
      </c>
      <c r="J420" s="4">
        <f>IFERROR(__xludf.DUMMYFUNCTION("""COMPUTED_VALUE"""),25702.278)</f>
        <v>25702.278</v>
      </c>
      <c r="K420" s="4">
        <f>IFERROR(__xludf.DUMMYFUNCTION("""COMPUTED_VALUE"""),25702.278)</f>
        <v>25702.278</v>
      </c>
    </row>
    <row r="421" ht="22.5" customHeight="1">
      <c r="A421" s="2" t="str">
        <f>IFERROR(__xludf.DUMMYFUNCTION("""COMPUTED_VALUE"""),"L2")</f>
        <v>L2</v>
      </c>
      <c r="B421" s="2" t="str">
        <f>IFERROR(__xludf.DUMMYFUNCTION("""COMPUTED_VALUE"""),"2026-12")</f>
        <v>2026-12</v>
      </c>
      <c r="C421" s="2" t="str">
        <f>IFERROR(__xludf.DUMMYFUNCTION("""COMPUTED_VALUE"""),"FRAMESEAT-SUV")</f>
        <v>FRAMESEAT-SUV</v>
      </c>
      <c r="D421" s="2">
        <f>IFERROR(__xludf.DUMMYFUNCTION("""COMPUTED_VALUE"""),0.0)</f>
        <v>0</v>
      </c>
      <c r="E421" s="2">
        <f>IFERROR(__xludf.DUMMYFUNCTION("""COMPUTED_VALUE"""),0.0)</f>
        <v>0</v>
      </c>
      <c r="F421" s="4">
        <f>IFERROR(__xludf.DUMMYFUNCTION("""COMPUTED_VALUE"""),0.0)</f>
        <v>0</v>
      </c>
      <c r="G421" s="4">
        <f>IFERROR(__xludf.DUMMYFUNCTION("""COMPUTED_VALUE"""),0.0)</f>
        <v>0</v>
      </c>
      <c r="H421" s="9">
        <f>IFERROR(__xludf.DUMMYFUNCTION("""COMPUTED_VALUE"""),1.1)</f>
        <v>1.1</v>
      </c>
      <c r="I421" s="4">
        <f>IFERROR(__xludf.DUMMYFUNCTION("""COMPUTED_VALUE"""),0.0)</f>
        <v>0</v>
      </c>
      <c r="J421" s="4">
        <f>IFERROR(__xludf.DUMMYFUNCTION("""COMPUTED_VALUE"""),25702.278)</f>
        <v>25702.278</v>
      </c>
      <c r="K421" s="4">
        <f>IFERROR(__xludf.DUMMYFUNCTION("""COMPUTED_VALUE"""),25702.278)</f>
        <v>25702.278</v>
      </c>
    </row>
    <row r="422" ht="22.5" customHeight="1">
      <c r="A422" s="2" t="str">
        <f>IFERROR(__xludf.DUMMYFUNCTION("""COMPUTED_VALUE"""),"L2")</f>
        <v>L2</v>
      </c>
      <c r="B422" s="2" t="str">
        <f>IFERROR(__xludf.DUMMYFUNCTION("""COMPUTED_VALUE"""),"2026-01")</f>
        <v>2026-01</v>
      </c>
      <c r="C422" s="2" t="str">
        <f>IFERROR(__xludf.DUMMYFUNCTION("""COMPUTED_VALUE"""),"FRAMESEAT-SUV - LX")</f>
        <v>FRAMESEAT-SUV - LX</v>
      </c>
      <c r="D422" s="2">
        <f>IFERROR(__xludf.DUMMYFUNCTION("""COMPUTED_VALUE"""),0.0)</f>
        <v>0</v>
      </c>
      <c r="E422" s="2">
        <f>IFERROR(__xludf.DUMMYFUNCTION("""COMPUTED_VALUE"""),0.0)</f>
        <v>0</v>
      </c>
      <c r="F422" s="4">
        <f>IFERROR(__xludf.DUMMYFUNCTION("""COMPUTED_VALUE"""),0.0)</f>
        <v>0</v>
      </c>
      <c r="G422" s="4">
        <f>IFERROR(__xludf.DUMMYFUNCTION("""COMPUTED_VALUE"""),0.0)</f>
        <v>0</v>
      </c>
      <c r="H422" s="9">
        <f>IFERROR(__xludf.DUMMYFUNCTION("""COMPUTED_VALUE"""),1.1)</f>
        <v>1.1</v>
      </c>
      <c r="I422" s="4">
        <f>IFERROR(__xludf.DUMMYFUNCTION("""COMPUTED_VALUE"""),0.0)</f>
        <v>0</v>
      </c>
      <c r="J422" s="4">
        <f>IFERROR(__xludf.DUMMYFUNCTION("""COMPUTED_VALUE"""),21258.588000000003)</f>
        <v>21258.588</v>
      </c>
      <c r="K422" s="4">
        <f>IFERROR(__xludf.DUMMYFUNCTION("""COMPUTED_VALUE"""),21258.588000000003)</f>
        <v>21258.588</v>
      </c>
    </row>
    <row r="423" ht="22.5" customHeight="1">
      <c r="A423" s="2" t="str">
        <f>IFERROR(__xludf.DUMMYFUNCTION("""COMPUTED_VALUE"""),"L2")</f>
        <v>L2</v>
      </c>
      <c r="B423" s="2" t="str">
        <f>IFERROR(__xludf.DUMMYFUNCTION("""COMPUTED_VALUE"""),"2026-02")</f>
        <v>2026-02</v>
      </c>
      <c r="C423" s="2" t="str">
        <f>IFERROR(__xludf.DUMMYFUNCTION("""COMPUTED_VALUE"""),"FRAMESEAT-SUV - LX")</f>
        <v>FRAMESEAT-SUV - LX</v>
      </c>
      <c r="D423" s="2">
        <f>IFERROR(__xludf.DUMMYFUNCTION("""COMPUTED_VALUE"""),0.0)</f>
        <v>0</v>
      </c>
      <c r="E423" s="2">
        <f>IFERROR(__xludf.DUMMYFUNCTION("""COMPUTED_VALUE"""),0.0)</f>
        <v>0</v>
      </c>
      <c r="F423" s="4">
        <f>IFERROR(__xludf.DUMMYFUNCTION("""COMPUTED_VALUE"""),0.0)</f>
        <v>0</v>
      </c>
      <c r="G423" s="4">
        <f>IFERROR(__xludf.DUMMYFUNCTION("""COMPUTED_VALUE"""),0.0)</f>
        <v>0</v>
      </c>
      <c r="H423" s="9">
        <f>IFERROR(__xludf.DUMMYFUNCTION("""COMPUTED_VALUE"""),1.1)</f>
        <v>1.1</v>
      </c>
      <c r="I423" s="4">
        <f>IFERROR(__xludf.DUMMYFUNCTION("""COMPUTED_VALUE"""),0.0)</f>
        <v>0</v>
      </c>
      <c r="J423" s="4">
        <f>IFERROR(__xludf.DUMMYFUNCTION("""COMPUTED_VALUE"""),21258.588000000003)</f>
        <v>21258.588</v>
      </c>
      <c r="K423" s="4">
        <f>IFERROR(__xludf.DUMMYFUNCTION("""COMPUTED_VALUE"""),21258.588000000003)</f>
        <v>21258.588</v>
      </c>
    </row>
    <row r="424" ht="22.5" customHeight="1">
      <c r="A424" s="2" t="str">
        <f>IFERROR(__xludf.DUMMYFUNCTION("""COMPUTED_VALUE"""),"L2")</f>
        <v>L2</v>
      </c>
      <c r="B424" s="2" t="str">
        <f>IFERROR(__xludf.DUMMYFUNCTION("""COMPUTED_VALUE"""),"2026-03")</f>
        <v>2026-03</v>
      </c>
      <c r="C424" s="2" t="str">
        <f>IFERROR(__xludf.DUMMYFUNCTION("""COMPUTED_VALUE"""),"FRAMESEAT-SUV - LX")</f>
        <v>FRAMESEAT-SUV - LX</v>
      </c>
      <c r="D424" s="2">
        <f>IFERROR(__xludf.DUMMYFUNCTION("""COMPUTED_VALUE"""),0.0)</f>
        <v>0</v>
      </c>
      <c r="E424" s="2">
        <f>IFERROR(__xludf.DUMMYFUNCTION("""COMPUTED_VALUE"""),0.0)</f>
        <v>0</v>
      </c>
      <c r="F424" s="4">
        <f>IFERROR(__xludf.DUMMYFUNCTION("""COMPUTED_VALUE"""),0.0)</f>
        <v>0</v>
      </c>
      <c r="G424" s="4">
        <f>IFERROR(__xludf.DUMMYFUNCTION("""COMPUTED_VALUE"""),0.0)</f>
        <v>0</v>
      </c>
      <c r="H424" s="9">
        <f>IFERROR(__xludf.DUMMYFUNCTION("""COMPUTED_VALUE"""),1.1)</f>
        <v>1.1</v>
      </c>
      <c r="I424" s="4">
        <f>IFERROR(__xludf.DUMMYFUNCTION("""COMPUTED_VALUE"""),0.0)</f>
        <v>0</v>
      </c>
      <c r="J424" s="4">
        <f>IFERROR(__xludf.DUMMYFUNCTION("""COMPUTED_VALUE"""),21258.588000000003)</f>
        <v>21258.588</v>
      </c>
      <c r="K424" s="4">
        <f>IFERROR(__xludf.DUMMYFUNCTION("""COMPUTED_VALUE"""),21258.588000000003)</f>
        <v>21258.588</v>
      </c>
    </row>
    <row r="425" ht="22.5" customHeight="1">
      <c r="A425" s="2" t="str">
        <f>IFERROR(__xludf.DUMMYFUNCTION("""COMPUTED_VALUE"""),"L2")</f>
        <v>L2</v>
      </c>
      <c r="B425" s="2" t="str">
        <f>IFERROR(__xludf.DUMMYFUNCTION("""COMPUTED_VALUE"""),"2026-04")</f>
        <v>2026-04</v>
      </c>
      <c r="C425" s="2" t="str">
        <f>IFERROR(__xludf.DUMMYFUNCTION("""COMPUTED_VALUE"""),"FRAMESEAT-SUV - LX")</f>
        <v>FRAMESEAT-SUV - LX</v>
      </c>
      <c r="D425" s="2">
        <f>IFERROR(__xludf.DUMMYFUNCTION("""COMPUTED_VALUE"""),0.0)</f>
        <v>0</v>
      </c>
      <c r="E425" s="2">
        <f>IFERROR(__xludf.DUMMYFUNCTION("""COMPUTED_VALUE"""),0.0)</f>
        <v>0</v>
      </c>
      <c r="F425" s="4">
        <f>IFERROR(__xludf.DUMMYFUNCTION("""COMPUTED_VALUE"""),0.0)</f>
        <v>0</v>
      </c>
      <c r="G425" s="4">
        <f>IFERROR(__xludf.DUMMYFUNCTION("""COMPUTED_VALUE"""),0.0)</f>
        <v>0</v>
      </c>
      <c r="H425" s="9">
        <f>IFERROR(__xludf.DUMMYFUNCTION("""COMPUTED_VALUE"""),1.1)</f>
        <v>1.1</v>
      </c>
      <c r="I425" s="4">
        <f>IFERROR(__xludf.DUMMYFUNCTION("""COMPUTED_VALUE"""),0.0)</f>
        <v>0</v>
      </c>
      <c r="J425" s="4">
        <f>IFERROR(__xludf.DUMMYFUNCTION("""COMPUTED_VALUE"""),21258.588000000003)</f>
        <v>21258.588</v>
      </c>
      <c r="K425" s="4">
        <f>IFERROR(__xludf.DUMMYFUNCTION("""COMPUTED_VALUE"""),21258.588000000003)</f>
        <v>21258.588</v>
      </c>
    </row>
    <row r="426" ht="22.5" customHeight="1">
      <c r="A426" s="2" t="str">
        <f>IFERROR(__xludf.DUMMYFUNCTION("""COMPUTED_VALUE"""),"L2")</f>
        <v>L2</v>
      </c>
      <c r="B426" s="2" t="str">
        <f>IFERROR(__xludf.DUMMYFUNCTION("""COMPUTED_VALUE"""),"2026-05")</f>
        <v>2026-05</v>
      </c>
      <c r="C426" s="2" t="str">
        <f>IFERROR(__xludf.DUMMYFUNCTION("""COMPUTED_VALUE"""),"FRAMESEAT-SUV - LX")</f>
        <v>FRAMESEAT-SUV - LX</v>
      </c>
      <c r="D426" s="2">
        <f>IFERROR(__xludf.DUMMYFUNCTION("""COMPUTED_VALUE"""),0.0)</f>
        <v>0</v>
      </c>
      <c r="E426" s="2">
        <f>IFERROR(__xludf.DUMMYFUNCTION("""COMPUTED_VALUE"""),0.0)</f>
        <v>0</v>
      </c>
      <c r="F426" s="4">
        <f>IFERROR(__xludf.DUMMYFUNCTION("""COMPUTED_VALUE"""),0.0)</f>
        <v>0</v>
      </c>
      <c r="G426" s="4">
        <f>IFERROR(__xludf.DUMMYFUNCTION("""COMPUTED_VALUE"""),0.0)</f>
        <v>0</v>
      </c>
      <c r="H426" s="9">
        <f>IFERROR(__xludf.DUMMYFUNCTION("""COMPUTED_VALUE"""),1.1)</f>
        <v>1.1</v>
      </c>
      <c r="I426" s="4">
        <f>IFERROR(__xludf.DUMMYFUNCTION("""COMPUTED_VALUE"""),0.0)</f>
        <v>0</v>
      </c>
      <c r="J426" s="4">
        <f>IFERROR(__xludf.DUMMYFUNCTION("""COMPUTED_VALUE"""),21258.588000000003)</f>
        <v>21258.588</v>
      </c>
      <c r="K426" s="4">
        <f>IFERROR(__xludf.DUMMYFUNCTION("""COMPUTED_VALUE"""),21258.588000000003)</f>
        <v>21258.588</v>
      </c>
    </row>
    <row r="427" ht="22.5" customHeight="1">
      <c r="A427" s="2" t="str">
        <f>IFERROR(__xludf.DUMMYFUNCTION("""COMPUTED_VALUE"""),"L2")</f>
        <v>L2</v>
      </c>
      <c r="B427" s="2" t="str">
        <f>IFERROR(__xludf.DUMMYFUNCTION("""COMPUTED_VALUE"""),"2026-06")</f>
        <v>2026-06</v>
      </c>
      <c r="C427" s="2" t="str">
        <f>IFERROR(__xludf.DUMMYFUNCTION("""COMPUTED_VALUE"""),"FRAMESEAT-SUV - LX")</f>
        <v>FRAMESEAT-SUV - LX</v>
      </c>
      <c r="D427" s="2">
        <f>IFERROR(__xludf.DUMMYFUNCTION("""COMPUTED_VALUE"""),0.0)</f>
        <v>0</v>
      </c>
      <c r="E427" s="2">
        <f>IFERROR(__xludf.DUMMYFUNCTION("""COMPUTED_VALUE"""),0.0)</f>
        <v>0</v>
      </c>
      <c r="F427" s="4">
        <f>IFERROR(__xludf.DUMMYFUNCTION("""COMPUTED_VALUE"""),0.0)</f>
        <v>0</v>
      </c>
      <c r="G427" s="4">
        <f>IFERROR(__xludf.DUMMYFUNCTION("""COMPUTED_VALUE"""),0.0)</f>
        <v>0</v>
      </c>
      <c r="H427" s="9">
        <f>IFERROR(__xludf.DUMMYFUNCTION("""COMPUTED_VALUE"""),1.1)</f>
        <v>1.1</v>
      </c>
      <c r="I427" s="4">
        <f>IFERROR(__xludf.DUMMYFUNCTION("""COMPUTED_VALUE"""),0.0)</f>
        <v>0</v>
      </c>
      <c r="J427" s="4">
        <f>IFERROR(__xludf.DUMMYFUNCTION("""COMPUTED_VALUE"""),21258.588000000003)</f>
        <v>21258.588</v>
      </c>
      <c r="K427" s="4">
        <f>IFERROR(__xludf.DUMMYFUNCTION("""COMPUTED_VALUE"""),21258.588000000003)</f>
        <v>21258.588</v>
      </c>
    </row>
    <row r="428" ht="22.5" customHeight="1">
      <c r="A428" s="2" t="str">
        <f>IFERROR(__xludf.DUMMYFUNCTION("""COMPUTED_VALUE"""),"L2")</f>
        <v>L2</v>
      </c>
      <c r="B428" s="2" t="str">
        <f>IFERROR(__xludf.DUMMYFUNCTION("""COMPUTED_VALUE"""),"2026-07")</f>
        <v>2026-07</v>
      </c>
      <c r="C428" s="2" t="str">
        <f>IFERROR(__xludf.DUMMYFUNCTION("""COMPUTED_VALUE"""),"FRAMESEAT-SUV - LX")</f>
        <v>FRAMESEAT-SUV - LX</v>
      </c>
      <c r="D428" s="2">
        <f>IFERROR(__xludf.DUMMYFUNCTION("""COMPUTED_VALUE"""),0.0)</f>
        <v>0</v>
      </c>
      <c r="E428" s="2">
        <f>IFERROR(__xludf.DUMMYFUNCTION("""COMPUTED_VALUE"""),0.0)</f>
        <v>0</v>
      </c>
      <c r="F428" s="4">
        <f>IFERROR(__xludf.DUMMYFUNCTION("""COMPUTED_VALUE"""),0.0)</f>
        <v>0</v>
      </c>
      <c r="G428" s="4">
        <f>IFERROR(__xludf.DUMMYFUNCTION("""COMPUTED_VALUE"""),0.0)</f>
        <v>0</v>
      </c>
      <c r="H428" s="9">
        <f>IFERROR(__xludf.DUMMYFUNCTION("""COMPUTED_VALUE"""),1.1)</f>
        <v>1.1</v>
      </c>
      <c r="I428" s="4">
        <f>IFERROR(__xludf.DUMMYFUNCTION("""COMPUTED_VALUE"""),0.0)</f>
        <v>0</v>
      </c>
      <c r="J428" s="4">
        <f>IFERROR(__xludf.DUMMYFUNCTION("""COMPUTED_VALUE"""),21258.588000000003)</f>
        <v>21258.588</v>
      </c>
      <c r="K428" s="4">
        <f>IFERROR(__xludf.DUMMYFUNCTION("""COMPUTED_VALUE"""),21258.588000000003)</f>
        <v>21258.588</v>
      </c>
    </row>
    <row r="429" ht="22.5" customHeight="1">
      <c r="A429" s="2" t="str">
        <f>IFERROR(__xludf.DUMMYFUNCTION("""COMPUTED_VALUE"""),"L2")</f>
        <v>L2</v>
      </c>
      <c r="B429" s="2" t="str">
        <f>IFERROR(__xludf.DUMMYFUNCTION("""COMPUTED_VALUE"""),"2026-08")</f>
        <v>2026-08</v>
      </c>
      <c r="C429" s="2" t="str">
        <f>IFERROR(__xludf.DUMMYFUNCTION("""COMPUTED_VALUE"""),"FRAMESEAT-SUV - LX")</f>
        <v>FRAMESEAT-SUV - LX</v>
      </c>
      <c r="D429" s="2">
        <f>IFERROR(__xludf.DUMMYFUNCTION("""COMPUTED_VALUE"""),0.0)</f>
        <v>0</v>
      </c>
      <c r="E429" s="2">
        <f>IFERROR(__xludf.DUMMYFUNCTION("""COMPUTED_VALUE"""),0.0)</f>
        <v>0</v>
      </c>
      <c r="F429" s="4">
        <f>IFERROR(__xludf.DUMMYFUNCTION("""COMPUTED_VALUE"""),0.0)</f>
        <v>0</v>
      </c>
      <c r="G429" s="4">
        <f>IFERROR(__xludf.DUMMYFUNCTION("""COMPUTED_VALUE"""),0.0)</f>
        <v>0</v>
      </c>
      <c r="H429" s="9">
        <f>IFERROR(__xludf.DUMMYFUNCTION("""COMPUTED_VALUE"""),1.1)</f>
        <v>1.1</v>
      </c>
      <c r="I429" s="4">
        <f>IFERROR(__xludf.DUMMYFUNCTION("""COMPUTED_VALUE"""),0.0)</f>
        <v>0</v>
      </c>
      <c r="J429" s="4">
        <f>IFERROR(__xludf.DUMMYFUNCTION("""COMPUTED_VALUE"""),21258.588000000003)</f>
        <v>21258.588</v>
      </c>
      <c r="K429" s="4">
        <f>IFERROR(__xludf.DUMMYFUNCTION("""COMPUTED_VALUE"""),21258.588000000003)</f>
        <v>21258.588</v>
      </c>
    </row>
    <row r="430" ht="22.5" customHeight="1">
      <c r="A430" s="2" t="str">
        <f>IFERROR(__xludf.DUMMYFUNCTION("""COMPUTED_VALUE"""),"L2")</f>
        <v>L2</v>
      </c>
      <c r="B430" s="2" t="str">
        <f>IFERROR(__xludf.DUMMYFUNCTION("""COMPUTED_VALUE"""),"2026-09")</f>
        <v>2026-09</v>
      </c>
      <c r="C430" s="2" t="str">
        <f>IFERROR(__xludf.DUMMYFUNCTION("""COMPUTED_VALUE"""),"FRAMESEAT-SUV - LX")</f>
        <v>FRAMESEAT-SUV - LX</v>
      </c>
      <c r="D430" s="2">
        <f>IFERROR(__xludf.DUMMYFUNCTION("""COMPUTED_VALUE"""),0.0)</f>
        <v>0</v>
      </c>
      <c r="E430" s="2">
        <f>IFERROR(__xludf.DUMMYFUNCTION("""COMPUTED_VALUE"""),0.0)</f>
        <v>0</v>
      </c>
      <c r="F430" s="4">
        <f>IFERROR(__xludf.DUMMYFUNCTION("""COMPUTED_VALUE"""),0.0)</f>
        <v>0</v>
      </c>
      <c r="G430" s="4">
        <f>IFERROR(__xludf.DUMMYFUNCTION("""COMPUTED_VALUE"""),0.0)</f>
        <v>0</v>
      </c>
      <c r="H430" s="9">
        <f>IFERROR(__xludf.DUMMYFUNCTION("""COMPUTED_VALUE"""),1.1)</f>
        <v>1.1</v>
      </c>
      <c r="I430" s="4">
        <f>IFERROR(__xludf.DUMMYFUNCTION("""COMPUTED_VALUE"""),0.0)</f>
        <v>0</v>
      </c>
      <c r="J430" s="4">
        <f>IFERROR(__xludf.DUMMYFUNCTION("""COMPUTED_VALUE"""),21258.588000000003)</f>
        <v>21258.588</v>
      </c>
      <c r="K430" s="4">
        <f>IFERROR(__xludf.DUMMYFUNCTION("""COMPUTED_VALUE"""),21258.588000000003)</f>
        <v>21258.588</v>
      </c>
    </row>
    <row r="431" ht="22.5" customHeight="1">
      <c r="A431" s="2" t="str">
        <f>IFERROR(__xludf.DUMMYFUNCTION("""COMPUTED_VALUE"""),"L2")</f>
        <v>L2</v>
      </c>
      <c r="B431" s="2" t="str">
        <f>IFERROR(__xludf.DUMMYFUNCTION("""COMPUTED_VALUE"""),"2026-10")</f>
        <v>2026-10</v>
      </c>
      <c r="C431" s="2" t="str">
        <f>IFERROR(__xludf.DUMMYFUNCTION("""COMPUTED_VALUE"""),"FRAMESEAT-SUV - LX")</f>
        <v>FRAMESEAT-SUV - LX</v>
      </c>
      <c r="D431" s="2">
        <f>IFERROR(__xludf.DUMMYFUNCTION("""COMPUTED_VALUE"""),0.0)</f>
        <v>0</v>
      </c>
      <c r="E431" s="2">
        <f>IFERROR(__xludf.DUMMYFUNCTION("""COMPUTED_VALUE"""),0.0)</f>
        <v>0</v>
      </c>
      <c r="F431" s="4">
        <f>IFERROR(__xludf.DUMMYFUNCTION("""COMPUTED_VALUE"""),0.0)</f>
        <v>0</v>
      </c>
      <c r="G431" s="4">
        <f>IFERROR(__xludf.DUMMYFUNCTION("""COMPUTED_VALUE"""),0.0)</f>
        <v>0</v>
      </c>
      <c r="H431" s="9">
        <f>IFERROR(__xludf.DUMMYFUNCTION("""COMPUTED_VALUE"""),1.1)</f>
        <v>1.1</v>
      </c>
      <c r="I431" s="4">
        <f>IFERROR(__xludf.DUMMYFUNCTION("""COMPUTED_VALUE"""),0.0)</f>
        <v>0</v>
      </c>
      <c r="J431" s="4">
        <f>IFERROR(__xludf.DUMMYFUNCTION("""COMPUTED_VALUE"""),21258.588000000003)</f>
        <v>21258.588</v>
      </c>
      <c r="K431" s="4">
        <f>IFERROR(__xludf.DUMMYFUNCTION("""COMPUTED_VALUE"""),21258.588000000003)</f>
        <v>21258.588</v>
      </c>
    </row>
    <row r="432" ht="22.5" customHeight="1">
      <c r="A432" s="2" t="str">
        <f>IFERROR(__xludf.DUMMYFUNCTION("""COMPUTED_VALUE"""),"L2")</f>
        <v>L2</v>
      </c>
      <c r="B432" s="2" t="str">
        <f>IFERROR(__xludf.DUMMYFUNCTION("""COMPUTED_VALUE"""),"2026-11")</f>
        <v>2026-11</v>
      </c>
      <c r="C432" s="2" t="str">
        <f>IFERROR(__xludf.DUMMYFUNCTION("""COMPUTED_VALUE"""),"FRAMESEAT-SUV - LX")</f>
        <v>FRAMESEAT-SUV - LX</v>
      </c>
      <c r="D432" s="2">
        <f>IFERROR(__xludf.DUMMYFUNCTION("""COMPUTED_VALUE"""),0.0)</f>
        <v>0</v>
      </c>
      <c r="E432" s="2">
        <f>IFERROR(__xludf.DUMMYFUNCTION("""COMPUTED_VALUE"""),0.0)</f>
        <v>0</v>
      </c>
      <c r="F432" s="4">
        <f>IFERROR(__xludf.DUMMYFUNCTION("""COMPUTED_VALUE"""),0.0)</f>
        <v>0</v>
      </c>
      <c r="G432" s="4">
        <f>IFERROR(__xludf.DUMMYFUNCTION("""COMPUTED_VALUE"""),0.0)</f>
        <v>0</v>
      </c>
      <c r="H432" s="9">
        <f>IFERROR(__xludf.DUMMYFUNCTION("""COMPUTED_VALUE"""),1.1)</f>
        <v>1.1</v>
      </c>
      <c r="I432" s="4">
        <f>IFERROR(__xludf.DUMMYFUNCTION("""COMPUTED_VALUE"""),0.0)</f>
        <v>0</v>
      </c>
      <c r="J432" s="4">
        <f>IFERROR(__xludf.DUMMYFUNCTION("""COMPUTED_VALUE"""),21258.588000000003)</f>
        <v>21258.588</v>
      </c>
      <c r="K432" s="4">
        <f>IFERROR(__xludf.DUMMYFUNCTION("""COMPUTED_VALUE"""),21258.588000000003)</f>
        <v>21258.588</v>
      </c>
    </row>
    <row r="433" ht="22.5" customHeight="1">
      <c r="A433" s="2" t="str">
        <f>IFERROR(__xludf.DUMMYFUNCTION("""COMPUTED_VALUE"""),"L2")</f>
        <v>L2</v>
      </c>
      <c r="B433" s="2" t="str">
        <f>IFERROR(__xludf.DUMMYFUNCTION("""COMPUTED_VALUE"""),"2026-12")</f>
        <v>2026-12</v>
      </c>
      <c r="C433" s="2" t="str">
        <f>IFERROR(__xludf.DUMMYFUNCTION("""COMPUTED_VALUE"""),"FRAMESEAT-SUV - LX")</f>
        <v>FRAMESEAT-SUV - LX</v>
      </c>
      <c r="D433" s="2">
        <f>IFERROR(__xludf.DUMMYFUNCTION("""COMPUTED_VALUE"""),0.0)</f>
        <v>0</v>
      </c>
      <c r="E433" s="2">
        <f>IFERROR(__xludf.DUMMYFUNCTION("""COMPUTED_VALUE"""),0.0)</f>
        <v>0</v>
      </c>
      <c r="F433" s="4">
        <f>IFERROR(__xludf.DUMMYFUNCTION("""COMPUTED_VALUE"""),0.0)</f>
        <v>0</v>
      </c>
      <c r="G433" s="4">
        <f>IFERROR(__xludf.DUMMYFUNCTION("""COMPUTED_VALUE"""),0.0)</f>
        <v>0</v>
      </c>
      <c r="H433" s="9">
        <f>IFERROR(__xludf.DUMMYFUNCTION("""COMPUTED_VALUE"""),1.1)</f>
        <v>1.1</v>
      </c>
      <c r="I433" s="4">
        <f>IFERROR(__xludf.DUMMYFUNCTION("""COMPUTED_VALUE"""),0.0)</f>
        <v>0</v>
      </c>
      <c r="J433" s="4">
        <f>IFERROR(__xludf.DUMMYFUNCTION("""COMPUTED_VALUE"""),21258.588000000003)</f>
        <v>21258.588</v>
      </c>
      <c r="K433" s="4">
        <f>IFERROR(__xludf.DUMMYFUNCTION("""COMPUTED_VALUE"""),21258.588000000003)</f>
        <v>21258.588</v>
      </c>
    </row>
    <row r="434" ht="22.5" customHeight="1">
      <c r="A434" s="2" t="str">
        <f>IFERROR(__xludf.DUMMYFUNCTION("""COMPUTED_VALUE"""),"L2")</f>
        <v>L2</v>
      </c>
      <c r="B434" s="2" t="str">
        <f>IFERROR(__xludf.DUMMYFUNCTION("""COMPUTED_VALUE"""),"2026-01")</f>
        <v>2026-01</v>
      </c>
      <c r="C434" s="2" t="str">
        <f>IFERROR(__xludf.DUMMYFUNCTION("""COMPUTED_VALUE"""),"GEAR-SD")</f>
        <v>GEAR-SD</v>
      </c>
      <c r="D434" s="2">
        <f>IFERROR(__xludf.DUMMYFUNCTION("""COMPUTED_VALUE"""),139.0)</f>
        <v>139</v>
      </c>
      <c r="E434" s="2">
        <f>IFERROR(__xludf.DUMMYFUNCTION("""COMPUTED_VALUE"""),3.0)</f>
        <v>3</v>
      </c>
      <c r="F434" s="4">
        <f>IFERROR(__xludf.DUMMYFUNCTION("""COMPUTED_VALUE"""),42080.86)</f>
        <v>42080.86</v>
      </c>
      <c r="G434" s="4">
        <f>IFERROR(__xludf.DUMMYFUNCTION("""COMPUTED_VALUE"""),855.0)</f>
        <v>855</v>
      </c>
      <c r="H434" s="9">
        <f>IFERROR(__xludf.DUMMYFUNCTION("""COMPUTED_VALUE"""),1.1)</f>
        <v>1.1</v>
      </c>
      <c r="I434" s="4">
        <f>IFERROR(__xludf.DUMMYFUNCTION("""COMPUTED_VALUE"""),47229.446)</f>
        <v>47229.446</v>
      </c>
      <c r="J434" s="4">
        <f>IFERROR(__xludf.DUMMYFUNCTION("""COMPUTED_VALUE"""),216.96366666666665)</f>
        <v>216.9636667</v>
      </c>
      <c r="K434" s="4">
        <f>IFERROR(__xludf.DUMMYFUNCTION("""COMPUTED_VALUE"""),47446.409666666674)</f>
        <v>47446.40967</v>
      </c>
    </row>
    <row r="435" ht="22.5" customHeight="1">
      <c r="A435" s="2" t="str">
        <f>IFERROR(__xludf.DUMMYFUNCTION("""COMPUTED_VALUE"""),"L2")</f>
        <v>L2</v>
      </c>
      <c r="B435" s="2" t="str">
        <f>IFERROR(__xludf.DUMMYFUNCTION("""COMPUTED_VALUE"""),"2026-02")</f>
        <v>2026-02</v>
      </c>
      <c r="C435" s="2" t="str">
        <f>IFERROR(__xludf.DUMMYFUNCTION("""COMPUTED_VALUE"""),"GEAR-SD")</f>
        <v>GEAR-SD</v>
      </c>
      <c r="D435" s="2">
        <f>IFERROR(__xludf.DUMMYFUNCTION("""COMPUTED_VALUE"""),437.0)</f>
        <v>437</v>
      </c>
      <c r="E435" s="2">
        <f>IFERROR(__xludf.DUMMYFUNCTION("""COMPUTED_VALUE"""),9.0)</f>
        <v>9</v>
      </c>
      <c r="F435" s="4">
        <f>IFERROR(__xludf.DUMMYFUNCTION("""COMPUTED_VALUE"""),132297.38)</f>
        <v>132297.38</v>
      </c>
      <c r="G435" s="4">
        <f>IFERROR(__xludf.DUMMYFUNCTION("""COMPUTED_VALUE"""),2565.0)</f>
        <v>2565</v>
      </c>
      <c r="H435" s="9">
        <f>IFERROR(__xludf.DUMMYFUNCTION("""COMPUTED_VALUE"""),1.1)</f>
        <v>1.1</v>
      </c>
      <c r="I435" s="4">
        <f>IFERROR(__xludf.DUMMYFUNCTION("""COMPUTED_VALUE"""),148348.61800000002)</f>
        <v>148348.618</v>
      </c>
      <c r="J435" s="4">
        <f>IFERROR(__xludf.DUMMYFUNCTION("""COMPUTED_VALUE"""),0.0)</f>
        <v>0</v>
      </c>
      <c r="K435" s="4">
        <f>IFERROR(__xludf.DUMMYFUNCTION("""COMPUTED_VALUE"""),148348.61800000002)</f>
        <v>148348.618</v>
      </c>
    </row>
    <row r="436" ht="22.5" customHeight="1">
      <c r="A436" s="2" t="str">
        <f>IFERROR(__xludf.DUMMYFUNCTION("""COMPUTED_VALUE"""),"L2")</f>
        <v>L2</v>
      </c>
      <c r="B436" s="2" t="str">
        <f>IFERROR(__xludf.DUMMYFUNCTION("""COMPUTED_VALUE"""),"2026-03")</f>
        <v>2026-03</v>
      </c>
      <c r="C436" s="2" t="str">
        <f>IFERROR(__xludf.DUMMYFUNCTION("""COMPUTED_VALUE"""),"GEAR-SD")</f>
        <v>GEAR-SD</v>
      </c>
      <c r="D436" s="2">
        <f>IFERROR(__xludf.DUMMYFUNCTION("""COMPUTED_VALUE"""),0.0)</f>
        <v>0</v>
      </c>
      <c r="E436" s="2">
        <f>IFERROR(__xludf.DUMMYFUNCTION("""COMPUTED_VALUE"""),0.0)</f>
        <v>0</v>
      </c>
      <c r="F436" s="4">
        <f>IFERROR(__xludf.DUMMYFUNCTION("""COMPUTED_VALUE"""),0.0)</f>
        <v>0</v>
      </c>
      <c r="G436" s="4">
        <f>IFERROR(__xludf.DUMMYFUNCTION("""COMPUTED_VALUE"""),0.0)</f>
        <v>0</v>
      </c>
      <c r="H436" s="9">
        <f>IFERROR(__xludf.DUMMYFUNCTION("""COMPUTED_VALUE"""),1.1)</f>
        <v>1.1</v>
      </c>
      <c r="I436" s="4">
        <f>IFERROR(__xludf.DUMMYFUNCTION("""COMPUTED_VALUE"""),0.0)</f>
        <v>0</v>
      </c>
      <c r="J436" s="4">
        <f>IFERROR(__xludf.DUMMYFUNCTION("""COMPUTED_VALUE"""),0.0)</f>
        <v>0</v>
      </c>
      <c r="K436" s="4">
        <f>IFERROR(__xludf.DUMMYFUNCTION("""COMPUTED_VALUE"""),0.0)</f>
        <v>0</v>
      </c>
    </row>
    <row r="437" ht="22.5" customHeight="1">
      <c r="A437" s="2" t="str">
        <f>IFERROR(__xludf.DUMMYFUNCTION("""COMPUTED_VALUE"""),"L2")</f>
        <v>L2</v>
      </c>
      <c r="B437" s="2" t="str">
        <f>IFERROR(__xludf.DUMMYFUNCTION("""COMPUTED_VALUE"""),"2026-04")</f>
        <v>2026-04</v>
      </c>
      <c r="C437" s="2" t="str">
        <f>IFERROR(__xludf.DUMMYFUNCTION("""COMPUTED_VALUE"""),"GEAR-SD")</f>
        <v>GEAR-SD</v>
      </c>
      <c r="D437" s="2">
        <f>IFERROR(__xludf.DUMMYFUNCTION("""COMPUTED_VALUE"""),0.0)</f>
        <v>0</v>
      </c>
      <c r="E437" s="2">
        <f>IFERROR(__xludf.DUMMYFUNCTION("""COMPUTED_VALUE"""),0.0)</f>
        <v>0</v>
      </c>
      <c r="F437" s="4">
        <f>IFERROR(__xludf.DUMMYFUNCTION("""COMPUTED_VALUE"""),0.0)</f>
        <v>0</v>
      </c>
      <c r="G437" s="4">
        <f>IFERROR(__xludf.DUMMYFUNCTION("""COMPUTED_VALUE"""),0.0)</f>
        <v>0</v>
      </c>
      <c r="H437" s="9">
        <f>IFERROR(__xludf.DUMMYFUNCTION("""COMPUTED_VALUE"""),1.1)</f>
        <v>1.1</v>
      </c>
      <c r="I437" s="4">
        <f>IFERROR(__xludf.DUMMYFUNCTION("""COMPUTED_VALUE"""),0.0)</f>
        <v>0</v>
      </c>
      <c r="J437" s="4">
        <f>IFERROR(__xludf.DUMMYFUNCTION("""COMPUTED_VALUE"""),0.0)</f>
        <v>0</v>
      </c>
      <c r="K437" s="4">
        <f>IFERROR(__xludf.DUMMYFUNCTION("""COMPUTED_VALUE"""),0.0)</f>
        <v>0</v>
      </c>
    </row>
    <row r="438" ht="22.5" customHeight="1">
      <c r="A438" s="2" t="str">
        <f>IFERROR(__xludf.DUMMYFUNCTION("""COMPUTED_VALUE"""),"L2")</f>
        <v>L2</v>
      </c>
      <c r="B438" s="2" t="str">
        <f>IFERROR(__xludf.DUMMYFUNCTION("""COMPUTED_VALUE"""),"2026-05")</f>
        <v>2026-05</v>
      </c>
      <c r="C438" s="2" t="str">
        <f>IFERROR(__xludf.DUMMYFUNCTION("""COMPUTED_VALUE"""),"GEAR-SD")</f>
        <v>GEAR-SD</v>
      </c>
      <c r="D438" s="2">
        <f>IFERROR(__xludf.DUMMYFUNCTION("""COMPUTED_VALUE"""),0.0)</f>
        <v>0</v>
      </c>
      <c r="E438" s="2">
        <f>IFERROR(__xludf.DUMMYFUNCTION("""COMPUTED_VALUE"""),0.0)</f>
        <v>0</v>
      </c>
      <c r="F438" s="4">
        <f>IFERROR(__xludf.DUMMYFUNCTION("""COMPUTED_VALUE"""),0.0)</f>
        <v>0</v>
      </c>
      <c r="G438" s="4">
        <f>IFERROR(__xludf.DUMMYFUNCTION("""COMPUTED_VALUE"""),0.0)</f>
        <v>0</v>
      </c>
      <c r="H438" s="9">
        <f>IFERROR(__xludf.DUMMYFUNCTION("""COMPUTED_VALUE"""),1.1)</f>
        <v>1.1</v>
      </c>
      <c r="I438" s="4">
        <f>IFERROR(__xludf.DUMMYFUNCTION("""COMPUTED_VALUE"""),0.0)</f>
        <v>0</v>
      </c>
      <c r="J438" s="4">
        <f>IFERROR(__xludf.DUMMYFUNCTION("""COMPUTED_VALUE"""),0.0)</f>
        <v>0</v>
      </c>
      <c r="K438" s="4">
        <f>IFERROR(__xludf.DUMMYFUNCTION("""COMPUTED_VALUE"""),0.0)</f>
        <v>0</v>
      </c>
    </row>
    <row r="439" ht="22.5" customHeight="1">
      <c r="A439" s="2" t="str">
        <f>IFERROR(__xludf.DUMMYFUNCTION("""COMPUTED_VALUE"""),"L2")</f>
        <v>L2</v>
      </c>
      <c r="B439" s="2" t="str">
        <f>IFERROR(__xludf.DUMMYFUNCTION("""COMPUTED_VALUE"""),"2026-06")</f>
        <v>2026-06</v>
      </c>
      <c r="C439" s="2" t="str">
        <f>IFERROR(__xludf.DUMMYFUNCTION("""COMPUTED_VALUE"""),"GEAR-SD")</f>
        <v>GEAR-SD</v>
      </c>
      <c r="D439" s="2">
        <f>IFERROR(__xludf.DUMMYFUNCTION("""COMPUTED_VALUE"""),0.0)</f>
        <v>0</v>
      </c>
      <c r="E439" s="2">
        <f>IFERROR(__xludf.DUMMYFUNCTION("""COMPUTED_VALUE"""),0.0)</f>
        <v>0</v>
      </c>
      <c r="F439" s="4">
        <f>IFERROR(__xludf.DUMMYFUNCTION("""COMPUTED_VALUE"""),0.0)</f>
        <v>0</v>
      </c>
      <c r="G439" s="4">
        <f>IFERROR(__xludf.DUMMYFUNCTION("""COMPUTED_VALUE"""),0.0)</f>
        <v>0</v>
      </c>
      <c r="H439" s="9">
        <f>IFERROR(__xludf.DUMMYFUNCTION("""COMPUTED_VALUE"""),1.1)</f>
        <v>1.1</v>
      </c>
      <c r="I439" s="4">
        <f>IFERROR(__xludf.DUMMYFUNCTION("""COMPUTED_VALUE"""),0.0)</f>
        <v>0</v>
      </c>
      <c r="J439" s="4">
        <f>IFERROR(__xludf.DUMMYFUNCTION("""COMPUTED_VALUE"""),0.0)</f>
        <v>0</v>
      </c>
      <c r="K439" s="4">
        <f>IFERROR(__xludf.DUMMYFUNCTION("""COMPUTED_VALUE"""),0.0)</f>
        <v>0</v>
      </c>
    </row>
    <row r="440" ht="22.5" customHeight="1">
      <c r="A440" s="2" t="str">
        <f>IFERROR(__xludf.DUMMYFUNCTION("""COMPUTED_VALUE"""),"L2")</f>
        <v>L2</v>
      </c>
      <c r="B440" s="2" t="str">
        <f>IFERROR(__xludf.DUMMYFUNCTION("""COMPUTED_VALUE"""),"2026-07")</f>
        <v>2026-07</v>
      </c>
      <c r="C440" s="2" t="str">
        <f>IFERROR(__xludf.DUMMYFUNCTION("""COMPUTED_VALUE"""),"GEAR-SD")</f>
        <v>GEAR-SD</v>
      </c>
      <c r="D440" s="2">
        <f>IFERROR(__xludf.DUMMYFUNCTION("""COMPUTED_VALUE"""),0.0)</f>
        <v>0</v>
      </c>
      <c r="E440" s="2">
        <f>IFERROR(__xludf.DUMMYFUNCTION("""COMPUTED_VALUE"""),0.0)</f>
        <v>0</v>
      </c>
      <c r="F440" s="4">
        <f>IFERROR(__xludf.DUMMYFUNCTION("""COMPUTED_VALUE"""),0.0)</f>
        <v>0</v>
      </c>
      <c r="G440" s="4">
        <f>IFERROR(__xludf.DUMMYFUNCTION("""COMPUTED_VALUE"""),0.0)</f>
        <v>0</v>
      </c>
      <c r="H440" s="9">
        <f>IFERROR(__xludf.DUMMYFUNCTION("""COMPUTED_VALUE"""),1.1)</f>
        <v>1.1</v>
      </c>
      <c r="I440" s="4">
        <f>IFERROR(__xludf.DUMMYFUNCTION("""COMPUTED_VALUE"""),0.0)</f>
        <v>0</v>
      </c>
      <c r="J440" s="4">
        <f>IFERROR(__xludf.DUMMYFUNCTION("""COMPUTED_VALUE"""),0.0)</f>
        <v>0</v>
      </c>
      <c r="K440" s="4">
        <f>IFERROR(__xludf.DUMMYFUNCTION("""COMPUTED_VALUE"""),0.0)</f>
        <v>0</v>
      </c>
    </row>
    <row r="441" ht="22.5" customHeight="1">
      <c r="A441" s="2" t="str">
        <f>IFERROR(__xludf.DUMMYFUNCTION("""COMPUTED_VALUE"""),"L2")</f>
        <v>L2</v>
      </c>
      <c r="B441" s="2" t="str">
        <f>IFERROR(__xludf.DUMMYFUNCTION("""COMPUTED_VALUE"""),"2026-08")</f>
        <v>2026-08</v>
      </c>
      <c r="C441" s="2" t="str">
        <f>IFERROR(__xludf.DUMMYFUNCTION("""COMPUTED_VALUE"""),"GEAR-SD")</f>
        <v>GEAR-SD</v>
      </c>
      <c r="D441" s="2">
        <f>IFERROR(__xludf.DUMMYFUNCTION("""COMPUTED_VALUE"""),0.0)</f>
        <v>0</v>
      </c>
      <c r="E441" s="2">
        <f>IFERROR(__xludf.DUMMYFUNCTION("""COMPUTED_VALUE"""),0.0)</f>
        <v>0</v>
      </c>
      <c r="F441" s="4">
        <f>IFERROR(__xludf.DUMMYFUNCTION("""COMPUTED_VALUE"""),0.0)</f>
        <v>0</v>
      </c>
      <c r="G441" s="4">
        <f>IFERROR(__xludf.DUMMYFUNCTION("""COMPUTED_VALUE"""),0.0)</f>
        <v>0</v>
      </c>
      <c r="H441" s="9">
        <f>IFERROR(__xludf.DUMMYFUNCTION("""COMPUTED_VALUE"""),1.1)</f>
        <v>1.1</v>
      </c>
      <c r="I441" s="4">
        <f>IFERROR(__xludf.DUMMYFUNCTION("""COMPUTED_VALUE"""),0.0)</f>
        <v>0</v>
      </c>
      <c r="J441" s="4">
        <f>IFERROR(__xludf.DUMMYFUNCTION("""COMPUTED_VALUE"""),0.0)</f>
        <v>0</v>
      </c>
      <c r="K441" s="4">
        <f>IFERROR(__xludf.DUMMYFUNCTION("""COMPUTED_VALUE"""),0.0)</f>
        <v>0</v>
      </c>
    </row>
    <row r="442" ht="22.5" customHeight="1">
      <c r="A442" s="2" t="str">
        <f>IFERROR(__xludf.DUMMYFUNCTION("""COMPUTED_VALUE"""),"L2")</f>
        <v>L2</v>
      </c>
      <c r="B442" s="2" t="str">
        <f>IFERROR(__xludf.DUMMYFUNCTION("""COMPUTED_VALUE"""),"2026-09")</f>
        <v>2026-09</v>
      </c>
      <c r="C442" s="2" t="str">
        <f>IFERROR(__xludf.DUMMYFUNCTION("""COMPUTED_VALUE"""),"GEAR-SD")</f>
        <v>GEAR-SD</v>
      </c>
      <c r="D442" s="2">
        <f>IFERROR(__xludf.DUMMYFUNCTION("""COMPUTED_VALUE"""),0.0)</f>
        <v>0</v>
      </c>
      <c r="E442" s="2">
        <f>IFERROR(__xludf.DUMMYFUNCTION("""COMPUTED_VALUE"""),0.0)</f>
        <v>0</v>
      </c>
      <c r="F442" s="4">
        <f>IFERROR(__xludf.DUMMYFUNCTION("""COMPUTED_VALUE"""),0.0)</f>
        <v>0</v>
      </c>
      <c r="G442" s="4">
        <f>IFERROR(__xludf.DUMMYFUNCTION("""COMPUTED_VALUE"""),0.0)</f>
        <v>0</v>
      </c>
      <c r="H442" s="9">
        <f>IFERROR(__xludf.DUMMYFUNCTION("""COMPUTED_VALUE"""),1.1)</f>
        <v>1.1</v>
      </c>
      <c r="I442" s="4">
        <f>IFERROR(__xludf.DUMMYFUNCTION("""COMPUTED_VALUE"""),0.0)</f>
        <v>0</v>
      </c>
      <c r="J442" s="4">
        <f>IFERROR(__xludf.DUMMYFUNCTION("""COMPUTED_VALUE"""),0.0)</f>
        <v>0</v>
      </c>
      <c r="K442" s="4">
        <f>IFERROR(__xludf.DUMMYFUNCTION("""COMPUTED_VALUE"""),0.0)</f>
        <v>0</v>
      </c>
    </row>
    <row r="443" ht="22.5" customHeight="1">
      <c r="A443" s="2" t="str">
        <f>IFERROR(__xludf.DUMMYFUNCTION("""COMPUTED_VALUE"""),"L2")</f>
        <v>L2</v>
      </c>
      <c r="B443" s="2" t="str">
        <f>IFERROR(__xludf.DUMMYFUNCTION("""COMPUTED_VALUE"""),"2026-10")</f>
        <v>2026-10</v>
      </c>
      <c r="C443" s="2" t="str">
        <f>IFERROR(__xludf.DUMMYFUNCTION("""COMPUTED_VALUE"""),"GEAR-SD")</f>
        <v>GEAR-SD</v>
      </c>
      <c r="D443" s="2">
        <f>IFERROR(__xludf.DUMMYFUNCTION("""COMPUTED_VALUE"""),0.0)</f>
        <v>0</v>
      </c>
      <c r="E443" s="2">
        <f>IFERROR(__xludf.DUMMYFUNCTION("""COMPUTED_VALUE"""),0.0)</f>
        <v>0</v>
      </c>
      <c r="F443" s="4">
        <f>IFERROR(__xludf.DUMMYFUNCTION("""COMPUTED_VALUE"""),0.0)</f>
        <v>0</v>
      </c>
      <c r="G443" s="4">
        <f>IFERROR(__xludf.DUMMYFUNCTION("""COMPUTED_VALUE"""),0.0)</f>
        <v>0</v>
      </c>
      <c r="H443" s="9">
        <f>IFERROR(__xludf.DUMMYFUNCTION("""COMPUTED_VALUE"""),1.1)</f>
        <v>1.1</v>
      </c>
      <c r="I443" s="4">
        <f>IFERROR(__xludf.DUMMYFUNCTION("""COMPUTED_VALUE"""),0.0)</f>
        <v>0</v>
      </c>
      <c r="J443" s="4">
        <f>IFERROR(__xludf.DUMMYFUNCTION("""COMPUTED_VALUE"""),0.0)</f>
        <v>0</v>
      </c>
      <c r="K443" s="4">
        <f>IFERROR(__xludf.DUMMYFUNCTION("""COMPUTED_VALUE"""),0.0)</f>
        <v>0</v>
      </c>
    </row>
    <row r="444" ht="22.5" customHeight="1">
      <c r="A444" s="2" t="str">
        <f>IFERROR(__xludf.DUMMYFUNCTION("""COMPUTED_VALUE"""),"L2")</f>
        <v>L2</v>
      </c>
      <c r="B444" s="2" t="str">
        <f>IFERROR(__xludf.DUMMYFUNCTION("""COMPUTED_VALUE"""),"2026-11")</f>
        <v>2026-11</v>
      </c>
      <c r="C444" s="2" t="str">
        <f>IFERROR(__xludf.DUMMYFUNCTION("""COMPUTED_VALUE"""),"GEAR-SD")</f>
        <v>GEAR-SD</v>
      </c>
      <c r="D444" s="2">
        <f>IFERROR(__xludf.DUMMYFUNCTION("""COMPUTED_VALUE"""),0.0)</f>
        <v>0</v>
      </c>
      <c r="E444" s="2">
        <f>IFERROR(__xludf.DUMMYFUNCTION("""COMPUTED_VALUE"""),0.0)</f>
        <v>0</v>
      </c>
      <c r="F444" s="4">
        <f>IFERROR(__xludf.DUMMYFUNCTION("""COMPUTED_VALUE"""),0.0)</f>
        <v>0</v>
      </c>
      <c r="G444" s="4">
        <f>IFERROR(__xludf.DUMMYFUNCTION("""COMPUTED_VALUE"""),0.0)</f>
        <v>0</v>
      </c>
      <c r="H444" s="9">
        <f>IFERROR(__xludf.DUMMYFUNCTION("""COMPUTED_VALUE"""),1.1)</f>
        <v>1.1</v>
      </c>
      <c r="I444" s="4">
        <f>IFERROR(__xludf.DUMMYFUNCTION("""COMPUTED_VALUE"""),0.0)</f>
        <v>0</v>
      </c>
      <c r="J444" s="4">
        <f>IFERROR(__xludf.DUMMYFUNCTION("""COMPUTED_VALUE"""),0.0)</f>
        <v>0</v>
      </c>
      <c r="K444" s="4">
        <f>IFERROR(__xludf.DUMMYFUNCTION("""COMPUTED_VALUE"""),0.0)</f>
        <v>0</v>
      </c>
    </row>
    <row r="445" ht="22.5" customHeight="1">
      <c r="A445" s="2" t="str">
        <f>IFERROR(__xludf.DUMMYFUNCTION("""COMPUTED_VALUE"""),"L2")</f>
        <v>L2</v>
      </c>
      <c r="B445" s="2" t="str">
        <f>IFERROR(__xludf.DUMMYFUNCTION("""COMPUTED_VALUE"""),"2026-12")</f>
        <v>2026-12</v>
      </c>
      <c r="C445" s="2" t="str">
        <f>IFERROR(__xludf.DUMMYFUNCTION("""COMPUTED_VALUE"""),"GEAR-SD")</f>
        <v>GEAR-SD</v>
      </c>
      <c r="D445" s="2">
        <f>IFERROR(__xludf.DUMMYFUNCTION("""COMPUTED_VALUE"""),0.0)</f>
        <v>0</v>
      </c>
      <c r="E445" s="2">
        <f>IFERROR(__xludf.DUMMYFUNCTION("""COMPUTED_VALUE"""),0.0)</f>
        <v>0</v>
      </c>
      <c r="F445" s="4">
        <f>IFERROR(__xludf.DUMMYFUNCTION("""COMPUTED_VALUE"""),0.0)</f>
        <v>0</v>
      </c>
      <c r="G445" s="4">
        <f>IFERROR(__xludf.DUMMYFUNCTION("""COMPUTED_VALUE"""),0.0)</f>
        <v>0</v>
      </c>
      <c r="H445" s="9">
        <f>IFERROR(__xludf.DUMMYFUNCTION("""COMPUTED_VALUE"""),1.1)</f>
        <v>1.1</v>
      </c>
      <c r="I445" s="4">
        <f>IFERROR(__xludf.DUMMYFUNCTION("""COMPUTED_VALUE"""),0.0)</f>
        <v>0</v>
      </c>
      <c r="J445" s="4">
        <f>IFERROR(__xludf.DUMMYFUNCTION("""COMPUTED_VALUE"""),0.0)</f>
        <v>0</v>
      </c>
      <c r="K445" s="4">
        <f>IFERROR(__xludf.DUMMYFUNCTION("""COMPUTED_VALUE"""),0.0)</f>
        <v>0</v>
      </c>
    </row>
    <row r="446" ht="22.5" customHeight="1">
      <c r="A446" s="2" t="str">
        <f>IFERROR(__xludf.DUMMYFUNCTION("""COMPUTED_VALUE"""),"L2")</f>
        <v>L2</v>
      </c>
      <c r="B446" s="2" t="str">
        <f>IFERROR(__xludf.DUMMYFUNCTION("""COMPUTED_VALUE"""),"2026-01")</f>
        <v>2026-01</v>
      </c>
      <c r="C446" s="2" t="str">
        <f>IFERROR(__xludf.DUMMYFUNCTION("""COMPUTED_VALUE"""),"GEAR-SD - LX")</f>
        <v>GEAR-SD - LX</v>
      </c>
      <c r="D446" s="2">
        <f>IFERROR(__xludf.DUMMYFUNCTION("""COMPUTED_VALUE"""),0.0)</f>
        <v>0</v>
      </c>
      <c r="E446" s="2">
        <f>IFERROR(__xludf.DUMMYFUNCTION("""COMPUTED_VALUE"""),0.0)</f>
        <v>0</v>
      </c>
      <c r="F446" s="4">
        <f>IFERROR(__xludf.DUMMYFUNCTION("""COMPUTED_VALUE"""),0.0)</f>
        <v>0</v>
      </c>
      <c r="G446" s="4">
        <f>IFERROR(__xludf.DUMMYFUNCTION("""COMPUTED_VALUE"""),0.0)</f>
        <v>0</v>
      </c>
      <c r="H446" s="9">
        <f>IFERROR(__xludf.DUMMYFUNCTION("""COMPUTED_VALUE"""),1.1)</f>
        <v>1.1</v>
      </c>
      <c r="I446" s="4">
        <f>IFERROR(__xludf.DUMMYFUNCTION("""COMPUTED_VALUE"""),0.0)</f>
        <v>0</v>
      </c>
      <c r="J446" s="4">
        <f>IFERROR(__xludf.DUMMYFUNCTION("""COMPUTED_VALUE"""),0.0)</f>
        <v>0</v>
      </c>
      <c r="K446" s="4">
        <f>IFERROR(__xludf.DUMMYFUNCTION("""COMPUTED_VALUE"""),0.0)</f>
        <v>0</v>
      </c>
    </row>
    <row r="447" ht="22.5" customHeight="1">
      <c r="A447" s="2" t="str">
        <f>IFERROR(__xludf.DUMMYFUNCTION("""COMPUTED_VALUE"""),"L2")</f>
        <v>L2</v>
      </c>
      <c r="B447" s="2" t="str">
        <f>IFERROR(__xludf.DUMMYFUNCTION("""COMPUTED_VALUE"""),"2026-02")</f>
        <v>2026-02</v>
      </c>
      <c r="C447" s="2" t="str">
        <f>IFERROR(__xludf.DUMMYFUNCTION("""COMPUTED_VALUE"""),"GEAR-SD - LX")</f>
        <v>GEAR-SD - LX</v>
      </c>
      <c r="D447" s="2">
        <f>IFERROR(__xludf.DUMMYFUNCTION("""COMPUTED_VALUE"""),265.0)</f>
        <v>265</v>
      </c>
      <c r="E447" s="2">
        <f>IFERROR(__xludf.DUMMYFUNCTION("""COMPUTED_VALUE"""),9.0)</f>
        <v>9</v>
      </c>
      <c r="F447" s="4">
        <f>IFERROR(__xludf.DUMMYFUNCTION("""COMPUTED_VALUE"""),1077415.8)</f>
        <v>1077415.8</v>
      </c>
      <c r="G447" s="4">
        <f>IFERROR(__xludf.DUMMYFUNCTION("""COMPUTED_VALUE"""),2565.0)</f>
        <v>2565</v>
      </c>
      <c r="H447" s="9">
        <f>IFERROR(__xludf.DUMMYFUNCTION("""COMPUTED_VALUE"""),1.1)</f>
        <v>1.1</v>
      </c>
      <c r="I447" s="4">
        <f>IFERROR(__xludf.DUMMYFUNCTION("""COMPUTED_VALUE"""),1187978.8800000001)</f>
        <v>1187978.88</v>
      </c>
      <c r="J447" s="4">
        <f>IFERROR(__xludf.DUMMYFUNCTION("""COMPUTED_VALUE"""),0.0)</f>
        <v>0</v>
      </c>
      <c r="K447" s="4">
        <f>IFERROR(__xludf.DUMMYFUNCTION("""COMPUTED_VALUE"""),1187978.8800000001)</f>
        <v>1187978.88</v>
      </c>
    </row>
    <row r="448" ht="22.5" customHeight="1">
      <c r="A448" s="2" t="str">
        <f>IFERROR(__xludf.DUMMYFUNCTION("""COMPUTED_VALUE"""),"L2")</f>
        <v>L2</v>
      </c>
      <c r="B448" s="2" t="str">
        <f>IFERROR(__xludf.DUMMYFUNCTION("""COMPUTED_VALUE"""),"2026-03")</f>
        <v>2026-03</v>
      </c>
      <c r="C448" s="2" t="str">
        <f>IFERROR(__xludf.DUMMYFUNCTION("""COMPUTED_VALUE"""),"GEAR-SD - LX")</f>
        <v>GEAR-SD - LX</v>
      </c>
      <c r="D448" s="2">
        <f>IFERROR(__xludf.DUMMYFUNCTION("""COMPUTED_VALUE"""),174.0)</f>
        <v>174</v>
      </c>
      <c r="E448" s="2">
        <f>IFERROR(__xludf.DUMMYFUNCTION("""COMPUTED_VALUE"""),5.0)</f>
        <v>5</v>
      </c>
      <c r="F448" s="4">
        <f>IFERROR(__xludf.DUMMYFUNCTION("""COMPUTED_VALUE"""),707435.2799999999)</f>
        <v>707435.28</v>
      </c>
      <c r="G448" s="4">
        <f>IFERROR(__xludf.DUMMYFUNCTION("""COMPUTED_VALUE"""),1425.0)</f>
        <v>1425</v>
      </c>
      <c r="H448" s="9">
        <f>IFERROR(__xludf.DUMMYFUNCTION("""COMPUTED_VALUE"""),1.1)</f>
        <v>1.1</v>
      </c>
      <c r="I448" s="4">
        <f>IFERROR(__xludf.DUMMYFUNCTION("""COMPUTED_VALUE"""),779746.308)</f>
        <v>779746.308</v>
      </c>
      <c r="J448" s="4">
        <f>IFERROR(__xludf.DUMMYFUNCTION("""COMPUTED_VALUE"""),0.0)</f>
        <v>0</v>
      </c>
      <c r="K448" s="4">
        <f>IFERROR(__xludf.DUMMYFUNCTION("""COMPUTED_VALUE"""),779746.308)</f>
        <v>779746.308</v>
      </c>
    </row>
    <row r="449" ht="22.5" customHeight="1">
      <c r="A449" s="2" t="str">
        <f>IFERROR(__xludf.DUMMYFUNCTION("""COMPUTED_VALUE"""),"L2")</f>
        <v>L2</v>
      </c>
      <c r="B449" s="2" t="str">
        <f>IFERROR(__xludf.DUMMYFUNCTION("""COMPUTED_VALUE"""),"2026-04")</f>
        <v>2026-04</v>
      </c>
      <c r="C449" s="2" t="str">
        <f>IFERROR(__xludf.DUMMYFUNCTION("""COMPUTED_VALUE"""),"GEAR-SD - LX")</f>
        <v>GEAR-SD - LX</v>
      </c>
      <c r="D449" s="2">
        <f>IFERROR(__xludf.DUMMYFUNCTION("""COMPUTED_VALUE"""),0.0)</f>
        <v>0</v>
      </c>
      <c r="E449" s="2">
        <f>IFERROR(__xludf.DUMMYFUNCTION("""COMPUTED_VALUE"""),0.0)</f>
        <v>0</v>
      </c>
      <c r="F449" s="4">
        <f>IFERROR(__xludf.DUMMYFUNCTION("""COMPUTED_VALUE"""),0.0)</f>
        <v>0</v>
      </c>
      <c r="G449" s="4">
        <f>IFERROR(__xludf.DUMMYFUNCTION("""COMPUTED_VALUE"""),0.0)</f>
        <v>0</v>
      </c>
      <c r="H449" s="9">
        <f>IFERROR(__xludf.DUMMYFUNCTION("""COMPUTED_VALUE"""),1.1)</f>
        <v>1.1</v>
      </c>
      <c r="I449" s="4">
        <f>IFERROR(__xludf.DUMMYFUNCTION("""COMPUTED_VALUE"""),0.0)</f>
        <v>0</v>
      </c>
      <c r="J449" s="4">
        <f>IFERROR(__xludf.DUMMYFUNCTION("""COMPUTED_VALUE"""),0.0)</f>
        <v>0</v>
      </c>
      <c r="K449" s="4">
        <f>IFERROR(__xludf.DUMMYFUNCTION("""COMPUTED_VALUE"""),0.0)</f>
        <v>0</v>
      </c>
    </row>
    <row r="450" ht="22.5" customHeight="1">
      <c r="A450" s="2" t="str">
        <f>IFERROR(__xludf.DUMMYFUNCTION("""COMPUTED_VALUE"""),"L2")</f>
        <v>L2</v>
      </c>
      <c r="B450" s="2" t="str">
        <f>IFERROR(__xludf.DUMMYFUNCTION("""COMPUTED_VALUE"""),"2026-05")</f>
        <v>2026-05</v>
      </c>
      <c r="C450" s="2" t="str">
        <f>IFERROR(__xludf.DUMMYFUNCTION("""COMPUTED_VALUE"""),"GEAR-SD - LX")</f>
        <v>GEAR-SD - LX</v>
      </c>
      <c r="D450" s="2">
        <f>IFERROR(__xludf.DUMMYFUNCTION("""COMPUTED_VALUE"""),0.0)</f>
        <v>0</v>
      </c>
      <c r="E450" s="2">
        <f>IFERROR(__xludf.DUMMYFUNCTION("""COMPUTED_VALUE"""),0.0)</f>
        <v>0</v>
      </c>
      <c r="F450" s="4">
        <f>IFERROR(__xludf.DUMMYFUNCTION("""COMPUTED_VALUE"""),0.0)</f>
        <v>0</v>
      </c>
      <c r="G450" s="4">
        <f>IFERROR(__xludf.DUMMYFUNCTION("""COMPUTED_VALUE"""),0.0)</f>
        <v>0</v>
      </c>
      <c r="H450" s="9">
        <f>IFERROR(__xludf.DUMMYFUNCTION("""COMPUTED_VALUE"""),1.1)</f>
        <v>1.1</v>
      </c>
      <c r="I450" s="4">
        <f>IFERROR(__xludf.DUMMYFUNCTION("""COMPUTED_VALUE"""),0.0)</f>
        <v>0</v>
      </c>
      <c r="J450" s="4">
        <f>IFERROR(__xludf.DUMMYFUNCTION("""COMPUTED_VALUE"""),0.0)</f>
        <v>0</v>
      </c>
      <c r="K450" s="4">
        <f>IFERROR(__xludf.DUMMYFUNCTION("""COMPUTED_VALUE"""),0.0)</f>
        <v>0</v>
      </c>
    </row>
    <row r="451" ht="22.5" customHeight="1">
      <c r="A451" s="2" t="str">
        <f>IFERROR(__xludf.DUMMYFUNCTION("""COMPUTED_VALUE"""),"L2")</f>
        <v>L2</v>
      </c>
      <c r="B451" s="2" t="str">
        <f>IFERROR(__xludf.DUMMYFUNCTION("""COMPUTED_VALUE"""),"2026-06")</f>
        <v>2026-06</v>
      </c>
      <c r="C451" s="2" t="str">
        <f>IFERROR(__xludf.DUMMYFUNCTION("""COMPUTED_VALUE"""),"GEAR-SD - LX")</f>
        <v>GEAR-SD - LX</v>
      </c>
      <c r="D451" s="2">
        <f>IFERROR(__xludf.DUMMYFUNCTION("""COMPUTED_VALUE"""),0.0)</f>
        <v>0</v>
      </c>
      <c r="E451" s="2">
        <f>IFERROR(__xludf.DUMMYFUNCTION("""COMPUTED_VALUE"""),0.0)</f>
        <v>0</v>
      </c>
      <c r="F451" s="4">
        <f>IFERROR(__xludf.DUMMYFUNCTION("""COMPUTED_VALUE"""),0.0)</f>
        <v>0</v>
      </c>
      <c r="G451" s="4">
        <f>IFERROR(__xludf.DUMMYFUNCTION("""COMPUTED_VALUE"""),0.0)</f>
        <v>0</v>
      </c>
      <c r="H451" s="9">
        <f>IFERROR(__xludf.DUMMYFUNCTION("""COMPUTED_VALUE"""),1.1)</f>
        <v>1.1</v>
      </c>
      <c r="I451" s="4">
        <f>IFERROR(__xludf.DUMMYFUNCTION("""COMPUTED_VALUE"""),0.0)</f>
        <v>0</v>
      </c>
      <c r="J451" s="4">
        <f>IFERROR(__xludf.DUMMYFUNCTION("""COMPUTED_VALUE"""),0.0)</f>
        <v>0</v>
      </c>
      <c r="K451" s="4">
        <f>IFERROR(__xludf.DUMMYFUNCTION("""COMPUTED_VALUE"""),0.0)</f>
        <v>0</v>
      </c>
    </row>
    <row r="452" ht="22.5" customHeight="1">
      <c r="A452" s="2" t="str">
        <f>IFERROR(__xludf.DUMMYFUNCTION("""COMPUTED_VALUE"""),"L2")</f>
        <v>L2</v>
      </c>
      <c r="B452" s="2" t="str">
        <f>IFERROR(__xludf.DUMMYFUNCTION("""COMPUTED_VALUE"""),"2026-07")</f>
        <v>2026-07</v>
      </c>
      <c r="C452" s="2" t="str">
        <f>IFERROR(__xludf.DUMMYFUNCTION("""COMPUTED_VALUE"""),"GEAR-SD - LX")</f>
        <v>GEAR-SD - LX</v>
      </c>
      <c r="D452" s="2">
        <f>IFERROR(__xludf.DUMMYFUNCTION("""COMPUTED_VALUE"""),0.0)</f>
        <v>0</v>
      </c>
      <c r="E452" s="2">
        <f>IFERROR(__xludf.DUMMYFUNCTION("""COMPUTED_VALUE"""),0.0)</f>
        <v>0</v>
      </c>
      <c r="F452" s="4">
        <f>IFERROR(__xludf.DUMMYFUNCTION("""COMPUTED_VALUE"""),0.0)</f>
        <v>0</v>
      </c>
      <c r="G452" s="4">
        <f>IFERROR(__xludf.DUMMYFUNCTION("""COMPUTED_VALUE"""),0.0)</f>
        <v>0</v>
      </c>
      <c r="H452" s="9">
        <f>IFERROR(__xludf.DUMMYFUNCTION("""COMPUTED_VALUE"""),1.1)</f>
        <v>1.1</v>
      </c>
      <c r="I452" s="4">
        <f>IFERROR(__xludf.DUMMYFUNCTION("""COMPUTED_VALUE"""),0.0)</f>
        <v>0</v>
      </c>
      <c r="J452" s="4">
        <f>IFERROR(__xludf.DUMMYFUNCTION("""COMPUTED_VALUE"""),0.0)</f>
        <v>0</v>
      </c>
      <c r="K452" s="4">
        <f>IFERROR(__xludf.DUMMYFUNCTION("""COMPUTED_VALUE"""),0.0)</f>
        <v>0</v>
      </c>
    </row>
    <row r="453" ht="22.5" customHeight="1">
      <c r="A453" s="2" t="str">
        <f>IFERROR(__xludf.DUMMYFUNCTION("""COMPUTED_VALUE"""),"L2")</f>
        <v>L2</v>
      </c>
      <c r="B453" s="2" t="str">
        <f>IFERROR(__xludf.DUMMYFUNCTION("""COMPUTED_VALUE"""),"2026-08")</f>
        <v>2026-08</v>
      </c>
      <c r="C453" s="2" t="str">
        <f>IFERROR(__xludf.DUMMYFUNCTION("""COMPUTED_VALUE"""),"GEAR-SD - LX")</f>
        <v>GEAR-SD - LX</v>
      </c>
      <c r="D453" s="2">
        <f>IFERROR(__xludf.DUMMYFUNCTION("""COMPUTED_VALUE"""),0.0)</f>
        <v>0</v>
      </c>
      <c r="E453" s="2">
        <f>IFERROR(__xludf.DUMMYFUNCTION("""COMPUTED_VALUE"""),0.0)</f>
        <v>0</v>
      </c>
      <c r="F453" s="4">
        <f>IFERROR(__xludf.DUMMYFUNCTION("""COMPUTED_VALUE"""),0.0)</f>
        <v>0</v>
      </c>
      <c r="G453" s="4">
        <f>IFERROR(__xludf.DUMMYFUNCTION("""COMPUTED_VALUE"""),0.0)</f>
        <v>0</v>
      </c>
      <c r="H453" s="9">
        <f>IFERROR(__xludf.DUMMYFUNCTION("""COMPUTED_VALUE"""),1.1)</f>
        <v>1.1</v>
      </c>
      <c r="I453" s="4">
        <f>IFERROR(__xludf.DUMMYFUNCTION("""COMPUTED_VALUE"""),0.0)</f>
        <v>0</v>
      </c>
      <c r="J453" s="4">
        <f>IFERROR(__xludf.DUMMYFUNCTION("""COMPUTED_VALUE"""),0.0)</f>
        <v>0</v>
      </c>
      <c r="K453" s="4">
        <f>IFERROR(__xludf.DUMMYFUNCTION("""COMPUTED_VALUE"""),0.0)</f>
        <v>0</v>
      </c>
    </row>
    <row r="454" ht="22.5" customHeight="1">
      <c r="A454" s="2" t="str">
        <f>IFERROR(__xludf.DUMMYFUNCTION("""COMPUTED_VALUE"""),"L2")</f>
        <v>L2</v>
      </c>
      <c r="B454" s="2" t="str">
        <f>IFERROR(__xludf.DUMMYFUNCTION("""COMPUTED_VALUE"""),"2026-09")</f>
        <v>2026-09</v>
      </c>
      <c r="C454" s="2" t="str">
        <f>IFERROR(__xludf.DUMMYFUNCTION("""COMPUTED_VALUE"""),"GEAR-SD - LX")</f>
        <v>GEAR-SD - LX</v>
      </c>
      <c r="D454" s="2">
        <f>IFERROR(__xludf.DUMMYFUNCTION("""COMPUTED_VALUE"""),0.0)</f>
        <v>0</v>
      </c>
      <c r="E454" s="2">
        <f>IFERROR(__xludf.DUMMYFUNCTION("""COMPUTED_VALUE"""),0.0)</f>
        <v>0</v>
      </c>
      <c r="F454" s="4">
        <f>IFERROR(__xludf.DUMMYFUNCTION("""COMPUTED_VALUE"""),0.0)</f>
        <v>0</v>
      </c>
      <c r="G454" s="4">
        <f>IFERROR(__xludf.DUMMYFUNCTION("""COMPUTED_VALUE"""),0.0)</f>
        <v>0</v>
      </c>
      <c r="H454" s="9">
        <f>IFERROR(__xludf.DUMMYFUNCTION("""COMPUTED_VALUE"""),1.1)</f>
        <v>1.1</v>
      </c>
      <c r="I454" s="4">
        <f>IFERROR(__xludf.DUMMYFUNCTION("""COMPUTED_VALUE"""),0.0)</f>
        <v>0</v>
      </c>
      <c r="J454" s="4">
        <f>IFERROR(__xludf.DUMMYFUNCTION("""COMPUTED_VALUE"""),0.0)</f>
        <v>0</v>
      </c>
      <c r="K454" s="4">
        <f>IFERROR(__xludf.DUMMYFUNCTION("""COMPUTED_VALUE"""),0.0)</f>
        <v>0</v>
      </c>
    </row>
    <row r="455" ht="22.5" customHeight="1">
      <c r="A455" s="2" t="str">
        <f>IFERROR(__xludf.DUMMYFUNCTION("""COMPUTED_VALUE"""),"L2")</f>
        <v>L2</v>
      </c>
      <c r="B455" s="2" t="str">
        <f>IFERROR(__xludf.DUMMYFUNCTION("""COMPUTED_VALUE"""),"2026-10")</f>
        <v>2026-10</v>
      </c>
      <c r="C455" s="2" t="str">
        <f>IFERROR(__xludf.DUMMYFUNCTION("""COMPUTED_VALUE"""),"GEAR-SD - LX")</f>
        <v>GEAR-SD - LX</v>
      </c>
      <c r="D455" s="2">
        <f>IFERROR(__xludf.DUMMYFUNCTION("""COMPUTED_VALUE"""),0.0)</f>
        <v>0</v>
      </c>
      <c r="E455" s="2">
        <f>IFERROR(__xludf.DUMMYFUNCTION("""COMPUTED_VALUE"""),0.0)</f>
        <v>0</v>
      </c>
      <c r="F455" s="4">
        <f>IFERROR(__xludf.DUMMYFUNCTION("""COMPUTED_VALUE"""),0.0)</f>
        <v>0</v>
      </c>
      <c r="G455" s="4">
        <f>IFERROR(__xludf.DUMMYFUNCTION("""COMPUTED_VALUE"""),0.0)</f>
        <v>0</v>
      </c>
      <c r="H455" s="9">
        <f>IFERROR(__xludf.DUMMYFUNCTION("""COMPUTED_VALUE"""),1.1)</f>
        <v>1.1</v>
      </c>
      <c r="I455" s="4">
        <f>IFERROR(__xludf.DUMMYFUNCTION("""COMPUTED_VALUE"""),0.0)</f>
        <v>0</v>
      </c>
      <c r="J455" s="4">
        <f>IFERROR(__xludf.DUMMYFUNCTION("""COMPUTED_VALUE"""),0.0)</f>
        <v>0</v>
      </c>
      <c r="K455" s="4">
        <f>IFERROR(__xludf.DUMMYFUNCTION("""COMPUTED_VALUE"""),0.0)</f>
        <v>0</v>
      </c>
    </row>
    <row r="456" ht="22.5" customHeight="1">
      <c r="A456" s="2" t="str">
        <f>IFERROR(__xludf.DUMMYFUNCTION("""COMPUTED_VALUE"""),"L2")</f>
        <v>L2</v>
      </c>
      <c r="B456" s="2" t="str">
        <f>IFERROR(__xludf.DUMMYFUNCTION("""COMPUTED_VALUE"""),"2026-11")</f>
        <v>2026-11</v>
      </c>
      <c r="C456" s="2" t="str">
        <f>IFERROR(__xludf.DUMMYFUNCTION("""COMPUTED_VALUE"""),"GEAR-SD - LX")</f>
        <v>GEAR-SD - LX</v>
      </c>
      <c r="D456" s="2">
        <f>IFERROR(__xludf.DUMMYFUNCTION("""COMPUTED_VALUE"""),0.0)</f>
        <v>0</v>
      </c>
      <c r="E456" s="2">
        <f>IFERROR(__xludf.DUMMYFUNCTION("""COMPUTED_VALUE"""),0.0)</f>
        <v>0</v>
      </c>
      <c r="F456" s="4">
        <f>IFERROR(__xludf.DUMMYFUNCTION("""COMPUTED_VALUE"""),0.0)</f>
        <v>0</v>
      </c>
      <c r="G456" s="4">
        <f>IFERROR(__xludf.DUMMYFUNCTION("""COMPUTED_VALUE"""),0.0)</f>
        <v>0</v>
      </c>
      <c r="H456" s="9">
        <f>IFERROR(__xludf.DUMMYFUNCTION("""COMPUTED_VALUE"""),1.1)</f>
        <v>1.1</v>
      </c>
      <c r="I456" s="4">
        <f>IFERROR(__xludf.DUMMYFUNCTION("""COMPUTED_VALUE"""),0.0)</f>
        <v>0</v>
      </c>
      <c r="J456" s="4">
        <f>IFERROR(__xludf.DUMMYFUNCTION("""COMPUTED_VALUE"""),0.0)</f>
        <v>0</v>
      </c>
      <c r="K456" s="4">
        <f>IFERROR(__xludf.DUMMYFUNCTION("""COMPUTED_VALUE"""),0.0)</f>
        <v>0</v>
      </c>
    </row>
    <row r="457" ht="22.5" customHeight="1">
      <c r="A457" s="2" t="str">
        <f>IFERROR(__xludf.DUMMYFUNCTION("""COMPUTED_VALUE"""),"L2")</f>
        <v>L2</v>
      </c>
      <c r="B457" s="2" t="str">
        <f>IFERROR(__xludf.DUMMYFUNCTION("""COMPUTED_VALUE"""),"2026-12")</f>
        <v>2026-12</v>
      </c>
      <c r="C457" s="2" t="str">
        <f>IFERROR(__xludf.DUMMYFUNCTION("""COMPUTED_VALUE"""),"GEAR-SD - LX")</f>
        <v>GEAR-SD - LX</v>
      </c>
      <c r="D457" s="2">
        <f>IFERROR(__xludf.DUMMYFUNCTION("""COMPUTED_VALUE"""),0.0)</f>
        <v>0</v>
      </c>
      <c r="E457" s="2">
        <f>IFERROR(__xludf.DUMMYFUNCTION("""COMPUTED_VALUE"""),0.0)</f>
        <v>0</v>
      </c>
      <c r="F457" s="4">
        <f>IFERROR(__xludf.DUMMYFUNCTION("""COMPUTED_VALUE"""),0.0)</f>
        <v>0</v>
      </c>
      <c r="G457" s="4">
        <f>IFERROR(__xludf.DUMMYFUNCTION("""COMPUTED_VALUE"""),0.0)</f>
        <v>0</v>
      </c>
      <c r="H457" s="9">
        <f>IFERROR(__xludf.DUMMYFUNCTION("""COMPUTED_VALUE"""),1.1)</f>
        <v>1.1</v>
      </c>
      <c r="I457" s="4">
        <f>IFERROR(__xludf.DUMMYFUNCTION("""COMPUTED_VALUE"""),0.0)</f>
        <v>0</v>
      </c>
      <c r="J457" s="4">
        <f>IFERROR(__xludf.DUMMYFUNCTION("""COMPUTED_VALUE"""),0.0)</f>
        <v>0</v>
      </c>
      <c r="K457" s="4">
        <f>IFERROR(__xludf.DUMMYFUNCTION("""COMPUTED_VALUE"""),0.0)</f>
        <v>0</v>
      </c>
    </row>
    <row r="458" ht="22.5" customHeight="1">
      <c r="A458" s="2" t="str">
        <f>IFERROR(__xludf.DUMMYFUNCTION("""COMPUTED_VALUE"""),"L2")</f>
        <v>L2</v>
      </c>
      <c r="B458" s="2" t="str">
        <f>IFERROR(__xludf.DUMMYFUNCTION("""COMPUTED_VALUE"""),"2026-01")</f>
        <v>2026-01</v>
      </c>
      <c r="C458" s="2" t="str">
        <f>IFERROR(__xludf.DUMMYFUNCTION("""COMPUTED_VALUE"""),"GEAR-SUV")</f>
        <v>GEAR-SUV</v>
      </c>
      <c r="D458" s="2">
        <f>IFERROR(__xludf.DUMMYFUNCTION("""COMPUTED_VALUE"""),289.0)</f>
        <v>289</v>
      </c>
      <c r="E458" s="2">
        <f>IFERROR(__xludf.DUMMYFUNCTION("""COMPUTED_VALUE"""),6.0)</f>
        <v>6</v>
      </c>
      <c r="F458" s="4">
        <f>IFERROR(__xludf.DUMMYFUNCTION("""COMPUTED_VALUE"""),390621.07)</f>
        <v>390621.07</v>
      </c>
      <c r="G458" s="4">
        <f>IFERROR(__xludf.DUMMYFUNCTION("""COMPUTED_VALUE"""),1710.0)</f>
        <v>1710</v>
      </c>
      <c r="H458" s="9">
        <f>IFERROR(__xludf.DUMMYFUNCTION("""COMPUTED_VALUE"""),1.1)</f>
        <v>1.1</v>
      </c>
      <c r="I458" s="4">
        <f>IFERROR(__xludf.DUMMYFUNCTION("""COMPUTED_VALUE"""),431564.177)</f>
        <v>431564.177</v>
      </c>
      <c r="J458" s="4">
        <f>IFERROR(__xludf.DUMMYFUNCTION("""COMPUTED_VALUE"""),0.0)</f>
        <v>0</v>
      </c>
      <c r="K458" s="4">
        <f>IFERROR(__xludf.DUMMYFUNCTION("""COMPUTED_VALUE"""),431564.177)</f>
        <v>431564.177</v>
      </c>
    </row>
    <row r="459" ht="22.5" customHeight="1">
      <c r="A459" s="2" t="str">
        <f>IFERROR(__xludf.DUMMYFUNCTION("""COMPUTED_VALUE"""),"L2")</f>
        <v>L2</v>
      </c>
      <c r="B459" s="2" t="str">
        <f>IFERROR(__xludf.DUMMYFUNCTION("""COMPUTED_VALUE"""),"2026-02")</f>
        <v>2026-02</v>
      </c>
      <c r="C459" s="2" t="str">
        <f>IFERROR(__xludf.DUMMYFUNCTION("""COMPUTED_VALUE"""),"GEAR-SUV")</f>
        <v>GEAR-SUV</v>
      </c>
      <c r="D459" s="2">
        <f>IFERROR(__xludf.DUMMYFUNCTION("""COMPUTED_VALUE"""),486.0)</f>
        <v>486</v>
      </c>
      <c r="E459" s="2">
        <f>IFERROR(__xludf.DUMMYFUNCTION("""COMPUTED_VALUE"""),10.0)</f>
        <v>10</v>
      </c>
      <c r="F459" s="4">
        <f>IFERROR(__xludf.DUMMYFUNCTION("""COMPUTED_VALUE"""),656892.18)</f>
        <v>656892.18</v>
      </c>
      <c r="G459" s="4">
        <f>IFERROR(__xludf.DUMMYFUNCTION("""COMPUTED_VALUE"""),2850.0)</f>
        <v>2850</v>
      </c>
      <c r="H459" s="9">
        <f>IFERROR(__xludf.DUMMYFUNCTION("""COMPUTED_VALUE"""),1.1)</f>
        <v>1.1</v>
      </c>
      <c r="I459" s="4">
        <f>IFERROR(__xludf.DUMMYFUNCTION("""COMPUTED_VALUE"""),725716.3980000002)</f>
        <v>725716.398</v>
      </c>
      <c r="J459" s="4">
        <f>IFERROR(__xludf.DUMMYFUNCTION("""COMPUTED_VALUE"""),0.0)</f>
        <v>0</v>
      </c>
      <c r="K459" s="4">
        <f>IFERROR(__xludf.DUMMYFUNCTION("""COMPUTED_VALUE"""),725716.3980000002)</f>
        <v>725716.398</v>
      </c>
    </row>
    <row r="460" ht="22.5" customHeight="1">
      <c r="A460" s="2" t="str">
        <f>IFERROR(__xludf.DUMMYFUNCTION("""COMPUTED_VALUE"""),"L2")</f>
        <v>L2</v>
      </c>
      <c r="B460" s="2" t="str">
        <f>IFERROR(__xludf.DUMMYFUNCTION("""COMPUTED_VALUE"""),"2026-03")</f>
        <v>2026-03</v>
      </c>
      <c r="C460" s="2" t="str">
        <f>IFERROR(__xludf.DUMMYFUNCTION("""COMPUTED_VALUE"""),"GEAR-SUV")</f>
        <v>GEAR-SUV</v>
      </c>
      <c r="D460" s="2">
        <f>IFERROR(__xludf.DUMMYFUNCTION("""COMPUTED_VALUE"""),0.0)</f>
        <v>0</v>
      </c>
      <c r="E460" s="2">
        <f>IFERROR(__xludf.DUMMYFUNCTION("""COMPUTED_VALUE"""),0.0)</f>
        <v>0</v>
      </c>
      <c r="F460" s="4">
        <f>IFERROR(__xludf.DUMMYFUNCTION("""COMPUTED_VALUE"""),0.0)</f>
        <v>0</v>
      </c>
      <c r="G460" s="4">
        <f>IFERROR(__xludf.DUMMYFUNCTION("""COMPUTED_VALUE"""),0.0)</f>
        <v>0</v>
      </c>
      <c r="H460" s="9">
        <f>IFERROR(__xludf.DUMMYFUNCTION("""COMPUTED_VALUE"""),1.1)</f>
        <v>1.1</v>
      </c>
      <c r="I460" s="4">
        <f>IFERROR(__xludf.DUMMYFUNCTION("""COMPUTED_VALUE"""),0.0)</f>
        <v>0</v>
      </c>
      <c r="J460" s="4">
        <f>IFERROR(__xludf.DUMMYFUNCTION("""COMPUTED_VALUE"""),0.0)</f>
        <v>0</v>
      </c>
      <c r="K460" s="4">
        <f>IFERROR(__xludf.DUMMYFUNCTION("""COMPUTED_VALUE"""),0.0)</f>
        <v>0</v>
      </c>
    </row>
    <row r="461" ht="22.5" customHeight="1">
      <c r="A461" s="2" t="str">
        <f>IFERROR(__xludf.DUMMYFUNCTION("""COMPUTED_VALUE"""),"L2")</f>
        <v>L2</v>
      </c>
      <c r="B461" s="2" t="str">
        <f>IFERROR(__xludf.DUMMYFUNCTION("""COMPUTED_VALUE"""),"2026-04")</f>
        <v>2026-04</v>
      </c>
      <c r="C461" s="2" t="str">
        <f>IFERROR(__xludf.DUMMYFUNCTION("""COMPUTED_VALUE"""),"GEAR-SUV")</f>
        <v>GEAR-SUV</v>
      </c>
      <c r="D461" s="2">
        <f>IFERROR(__xludf.DUMMYFUNCTION("""COMPUTED_VALUE"""),0.0)</f>
        <v>0</v>
      </c>
      <c r="E461" s="2">
        <f>IFERROR(__xludf.DUMMYFUNCTION("""COMPUTED_VALUE"""),0.0)</f>
        <v>0</v>
      </c>
      <c r="F461" s="4">
        <f>IFERROR(__xludf.DUMMYFUNCTION("""COMPUTED_VALUE"""),0.0)</f>
        <v>0</v>
      </c>
      <c r="G461" s="4">
        <f>IFERROR(__xludf.DUMMYFUNCTION("""COMPUTED_VALUE"""),0.0)</f>
        <v>0</v>
      </c>
      <c r="H461" s="9">
        <f>IFERROR(__xludf.DUMMYFUNCTION("""COMPUTED_VALUE"""),1.1)</f>
        <v>1.1</v>
      </c>
      <c r="I461" s="4">
        <f>IFERROR(__xludf.DUMMYFUNCTION("""COMPUTED_VALUE"""),0.0)</f>
        <v>0</v>
      </c>
      <c r="J461" s="4">
        <f>IFERROR(__xludf.DUMMYFUNCTION("""COMPUTED_VALUE"""),0.0)</f>
        <v>0</v>
      </c>
      <c r="K461" s="4">
        <f>IFERROR(__xludf.DUMMYFUNCTION("""COMPUTED_VALUE"""),0.0)</f>
        <v>0</v>
      </c>
    </row>
    <row r="462" ht="22.5" customHeight="1">
      <c r="A462" s="2" t="str">
        <f>IFERROR(__xludf.DUMMYFUNCTION("""COMPUTED_VALUE"""),"L2")</f>
        <v>L2</v>
      </c>
      <c r="B462" s="2" t="str">
        <f>IFERROR(__xludf.DUMMYFUNCTION("""COMPUTED_VALUE"""),"2026-05")</f>
        <v>2026-05</v>
      </c>
      <c r="C462" s="2" t="str">
        <f>IFERROR(__xludf.DUMMYFUNCTION("""COMPUTED_VALUE"""),"GEAR-SUV")</f>
        <v>GEAR-SUV</v>
      </c>
      <c r="D462" s="2">
        <f>IFERROR(__xludf.DUMMYFUNCTION("""COMPUTED_VALUE"""),0.0)</f>
        <v>0</v>
      </c>
      <c r="E462" s="2">
        <f>IFERROR(__xludf.DUMMYFUNCTION("""COMPUTED_VALUE"""),0.0)</f>
        <v>0</v>
      </c>
      <c r="F462" s="4">
        <f>IFERROR(__xludf.DUMMYFUNCTION("""COMPUTED_VALUE"""),0.0)</f>
        <v>0</v>
      </c>
      <c r="G462" s="4">
        <f>IFERROR(__xludf.DUMMYFUNCTION("""COMPUTED_VALUE"""),0.0)</f>
        <v>0</v>
      </c>
      <c r="H462" s="9">
        <f>IFERROR(__xludf.DUMMYFUNCTION("""COMPUTED_VALUE"""),1.1)</f>
        <v>1.1</v>
      </c>
      <c r="I462" s="4">
        <f>IFERROR(__xludf.DUMMYFUNCTION("""COMPUTED_VALUE"""),0.0)</f>
        <v>0</v>
      </c>
      <c r="J462" s="4">
        <f>IFERROR(__xludf.DUMMYFUNCTION("""COMPUTED_VALUE"""),0.0)</f>
        <v>0</v>
      </c>
      <c r="K462" s="4">
        <f>IFERROR(__xludf.DUMMYFUNCTION("""COMPUTED_VALUE"""),0.0)</f>
        <v>0</v>
      </c>
    </row>
    <row r="463" ht="22.5" customHeight="1">
      <c r="A463" s="2" t="str">
        <f>IFERROR(__xludf.DUMMYFUNCTION("""COMPUTED_VALUE"""),"L2")</f>
        <v>L2</v>
      </c>
      <c r="B463" s="2" t="str">
        <f>IFERROR(__xludf.DUMMYFUNCTION("""COMPUTED_VALUE"""),"2026-06")</f>
        <v>2026-06</v>
      </c>
      <c r="C463" s="2" t="str">
        <f>IFERROR(__xludf.DUMMYFUNCTION("""COMPUTED_VALUE"""),"GEAR-SUV")</f>
        <v>GEAR-SUV</v>
      </c>
      <c r="D463" s="2">
        <f>IFERROR(__xludf.DUMMYFUNCTION("""COMPUTED_VALUE"""),0.0)</f>
        <v>0</v>
      </c>
      <c r="E463" s="2">
        <f>IFERROR(__xludf.DUMMYFUNCTION("""COMPUTED_VALUE"""),0.0)</f>
        <v>0</v>
      </c>
      <c r="F463" s="4">
        <f>IFERROR(__xludf.DUMMYFUNCTION("""COMPUTED_VALUE"""),0.0)</f>
        <v>0</v>
      </c>
      <c r="G463" s="4">
        <f>IFERROR(__xludf.DUMMYFUNCTION("""COMPUTED_VALUE"""),0.0)</f>
        <v>0</v>
      </c>
      <c r="H463" s="9">
        <f>IFERROR(__xludf.DUMMYFUNCTION("""COMPUTED_VALUE"""),1.1)</f>
        <v>1.1</v>
      </c>
      <c r="I463" s="4">
        <f>IFERROR(__xludf.DUMMYFUNCTION("""COMPUTED_VALUE"""),0.0)</f>
        <v>0</v>
      </c>
      <c r="J463" s="4">
        <f>IFERROR(__xludf.DUMMYFUNCTION("""COMPUTED_VALUE"""),0.0)</f>
        <v>0</v>
      </c>
      <c r="K463" s="4">
        <f>IFERROR(__xludf.DUMMYFUNCTION("""COMPUTED_VALUE"""),0.0)</f>
        <v>0</v>
      </c>
    </row>
    <row r="464" ht="22.5" customHeight="1">
      <c r="A464" s="2" t="str">
        <f>IFERROR(__xludf.DUMMYFUNCTION("""COMPUTED_VALUE"""),"L2")</f>
        <v>L2</v>
      </c>
      <c r="B464" s="2" t="str">
        <f>IFERROR(__xludf.DUMMYFUNCTION("""COMPUTED_VALUE"""),"2026-07")</f>
        <v>2026-07</v>
      </c>
      <c r="C464" s="2" t="str">
        <f>IFERROR(__xludf.DUMMYFUNCTION("""COMPUTED_VALUE"""),"GEAR-SUV")</f>
        <v>GEAR-SUV</v>
      </c>
      <c r="D464" s="2">
        <f>IFERROR(__xludf.DUMMYFUNCTION("""COMPUTED_VALUE"""),0.0)</f>
        <v>0</v>
      </c>
      <c r="E464" s="2">
        <f>IFERROR(__xludf.DUMMYFUNCTION("""COMPUTED_VALUE"""),0.0)</f>
        <v>0</v>
      </c>
      <c r="F464" s="4">
        <f>IFERROR(__xludf.DUMMYFUNCTION("""COMPUTED_VALUE"""),0.0)</f>
        <v>0</v>
      </c>
      <c r="G464" s="4">
        <f>IFERROR(__xludf.DUMMYFUNCTION("""COMPUTED_VALUE"""),0.0)</f>
        <v>0</v>
      </c>
      <c r="H464" s="9">
        <f>IFERROR(__xludf.DUMMYFUNCTION("""COMPUTED_VALUE"""),1.1)</f>
        <v>1.1</v>
      </c>
      <c r="I464" s="4">
        <f>IFERROR(__xludf.DUMMYFUNCTION("""COMPUTED_VALUE"""),0.0)</f>
        <v>0</v>
      </c>
      <c r="J464" s="4">
        <f>IFERROR(__xludf.DUMMYFUNCTION("""COMPUTED_VALUE"""),0.0)</f>
        <v>0</v>
      </c>
      <c r="K464" s="4">
        <f>IFERROR(__xludf.DUMMYFUNCTION("""COMPUTED_VALUE"""),0.0)</f>
        <v>0</v>
      </c>
    </row>
    <row r="465" ht="22.5" customHeight="1">
      <c r="A465" s="2" t="str">
        <f>IFERROR(__xludf.DUMMYFUNCTION("""COMPUTED_VALUE"""),"L2")</f>
        <v>L2</v>
      </c>
      <c r="B465" s="2" t="str">
        <f>IFERROR(__xludf.DUMMYFUNCTION("""COMPUTED_VALUE"""),"2026-08")</f>
        <v>2026-08</v>
      </c>
      <c r="C465" s="2" t="str">
        <f>IFERROR(__xludf.DUMMYFUNCTION("""COMPUTED_VALUE"""),"GEAR-SUV")</f>
        <v>GEAR-SUV</v>
      </c>
      <c r="D465" s="2">
        <f>IFERROR(__xludf.DUMMYFUNCTION("""COMPUTED_VALUE"""),0.0)</f>
        <v>0</v>
      </c>
      <c r="E465" s="2">
        <f>IFERROR(__xludf.DUMMYFUNCTION("""COMPUTED_VALUE"""),0.0)</f>
        <v>0</v>
      </c>
      <c r="F465" s="4">
        <f>IFERROR(__xludf.DUMMYFUNCTION("""COMPUTED_VALUE"""),0.0)</f>
        <v>0</v>
      </c>
      <c r="G465" s="4">
        <f>IFERROR(__xludf.DUMMYFUNCTION("""COMPUTED_VALUE"""),0.0)</f>
        <v>0</v>
      </c>
      <c r="H465" s="9">
        <f>IFERROR(__xludf.DUMMYFUNCTION("""COMPUTED_VALUE"""),1.1)</f>
        <v>1.1</v>
      </c>
      <c r="I465" s="4">
        <f>IFERROR(__xludf.DUMMYFUNCTION("""COMPUTED_VALUE"""),0.0)</f>
        <v>0</v>
      </c>
      <c r="J465" s="4">
        <f>IFERROR(__xludf.DUMMYFUNCTION("""COMPUTED_VALUE"""),0.0)</f>
        <v>0</v>
      </c>
      <c r="K465" s="4">
        <f>IFERROR(__xludf.DUMMYFUNCTION("""COMPUTED_VALUE"""),0.0)</f>
        <v>0</v>
      </c>
    </row>
    <row r="466" ht="22.5" customHeight="1">
      <c r="A466" s="2" t="str">
        <f>IFERROR(__xludf.DUMMYFUNCTION("""COMPUTED_VALUE"""),"L2")</f>
        <v>L2</v>
      </c>
      <c r="B466" s="2" t="str">
        <f>IFERROR(__xludf.DUMMYFUNCTION("""COMPUTED_VALUE"""),"2026-09")</f>
        <v>2026-09</v>
      </c>
      <c r="C466" s="2" t="str">
        <f>IFERROR(__xludf.DUMMYFUNCTION("""COMPUTED_VALUE"""),"GEAR-SUV")</f>
        <v>GEAR-SUV</v>
      </c>
      <c r="D466" s="2">
        <f>IFERROR(__xludf.DUMMYFUNCTION("""COMPUTED_VALUE"""),0.0)</f>
        <v>0</v>
      </c>
      <c r="E466" s="2">
        <f>IFERROR(__xludf.DUMMYFUNCTION("""COMPUTED_VALUE"""),0.0)</f>
        <v>0</v>
      </c>
      <c r="F466" s="4">
        <f>IFERROR(__xludf.DUMMYFUNCTION("""COMPUTED_VALUE"""),0.0)</f>
        <v>0</v>
      </c>
      <c r="G466" s="4">
        <f>IFERROR(__xludf.DUMMYFUNCTION("""COMPUTED_VALUE"""),0.0)</f>
        <v>0</v>
      </c>
      <c r="H466" s="9">
        <f>IFERROR(__xludf.DUMMYFUNCTION("""COMPUTED_VALUE"""),1.1)</f>
        <v>1.1</v>
      </c>
      <c r="I466" s="4">
        <f>IFERROR(__xludf.DUMMYFUNCTION("""COMPUTED_VALUE"""),0.0)</f>
        <v>0</v>
      </c>
      <c r="J466" s="4">
        <f>IFERROR(__xludf.DUMMYFUNCTION("""COMPUTED_VALUE"""),0.0)</f>
        <v>0</v>
      </c>
      <c r="K466" s="4">
        <f>IFERROR(__xludf.DUMMYFUNCTION("""COMPUTED_VALUE"""),0.0)</f>
        <v>0</v>
      </c>
    </row>
    <row r="467" ht="22.5" customHeight="1">
      <c r="A467" s="2" t="str">
        <f>IFERROR(__xludf.DUMMYFUNCTION("""COMPUTED_VALUE"""),"L2")</f>
        <v>L2</v>
      </c>
      <c r="B467" s="2" t="str">
        <f>IFERROR(__xludf.DUMMYFUNCTION("""COMPUTED_VALUE"""),"2026-10")</f>
        <v>2026-10</v>
      </c>
      <c r="C467" s="2" t="str">
        <f>IFERROR(__xludf.DUMMYFUNCTION("""COMPUTED_VALUE"""),"GEAR-SUV")</f>
        <v>GEAR-SUV</v>
      </c>
      <c r="D467" s="2">
        <f>IFERROR(__xludf.DUMMYFUNCTION("""COMPUTED_VALUE"""),0.0)</f>
        <v>0</v>
      </c>
      <c r="E467" s="2">
        <f>IFERROR(__xludf.DUMMYFUNCTION("""COMPUTED_VALUE"""),0.0)</f>
        <v>0</v>
      </c>
      <c r="F467" s="4">
        <f>IFERROR(__xludf.DUMMYFUNCTION("""COMPUTED_VALUE"""),0.0)</f>
        <v>0</v>
      </c>
      <c r="G467" s="4">
        <f>IFERROR(__xludf.DUMMYFUNCTION("""COMPUTED_VALUE"""),0.0)</f>
        <v>0</v>
      </c>
      <c r="H467" s="9">
        <f>IFERROR(__xludf.DUMMYFUNCTION("""COMPUTED_VALUE"""),1.1)</f>
        <v>1.1</v>
      </c>
      <c r="I467" s="4">
        <f>IFERROR(__xludf.DUMMYFUNCTION("""COMPUTED_VALUE"""),0.0)</f>
        <v>0</v>
      </c>
      <c r="J467" s="4">
        <f>IFERROR(__xludf.DUMMYFUNCTION("""COMPUTED_VALUE"""),0.0)</f>
        <v>0</v>
      </c>
      <c r="K467" s="4">
        <f>IFERROR(__xludf.DUMMYFUNCTION("""COMPUTED_VALUE"""),0.0)</f>
        <v>0</v>
      </c>
    </row>
    <row r="468" ht="22.5" customHeight="1">
      <c r="A468" s="2" t="str">
        <f>IFERROR(__xludf.DUMMYFUNCTION("""COMPUTED_VALUE"""),"L2")</f>
        <v>L2</v>
      </c>
      <c r="B468" s="2" t="str">
        <f>IFERROR(__xludf.DUMMYFUNCTION("""COMPUTED_VALUE"""),"2026-11")</f>
        <v>2026-11</v>
      </c>
      <c r="C468" s="2" t="str">
        <f>IFERROR(__xludf.DUMMYFUNCTION("""COMPUTED_VALUE"""),"GEAR-SUV")</f>
        <v>GEAR-SUV</v>
      </c>
      <c r="D468" s="2">
        <f>IFERROR(__xludf.DUMMYFUNCTION("""COMPUTED_VALUE"""),0.0)</f>
        <v>0</v>
      </c>
      <c r="E468" s="2">
        <f>IFERROR(__xludf.DUMMYFUNCTION("""COMPUTED_VALUE"""),0.0)</f>
        <v>0</v>
      </c>
      <c r="F468" s="4">
        <f>IFERROR(__xludf.DUMMYFUNCTION("""COMPUTED_VALUE"""),0.0)</f>
        <v>0</v>
      </c>
      <c r="G468" s="4">
        <f>IFERROR(__xludf.DUMMYFUNCTION("""COMPUTED_VALUE"""),0.0)</f>
        <v>0</v>
      </c>
      <c r="H468" s="9">
        <f>IFERROR(__xludf.DUMMYFUNCTION("""COMPUTED_VALUE"""),1.1)</f>
        <v>1.1</v>
      </c>
      <c r="I468" s="4">
        <f>IFERROR(__xludf.DUMMYFUNCTION("""COMPUTED_VALUE"""),0.0)</f>
        <v>0</v>
      </c>
      <c r="J468" s="4">
        <f>IFERROR(__xludf.DUMMYFUNCTION("""COMPUTED_VALUE"""),0.0)</f>
        <v>0</v>
      </c>
      <c r="K468" s="4">
        <f>IFERROR(__xludf.DUMMYFUNCTION("""COMPUTED_VALUE"""),0.0)</f>
        <v>0</v>
      </c>
    </row>
    <row r="469" ht="22.5" customHeight="1">
      <c r="A469" s="2" t="str">
        <f>IFERROR(__xludf.DUMMYFUNCTION("""COMPUTED_VALUE"""),"L2")</f>
        <v>L2</v>
      </c>
      <c r="B469" s="2" t="str">
        <f>IFERROR(__xludf.DUMMYFUNCTION("""COMPUTED_VALUE"""),"2026-12")</f>
        <v>2026-12</v>
      </c>
      <c r="C469" s="2" t="str">
        <f>IFERROR(__xludf.DUMMYFUNCTION("""COMPUTED_VALUE"""),"GEAR-SUV")</f>
        <v>GEAR-SUV</v>
      </c>
      <c r="D469" s="2">
        <f>IFERROR(__xludf.DUMMYFUNCTION("""COMPUTED_VALUE"""),0.0)</f>
        <v>0</v>
      </c>
      <c r="E469" s="2">
        <f>IFERROR(__xludf.DUMMYFUNCTION("""COMPUTED_VALUE"""),0.0)</f>
        <v>0</v>
      </c>
      <c r="F469" s="4">
        <f>IFERROR(__xludf.DUMMYFUNCTION("""COMPUTED_VALUE"""),0.0)</f>
        <v>0</v>
      </c>
      <c r="G469" s="4">
        <f>IFERROR(__xludf.DUMMYFUNCTION("""COMPUTED_VALUE"""),0.0)</f>
        <v>0</v>
      </c>
      <c r="H469" s="9">
        <f>IFERROR(__xludf.DUMMYFUNCTION("""COMPUTED_VALUE"""),1.1)</f>
        <v>1.1</v>
      </c>
      <c r="I469" s="4">
        <f>IFERROR(__xludf.DUMMYFUNCTION("""COMPUTED_VALUE"""),0.0)</f>
        <v>0</v>
      </c>
      <c r="J469" s="4">
        <f>IFERROR(__xludf.DUMMYFUNCTION("""COMPUTED_VALUE"""),0.0)</f>
        <v>0</v>
      </c>
      <c r="K469" s="4">
        <f>IFERROR(__xludf.DUMMYFUNCTION("""COMPUTED_VALUE"""),0.0)</f>
        <v>0</v>
      </c>
    </row>
    <row r="470" ht="22.5" customHeight="1">
      <c r="A470" s="2" t="str">
        <f>IFERROR(__xludf.DUMMYFUNCTION("""COMPUTED_VALUE"""),"L2")</f>
        <v>L2</v>
      </c>
      <c r="B470" s="2" t="str">
        <f>IFERROR(__xludf.DUMMYFUNCTION("""COMPUTED_VALUE"""),"2026-01")</f>
        <v>2026-01</v>
      </c>
      <c r="C470" s="2" t="str">
        <f>IFERROR(__xludf.DUMMYFUNCTION("""COMPUTED_VALUE"""),"GEAR-SUV - LX")</f>
        <v>GEAR-SUV - LX</v>
      </c>
      <c r="D470" s="2">
        <f>IFERROR(__xludf.DUMMYFUNCTION("""COMPUTED_VALUE"""),0.0)</f>
        <v>0</v>
      </c>
      <c r="E470" s="2">
        <f>IFERROR(__xludf.DUMMYFUNCTION("""COMPUTED_VALUE"""),0.0)</f>
        <v>0</v>
      </c>
      <c r="F470" s="4">
        <f>IFERROR(__xludf.DUMMYFUNCTION("""COMPUTED_VALUE"""),0.0)</f>
        <v>0</v>
      </c>
      <c r="G470" s="4">
        <f>IFERROR(__xludf.DUMMYFUNCTION("""COMPUTED_VALUE"""),0.0)</f>
        <v>0</v>
      </c>
      <c r="H470" s="9">
        <f>IFERROR(__xludf.DUMMYFUNCTION("""COMPUTED_VALUE"""),1.1)</f>
        <v>1.1</v>
      </c>
      <c r="I470" s="4">
        <f>IFERROR(__xludf.DUMMYFUNCTION("""COMPUTED_VALUE"""),0.0)</f>
        <v>0</v>
      </c>
      <c r="J470" s="4">
        <f>IFERROR(__xludf.DUMMYFUNCTION("""COMPUTED_VALUE"""),0.0)</f>
        <v>0</v>
      </c>
      <c r="K470" s="4">
        <f>IFERROR(__xludf.DUMMYFUNCTION("""COMPUTED_VALUE"""),0.0)</f>
        <v>0</v>
      </c>
    </row>
    <row r="471" ht="22.5" customHeight="1">
      <c r="A471" s="2" t="str">
        <f>IFERROR(__xludf.DUMMYFUNCTION("""COMPUTED_VALUE"""),"L2")</f>
        <v>L2</v>
      </c>
      <c r="B471" s="2" t="str">
        <f>IFERROR(__xludf.DUMMYFUNCTION("""COMPUTED_VALUE"""),"2026-02")</f>
        <v>2026-02</v>
      </c>
      <c r="C471" s="2" t="str">
        <f>IFERROR(__xludf.DUMMYFUNCTION("""COMPUTED_VALUE"""),"GEAR-SUV - LX")</f>
        <v>GEAR-SUV - LX</v>
      </c>
      <c r="D471" s="2">
        <f>IFERROR(__xludf.DUMMYFUNCTION("""COMPUTED_VALUE"""),492.0)</f>
        <v>492</v>
      </c>
      <c r="E471" s="2">
        <f>IFERROR(__xludf.DUMMYFUNCTION("""COMPUTED_VALUE"""),15.0)</f>
        <v>15</v>
      </c>
      <c r="F471" s="4">
        <f>IFERROR(__xludf.DUMMYFUNCTION("""COMPUTED_VALUE"""),1850097.12)</f>
        <v>1850097.12</v>
      </c>
      <c r="G471" s="4">
        <f>IFERROR(__xludf.DUMMYFUNCTION("""COMPUTED_VALUE"""),4275.0)</f>
        <v>4275</v>
      </c>
      <c r="H471" s="9">
        <f>IFERROR(__xludf.DUMMYFUNCTION("""COMPUTED_VALUE"""),1.1)</f>
        <v>1.1</v>
      </c>
      <c r="I471" s="4">
        <f>IFERROR(__xludf.DUMMYFUNCTION("""COMPUTED_VALUE"""),2039809.3320000004)</f>
        <v>2039809.332</v>
      </c>
      <c r="J471" s="4">
        <f>IFERROR(__xludf.DUMMYFUNCTION("""COMPUTED_VALUE"""),0.0)</f>
        <v>0</v>
      </c>
      <c r="K471" s="4">
        <f>IFERROR(__xludf.DUMMYFUNCTION("""COMPUTED_VALUE"""),2039809.3320000004)</f>
        <v>2039809.332</v>
      </c>
    </row>
    <row r="472" ht="22.5" customHeight="1">
      <c r="A472" s="2" t="str">
        <f>IFERROR(__xludf.DUMMYFUNCTION("""COMPUTED_VALUE"""),"L2")</f>
        <v>L2</v>
      </c>
      <c r="B472" s="2" t="str">
        <f>IFERROR(__xludf.DUMMYFUNCTION("""COMPUTED_VALUE"""),"2026-03")</f>
        <v>2026-03</v>
      </c>
      <c r="C472" s="2" t="str">
        <f>IFERROR(__xludf.DUMMYFUNCTION("""COMPUTED_VALUE"""),"GEAR-SUV - LX")</f>
        <v>GEAR-SUV - LX</v>
      </c>
      <c r="D472" s="2">
        <f>IFERROR(__xludf.DUMMYFUNCTION("""COMPUTED_VALUE"""),89.0)</f>
        <v>89</v>
      </c>
      <c r="E472" s="2">
        <f>IFERROR(__xludf.DUMMYFUNCTION("""COMPUTED_VALUE"""),3.0)</f>
        <v>3</v>
      </c>
      <c r="F472" s="4">
        <f>IFERROR(__xludf.DUMMYFUNCTION("""COMPUTED_VALUE"""),334672.04000000004)</f>
        <v>334672.04</v>
      </c>
      <c r="G472" s="4">
        <f>IFERROR(__xludf.DUMMYFUNCTION("""COMPUTED_VALUE"""),855.0)</f>
        <v>855</v>
      </c>
      <c r="H472" s="9">
        <f>IFERROR(__xludf.DUMMYFUNCTION("""COMPUTED_VALUE"""),1.1)</f>
        <v>1.1</v>
      </c>
      <c r="I472" s="4">
        <f>IFERROR(__xludf.DUMMYFUNCTION("""COMPUTED_VALUE"""),369079.74400000006)</f>
        <v>369079.744</v>
      </c>
      <c r="J472" s="4">
        <f>IFERROR(__xludf.DUMMYFUNCTION("""COMPUTED_VALUE"""),0.0)</f>
        <v>0</v>
      </c>
      <c r="K472" s="4">
        <f>IFERROR(__xludf.DUMMYFUNCTION("""COMPUTED_VALUE"""),369079.74400000006)</f>
        <v>369079.744</v>
      </c>
    </row>
    <row r="473" ht="22.5" customHeight="1">
      <c r="A473" s="2" t="str">
        <f>IFERROR(__xludf.DUMMYFUNCTION("""COMPUTED_VALUE"""),"L2")</f>
        <v>L2</v>
      </c>
      <c r="B473" s="2" t="str">
        <f>IFERROR(__xludf.DUMMYFUNCTION("""COMPUTED_VALUE"""),"2026-04")</f>
        <v>2026-04</v>
      </c>
      <c r="C473" s="2" t="str">
        <f>IFERROR(__xludf.DUMMYFUNCTION("""COMPUTED_VALUE"""),"GEAR-SUV - LX")</f>
        <v>GEAR-SUV - LX</v>
      </c>
      <c r="D473" s="2">
        <f>IFERROR(__xludf.DUMMYFUNCTION("""COMPUTED_VALUE"""),0.0)</f>
        <v>0</v>
      </c>
      <c r="E473" s="2">
        <f>IFERROR(__xludf.DUMMYFUNCTION("""COMPUTED_VALUE"""),0.0)</f>
        <v>0</v>
      </c>
      <c r="F473" s="4">
        <f>IFERROR(__xludf.DUMMYFUNCTION("""COMPUTED_VALUE"""),0.0)</f>
        <v>0</v>
      </c>
      <c r="G473" s="4">
        <f>IFERROR(__xludf.DUMMYFUNCTION("""COMPUTED_VALUE"""),0.0)</f>
        <v>0</v>
      </c>
      <c r="H473" s="9">
        <f>IFERROR(__xludf.DUMMYFUNCTION("""COMPUTED_VALUE"""),1.1)</f>
        <v>1.1</v>
      </c>
      <c r="I473" s="4">
        <f>IFERROR(__xludf.DUMMYFUNCTION("""COMPUTED_VALUE"""),0.0)</f>
        <v>0</v>
      </c>
      <c r="J473" s="4">
        <f>IFERROR(__xludf.DUMMYFUNCTION("""COMPUTED_VALUE"""),0.0)</f>
        <v>0</v>
      </c>
      <c r="K473" s="4">
        <f>IFERROR(__xludf.DUMMYFUNCTION("""COMPUTED_VALUE"""),0.0)</f>
        <v>0</v>
      </c>
    </row>
    <row r="474" ht="22.5" customHeight="1">
      <c r="A474" s="2" t="str">
        <f>IFERROR(__xludf.DUMMYFUNCTION("""COMPUTED_VALUE"""),"L2")</f>
        <v>L2</v>
      </c>
      <c r="B474" s="2" t="str">
        <f>IFERROR(__xludf.DUMMYFUNCTION("""COMPUTED_VALUE"""),"2026-05")</f>
        <v>2026-05</v>
      </c>
      <c r="C474" s="2" t="str">
        <f>IFERROR(__xludf.DUMMYFUNCTION("""COMPUTED_VALUE"""),"GEAR-SUV - LX")</f>
        <v>GEAR-SUV - LX</v>
      </c>
      <c r="D474" s="2">
        <f>IFERROR(__xludf.DUMMYFUNCTION("""COMPUTED_VALUE"""),0.0)</f>
        <v>0</v>
      </c>
      <c r="E474" s="2">
        <f>IFERROR(__xludf.DUMMYFUNCTION("""COMPUTED_VALUE"""),0.0)</f>
        <v>0</v>
      </c>
      <c r="F474" s="4">
        <f>IFERROR(__xludf.DUMMYFUNCTION("""COMPUTED_VALUE"""),0.0)</f>
        <v>0</v>
      </c>
      <c r="G474" s="4">
        <f>IFERROR(__xludf.DUMMYFUNCTION("""COMPUTED_VALUE"""),0.0)</f>
        <v>0</v>
      </c>
      <c r="H474" s="9">
        <f>IFERROR(__xludf.DUMMYFUNCTION("""COMPUTED_VALUE"""),1.1)</f>
        <v>1.1</v>
      </c>
      <c r="I474" s="4">
        <f>IFERROR(__xludf.DUMMYFUNCTION("""COMPUTED_VALUE"""),0.0)</f>
        <v>0</v>
      </c>
      <c r="J474" s="4">
        <f>IFERROR(__xludf.DUMMYFUNCTION("""COMPUTED_VALUE"""),0.0)</f>
        <v>0</v>
      </c>
      <c r="K474" s="4">
        <f>IFERROR(__xludf.DUMMYFUNCTION("""COMPUTED_VALUE"""),0.0)</f>
        <v>0</v>
      </c>
    </row>
    <row r="475" ht="22.5" customHeight="1">
      <c r="A475" s="2" t="str">
        <f>IFERROR(__xludf.DUMMYFUNCTION("""COMPUTED_VALUE"""),"L2")</f>
        <v>L2</v>
      </c>
      <c r="B475" s="2" t="str">
        <f>IFERROR(__xludf.DUMMYFUNCTION("""COMPUTED_VALUE"""),"2026-06")</f>
        <v>2026-06</v>
      </c>
      <c r="C475" s="2" t="str">
        <f>IFERROR(__xludf.DUMMYFUNCTION("""COMPUTED_VALUE"""),"GEAR-SUV - LX")</f>
        <v>GEAR-SUV - LX</v>
      </c>
      <c r="D475" s="2">
        <f>IFERROR(__xludf.DUMMYFUNCTION("""COMPUTED_VALUE"""),0.0)</f>
        <v>0</v>
      </c>
      <c r="E475" s="2">
        <f>IFERROR(__xludf.DUMMYFUNCTION("""COMPUTED_VALUE"""),0.0)</f>
        <v>0</v>
      </c>
      <c r="F475" s="4">
        <f>IFERROR(__xludf.DUMMYFUNCTION("""COMPUTED_VALUE"""),0.0)</f>
        <v>0</v>
      </c>
      <c r="G475" s="4">
        <f>IFERROR(__xludf.DUMMYFUNCTION("""COMPUTED_VALUE"""),0.0)</f>
        <v>0</v>
      </c>
      <c r="H475" s="9">
        <f>IFERROR(__xludf.DUMMYFUNCTION("""COMPUTED_VALUE"""),1.1)</f>
        <v>1.1</v>
      </c>
      <c r="I475" s="4">
        <f>IFERROR(__xludf.DUMMYFUNCTION("""COMPUTED_VALUE"""),0.0)</f>
        <v>0</v>
      </c>
      <c r="J475" s="4">
        <f>IFERROR(__xludf.DUMMYFUNCTION("""COMPUTED_VALUE"""),0.0)</f>
        <v>0</v>
      </c>
      <c r="K475" s="4">
        <f>IFERROR(__xludf.DUMMYFUNCTION("""COMPUTED_VALUE"""),0.0)</f>
        <v>0</v>
      </c>
    </row>
    <row r="476" ht="22.5" customHeight="1">
      <c r="A476" s="2" t="str">
        <f>IFERROR(__xludf.DUMMYFUNCTION("""COMPUTED_VALUE"""),"L2")</f>
        <v>L2</v>
      </c>
      <c r="B476" s="2" t="str">
        <f>IFERROR(__xludf.DUMMYFUNCTION("""COMPUTED_VALUE"""),"2026-07")</f>
        <v>2026-07</v>
      </c>
      <c r="C476" s="2" t="str">
        <f>IFERROR(__xludf.DUMMYFUNCTION("""COMPUTED_VALUE"""),"GEAR-SUV - LX")</f>
        <v>GEAR-SUV - LX</v>
      </c>
      <c r="D476" s="2">
        <f>IFERROR(__xludf.DUMMYFUNCTION("""COMPUTED_VALUE"""),0.0)</f>
        <v>0</v>
      </c>
      <c r="E476" s="2">
        <f>IFERROR(__xludf.DUMMYFUNCTION("""COMPUTED_VALUE"""),0.0)</f>
        <v>0</v>
      </c>
      <c r="F476" s="4">
        <f>IFERROR(__xludf.DUMMYFUNCTION("""COMPUTED_VALUE"""),0.0)</f>
        <v>0</v>
      </c>
      <c r="G476" s="4">
        <f>IFERROR(__xludf.DUMMYFUNCTION("""COMPUTED_VALUE"""),0.0)</f>
        <v>0</v>
      </c>
      <c r="H476" s="9">
        <f>IFERROR(__xludf.DUMMYFUNCTION("""COMPUTED_VALUE"""),1.1)</f>
        <v>1.1</v>
      </c>
      <c r="I476" s="4">
        <f>IFERROR(__xludf.DUMMYFUNCTION("""COMPUTED_VALUE"""),0.0)</f>
        <v>0</v>
      </c>
      <c r="J476" s="4">
        <f>IFERROR(__xludf.DUMMYFUNCTION("""COMPUTED_VALUE"""),0.0)</f>
        <v>0</v>
      </c>
      <c r="K476" s="4">
        <f>IFERROR(__xludf.DUMMYFUNCTION("""COMPUTED_VALUE"""),0.0)</f>
        <v>0</v>
      </c>
    </row>
    <row r="477" ht="22.5" customHeight="1">
      <c r="A477" s="2" t="str">
        <f>IFERROR(__xludf.DUMMYFUNCTION("""COMPUTED_VALUE"""),"L2")</f>
        <v>L2</v>
      </c>
      <c r="B477" s="2" t="str">
        <f>IFERROR(__xludf.DUMMYFUNCTION("""COMPUTED_VALUE"""),"2026-08")</f>
        <v>2026-08</v>
      </c>
      <c r="C477" s="2" t="str">
        <f>IFERROR(__xludf.DUMMYFUNCTION("""COMPUTED_VALUE"""),"GEAR-SUV - LX")</f>
        <v>GEAR-SUV - LX</v>
      </c>
      <c r="D477" s="2">
        <f>IFERROR(__xludf.DUMMYFUNCTION("""COMPUTED_VALUE"""),0.0)</f>
        <v>0</v>
      </c>
      <c r="E477" s="2">
        <f>IFERROR(__xludf.DUMMYFUNCTION("""COMPUTED_VALUE"""),0.0)</f>
        <v>0</v>
      </c>
      <c r="F477" s="4">
        <f>IFERROR(__xludf.DUMMYFUNCTION("""COMPUTED_VALUE"""),0.0)</f>
        <v>0</v>
      </c>
      <c r="G477" s="4">
        <f>IFERROR(__xludf.DUMMYFUNCTION("""COMPUTED_VALUE"""),0.0)</f>
        <v>0</v>
      </c>
      <c r="H477" s="9">
        <f>IFERROR(__xludf.DUMMYFUNCTION("""COMPUTED_VALUE"""),1.1)</f>
        <v>1.1</v>
      </c>
      <c r="I477" s="4">
        <f>IFERROR(__xludf.DUMMYFUNCTION("""COMPUTED_VALUE"""),0.0)</f>
        <v>0</v>
      </c>
      <c r="J477" s="4">
        <f>IFERROR(__xludf.DUMMYFUNCTION("""COMPUTED_VALUE"""),0.0)</f>
        <v>0</v>
      </c>
      <c r="K477" s="4">
        <f>IFERROR(__xludf.DUMMYFUNCTION("""COMPUTED_VALUE"""),0.0)</f>
        <v>0</v>
      </c>
    </row>
    <row r="478" ht="22.5" customHeight="1">
      <c r="A478" s="2" t="str">
        <f>IFERROR(__xludf.DUMMYFUNCTION("""COMPUTED_VALUE"""),"L2")</f>
        <v>L2</v>
      </c>
      <c r="B478" s="2" t="str">
        <f>IFERROR(__xludf.DUMMYFUNCTION("""COMPUTED_VALUE"""),"2026-09")</f>
        <v>2026-09</v>
      </c>
      <c r="C478" s="2" t="str">
        <f>IFERROR(__xludf.DUMMYFUNCTION("""COMPUTED_VALUE"""),"GEAR-SUV - LX")</f>
        <v>GEAR-SUV - LX</v>
      </c>
      <c r="D478" s="2">
        <f>IFERROR(__xludf.DUMMYFUNCTION("""COMPUTED_VALUE"""),0.0)</f>
        <v>0</v>
      </c>
      <c r="E478" s="2">
        <f>IFERROR(__xludf.DUMMYFUNCTION("""COMPUTED_VALUE"""),0.0)</f>
        <v>0</v>
      </c>
      <c r="F478" s="4">
        <f>IFERROR(__xludf.DUMMYFUNCTION("""COMPUTED_VALUE"""),0.0)</f>
        <v>0</v>
      </c>
      <c r="G478" s="4">
        <f>IFERROR(__xludf.DUMMYFUNCTION("""COMPUTED_VALUE"""),0.0)</f>
        <v>0</v>
      </c>
      <c r="H478" s="9">
        <f>IFERROR(__xludf.DUMMYFUNCTION("""COMPUTED_VALUE"""),1.1)</f>
        <v>1.1</v>
      </c>
      <c r="I478" s="4">
        <f>IFERROR(__xludf.DUMMYFUNCTION("""COMPUTED_VALUE"""),0.0)</f>
        <v>0</v>
      </c>
      <c r="J478" s="4">
        <f>IFERROR(__xludf.DUMMYFUNCTION("""COMPUTED_VALUE"""),0.0)</f>
        <v>0</v>
      </c>
      <c r="K478" s="4">
        <f>IFERROR(__xludf.DUMMYFUNCTION("""COMPUTED_VALUE"""),0.0)</f>
        <v>0</v>
      </c>
    </row>
    <row r="479" ht="22.5" customHeight="1">
      <c r="A479" s="2" t="str">
        <f>IFERROR(__xludf.DUMMYFUNCTION("""COMPUTED_VALUE"""),"L2")</f>
        <v>L2</v>
      </c>
      <c r="B479" s="2" t="str">
        <f>IFERROR(__xludf.DUMMYFUNCTION("""COMPUTED_VALUE"""),"2026-10")</f>
        <v>2026-10</v>
      </c>
      <c r="C479" s="2" t="str">
        <f>IFERROR(__xludf.DUMMYFUNCTION("""COMPUTED_VALUE"""),"GEAR-SUV - LX")</f>
        <v>GEAR-SUV - LX</v>
      </c>
      <c r="D479" s="2">
        <f>IFERROR(__xludf.DUMMYFUNCTION("""COMPUTED_VALUE"""),0.0)</f>
        <v>0</v>
      </c>
      <c r="E479" s="2">
        <f>IFERROR(__xludf.DUMMYFUNCTION("""COMPUTED_VALUE"""),0.0)</f>
        <v>0</v>
      </c>
      <c r="F479" s="4">
        <f>IFERROR(__xludf.DUMMYFUNCTION("""COMPUTED_VALUE"""),0.0)</f>
        <v>0</v>
      </c>
      <c r="G479" s="4">
        <f>IFERROR(__xludf.DUMMYFUNCTION("""COMPUTED_VALUE"""),0.0)</f>
        <v>0</v>
      </c>
      <c r="H479" s="9">
        <f>IFERROR(__xludf.DUMMYFUNCTION("""COMPUTED_VALUE"""),1.1)</f>
        <v>1.1</v>
      </c>
      <c r="I479" s="4">
        <f>IFERROR(__xludf.DUMMYFUNCTION("""COMPUTED_VALUE"""),0.0)</f>
        <v>0</v>
      </c>
      <c r="J479" s="4">
        <f>IFERROR(__xludf.DUMMYFUNCTION("""COMPUTED_VALUE"""),0.0)</f>
        <v>0</v>
      </c>
      <c r="K479" s="4">
        <f>IFERROR(__xludf.DUMMYFUNCTION("""COMPUTED_VALUE"""),0.0)</f>
        <v>0</v>
      </c>
    </row>
    <row r="480" ht="22.5" customHeight="1">
      <c r="A480" s="2" t="str">
        <f>IFERROR(__xludf.DUMMYFUNCTION("""COMPUTED_VALUE"""),"L2")</f>
        <v>L2</v>
      </c>
      <c r="B480" s="2" t="str">
        <f>IFERROR(__xludf.DUMMYFUNCTION("""COMPUTED_VALUE"""),"2026-11")</f>
        <v>2026-11</v>
      </c>
      <c r="C480" s="2" t="str">
        <f>IFERROR(__xludf.DUMMYFUNCTION("""COMPUTED_VALUE"""),"GEAR-SUV - LX")</f>
        <v>GEAR-SUV - LX</v>
      </c>
      <c r="D480" s="2">
        <f>IFERROR(__xludf.DUMMYFUNCTION("""COMPUTED_VALUE"""),0.0)</f>
        <v>0</v>
      </c>
      <c r="E480" s="2">
        <f>IFERROR(__xludf.DUMMYFUNCTION("""COMPUTED_VALUE"""),0.0)</f>
        <v>0</v>
      </c>
      <c r="F480" s="4">
        <f>IFERROR(__xludf.DUMMYFUNCTION("""COMPUTED_VALUE"""),0.0)</f>
        <v>0</v>
      </c>
      <c r="G480" s="4">
        <f>IFERROR(__xludf.DUMMYFUNCTION("""COMPUTED_VALUE"""),0.0)</f>
        <v>0</v>
      </c>
      <c r="H480" s="9">
        <f>IFERROR(__xludf.DUMMYFUNCTION("""COMPUTED_VALUE"""),1.1)</f>
        <v>1.1</v>
      </c>
      <c r="I480" s="4">
        <f>IFERROR(__xludf.DUMMYFUNCTION("""COMPUTED_VALUE"""),0.0)</f>
        <v>0</v>
      </c>
      <c r="J480" s="4">
        <f>IFERROR(__xludf.DUMMYFUNCTION("""COMPUTED_VALUE"""),0.0)</f>
        <v>0</v>
      </c>
      <c r="K480" s="4">
        <f>IFERROR(__xludf.DUMMYFUNCTION("""COMPUTED_VALUE"""),0.0)</f>
        <v>0</v>
      </c>
    </row>
    <row r="481" ht="22.5" customHeight="1">
      <c r="A481" s="2" t="str">
        <f>IFERROR(__xludf.DUMMYFUNCTION("""COMPUTED_VALUE"""),"L2")</f>
        <v>L2</v>
      </c>
      <c r="B481" s="2" t="str">
        <f>IFERROR(__xludf.DUMMYFUNCTION("""COMPUTED_VALUE"""),"2026-12")</f>
        <v>2026-12</v>
      </c>
      <c r="C481" s="2" t="str">
        <f>IFERROR(__xludf.DUMMYFUNCTION("""COMPUTED_VALUE"""),"GEAR-SUV - LX")</f>
        <v>GEAR-SUV - LX</v>
      </c>
      <c r="D481" s="2">
        <f>IFERROR(__xludf.DUMMYFUNCTION("""COMPUTED_VALUE"""),0.0)</f>
        <v>0</v>
      </c>
      <c r="E481" s="2">
        <f>IFERROR(__xludf.DUMMYFUNCTION("""COMPUTED_VALUE"""),0.0)</f>
        <v>0</v>
      </c>
      <c r="F481" s="4">
        <f>IFERROR(__xludf.DUMMYFUNCTION("""COMPUTED_VALUE"""),0.0)</f>
        <v>0</v>
      </c>
      <c r="G481" s="4">
        <f>IFERROR(__xludf.DUMMYFUNCTION("""COMPUTED_VALUE"""),0.0)</f>
        <v>0</v>
      </c>
      <c r="H481" s="9">
        <f>IFERROR(__xludf.DUMMYFUNCTION("""COMPUTED_VALUE"""),1.1)</f>
        <v>1.1</v>
      </c>
      <c r="I481" s="4">
        <f>IFERROR(__xludf.DUMMYFUNCTION("""COMPUTED_VALUE"""),0.0)</f>
        <v>0</v>
      </c>
      <c r="J481" s="4">
        <f>IFERROR(__xludf.DUMMYFUNCTION("""COMPUTED_VALUE"""),0.0)</f>
        <v>0</v>
      </c>
      <c r="K481" s="4">
        <f>IFERROR(__xludf.DUMMYFUNCTION("""COMPUTED_VALUE"""),0.0)</f>
        <v>0</v>
      </c>
    </row>
    <row r="482" ht="22.5" customHeight="1">
      <c r="A482" s="2" t="str">
        <f>IFERROR(__xludf.DUMMYFUNCTION("""COMPUTED_VALUE"""),"L2")</f>
        <v>L2</v>
      </c>
      <c r="B482" s="2" t="str">
        <f>IFERROR(__xludf.DUMMYFUNCTION("""COMPUTED_VALUE"""),"2026-01")</f>
        <v>2026-01</v>
      </c>
      <c r="C482" s="2" t="str">
        <f>IFERROR(__xludf.DUMMYFUNCTION("""COMPUTED_VALUE"""),"MEMBER-SD")</f>
        <v>MEMBER-SD</v>
      </c>
      <c r="D482" s="2">
        <f>IFERROR(__xludf.DUMMYFUNCTION("""COMPUTED_VALUE"""),0.0)</f>
        <v>0</v>
      </c>
      <c r="E482" s="2">
        <f>IFERROR(__xludf.DUMMYFUNCTION("""COMPUTED_VALUE"""),0.0)</f>
        <v>0</v>
      </c>
      <c r="F482" s="4">
        <f>IFERROR(__xludf.DUMMYFUNCTION("""COMPUTED_VALUE"""),0.0)</f>
        <v>0</v>
      </c>
      <c r="G482" s="4">
        <f>IFERROR(__xludf.DUMMYFUNCTION("""COMPUTED_VALUE"""),0.0)</f>
        <v>0</v>
      </c>
      <c r="H482" s="9">
        <f>IFERROR(__xludf.DUMMYFUNCTION("""COMPUTED_VALUE"""),1.32264)</f>
        <v>1.32264</v>
      </c>
      <c r="I482" s="4">
        <f>IFERROR(__xludf.DUMMYFUNCTION("""COMPUTED_VALUE"""),0.0)</f>
        <v>0</v>
      </c>
      <c r="J482" s="4">
        <f>IFERROR(__xludf.DUMMYFUNCTION("""COMPUTED_VALUE"""),8532.6025)</f>
        <v>8532.6025</v>
      </c>
      <c r="K482" s="4">
        <f>IFERROR(__xludf.DUMMYFUNCTION("""COMPUTED_VALUE"""),8532.6025)</f>
        <v>8532.6025</v>
      </c>
    </row>
    <row r="483" ht="22.5" customHeight="1">
      <c r="A483" s="2" t="str">
        <f>IFERROR(__xludf.DUMMYFUNCTION("""COMPUTED_VALUE"""),"L2")</f>
        <v>L2</v>
      </c>
      <c r="B483" s="2" t="str">
        <f>IFERROR(__xludf.DUMMYFUNCTION("""COMPUTED_VALUE"""),"2026-02")</f>
        <v>2026-02</v>
      </c>
      <c r="C483" s="2" t="str">
        <f>IFERROR(__xludf.DUMMYFUNCTION("""COMPUTED_VALUE"""),"MEMBER-SD")</f>
        <v>MEMBER-SD</v>
      </c>
      <c r="D483" s="2">
        <f>IFERROR(__xludf.DUMMYFUNCTION("""COMPUTED_VALUE"""),150.0)</f>
        <v>150</v>
      </c>
      <c r="E483" s="2">
        <f>IFERROR(__xludf.DUMMYFUNCTION("""COMPUTED_VALUE"""),3.0)</f>
        <v>3</v>
      </c>
      <c r="F483" s="4">
        <f>IFERROR(__xludf.DUMMYFUNCTION("""COMPUTED_VALUE"""),482977.5)</f>
        <v>482977.5</v>
      </c>
      <c r="G483" s="4">
        <f>IFERROR(__xludf.DUMMYFUNCTION("""COMPUTED_VALUE"""),9687.0)</f>
        <v>9687</v>
      </c>
      <c r="H483" s="9">
        <f>IFERROR(__xludf.DUMMYFUNCTION("""COMPUTED_VALUE"""),1.32264)</f>
        <v>1.32264</v>
      </c>
      <c r="I483" s="4">
        <f>IFERROR(__xludf.DUMMYFUNCTION("""COMPUTED_VALUE"""),651617.77428)</f>
        <v>651617.7743</v>
      </c>
      <c r="J483" s="4">
        <f>IFERROR(__xludf.DUMMYFUNCTION("""COMPUTED_VALUE"""),0.0)</f>
        <v>0</v>
      </c>
      <c r="K483" s="4">
        <f>IFERROR(__xludf.DUMMYFUNCTION("""COMPUTED_VALUE"""),651617.77428)</f>
        <v>651617.7743</v>
      </c>
    </row>
    <row r="484" ht="22.5" customHeight="1">
      <c r="A484" s="2" t="str">
        <f>IFERROR(__xludf.DUMMYFUNCTION("""COMPUTED_VALUE"""),"L2")</f>
        <v>L2</v>
      </c>
      <c r="B484" s="2" t="str">
        <f>IFERROR(__xludf.DUMMYFUNCTION("""COMPUTED_VALUE"""),"2026-03")</f>
        <v>2026-03</v>
      </c>
      <c r="C484" s="2" t="str">
        <f>IFERROR(__xludf.DUMMYFUNCTION("""COMPUTED_VALUE"""),"MEMBER-SD")</f>
        <v>MEMBER-SD</v>
      </c>
      <c r="D484" s="2">
        <f>IFERROR(__xludf.DUMMYFUNCTION("""COMPUTED_VALUE"""),0.0)</f>
        <v>0</v>
      </c>
      <c r="E484" s="2">
        <f>IFERROR(__xludf.DUMMYFUNCTION("""COMPUTED_VALUE"""),0.0)</f>
        <v>0</v>
      </c>
      <c r="F484" s="4">
        <f>IFERROR(__xludf.DUMMYFUNCTION("""COMPUTED_VALUE"""),0.0)</f>
        <v>0</v>
      </c>
      <c r="G484" s="4">
        <f>IFERROR(__xludf.DUMMYFUNCTION("""COMPUTED_VALUE"""),0.0)</f>
        <v>0</v>
      </c>
      <c r="H484" s="9">
        <f>IFERROR(__xludf.DUMMYFUNCTION("""COMPUTED_VALUE"""),1.32264)</f>
        <v>1.32264</v>
      </c>
      <c r="I484" s="4">
        <f>IFERROR(__xludf.DUMMYFUNCTION("""COMPUTED_VALUE"""),0.0)</f>
        <v>0</v>
      </c>
      <c r="J484" s="4">
        <f>IFERROR(__xludf.DUMMYFUNCTION("""COMPUTED_VALUE"""),0.0)</f>
        <v>0</v>
      </c>
      <c r="K484" s="4">
        <f>IFERROR(__xludf.DUMMYFUNCTION("""COMPUTED_VALUE"""),0.0)</f>
        <v>0</v>
      </c>
    </row>
    <row r="485" ht="22.5" customHeight="1">
      <c r="A485" s="2" t="str">
        <f>IFERROR(__xludf.DUMMYFUNCTION("""COMPUTED_VALUE"""),"L2")</f>
        <v>L2</v>
      </c>
      <c r="B485" s="2" t="str">
        <f>IFERROR(__xludf.DUMMYFUNCTION("""COMPUTED_VALUE"""),"2026-04")</f>
        <v>2026-04</v>
      </c>
      <c r="C485" s="2" t="str">
        <f>IFERROR(__xludf.DUMMYFUNCTION("""COMPUTED_VALUE"""),"MEMBER-SD")</f>
        <v>MEMBER-SD</v>
      </c>
      <c r="D485" s="2">
        <f>IFERROR(__xludf.DUMMYFUNCTION("""COMPUTED_VALUE"""),0.0)</f>
        <v>0</v>
      </c>
      <c r="E485" s="2">
        <f>IFERROR(__xludf.DUMMYFUNCTION("""COMPUTED_VALUE"""),0.0)</f>
        <v>0</v>
      </c>
      <c r="F485" s="4">
        <f>IFERROR(__xludf.DUMMYFUNCTION("""COMPUTED_VALUE"""),0.0)</f>
        <v>0</v>
      </c>
      <c r="G485" s="4">
        <f>IFERROR(__xludf.DUMMYFUNCTION("""COMPUTED_VALUE"""),0.0)</f>
        <v>0</v>
      </c>
      <c r="H485" s="9">
        <f>IFERROR(__xludf.DUMMYFUNCTION("""COMPUTED_VALUE"""),1.32264)</f>
        <v>1.32264</v>
      </c>
      <c r="I485" s="4">
        <f>IFERROR(__xludf.DUMMYFUNCTION("""COMPUTED_VALUE"""),0.0)</f>
        <v>0</v>
      </c>
      <c r="J485" s="4">
        <f>IFERROR(__xludf.DUMMYFUNCTION("""COMPUTED_VALUE"""),0.0)</f>
        <v>0</v>
      </c>
      <c r="K485" s="4">
        <f>IFERROR(__xludf.DUMMYFUNCTION("""COMPUTED_VALUE"""),0.0)</f>
        <v>0</v>
      </c>
    </row>
    <row r="486" ht="22.5" customHeight="1">
      <c r="A486" s="2" t="str">
        <f>IFERROR(__xludf.DUMMYFUNCTION("""COMPUTED_VALUE"""),"L2")</f>
        <v>L2</v>
      </c>
      <c r="B486" s="2" t="str">
        <f>IFERROR(__xludf.DUMMYFUNCTION("""COMPUTED_VALUE"""),"2026-05")</f>
        <v>2026-05</v>
      </c>
      <c r="C486" s="2" t="str">
        <f>IFERROR(__xludf.DUMMYFUNCTION("""COMPUTED_VALUE"""),"MEMBER-SD")</f>
        <v>MEMBER-SD</v>
      </c>
      <c r="D486" s="2">
        <f>IFERROR(__xludf.DUMMYFUNCTION("""COMPUTED_VALUE"""),0.0)</f>
        <v>0</v>
      </c>
      <c r="E486" s="2">
        <f>IFERROR(__xludf.DUMMYFUNCTION("""COMPUTED_VALUE"""),0.0)</f>
        <v>0</v>
      </c>
      <c r="F486" s="4">
        <f>IFERROR(__xludf.DUMMYFUNCTION("""COMPUTED_VALUE"""),0.0)</f>
        <v>0</v>
      </c>
      <c r="G486" s="4">
        <f>IFERROR(__xludf.DUMMYFUNCTION("""COMPUTED_VALUE"""),0.0)</f>
        <v>0</v>
      </c>
      <c r="H486" s="9">
        <f>IFERROR(__xludf.DUMMYFUNCTION("""COMPUTED_VALUE"""),1.32264)</f>
        <v>1.32264</v>
      </c>
      <c r="I486" s="4">
        <f>IFERROR(__xludf.DUMMYFUNCTION("""COMPUTED_VALUE"""),0.0)</f>
        <v>0</v>
      </c>
      <c r="J486" s="4">
        <f>IFERROR(__xludf.DUMMYFUNCTION("""COMPUTED_VALUE"""),0.0)</f>
        <v>0</v>
      </c>
      <c r="K486" s="4">
        <f>IFERROR(__xludf.DUMMYFUNCTION("""COMPUTED_VALUE"""),0.0)</f>
        <v>0</v>
      </c>
    </row>
    <row r="487" ht="22.5" customHeight="1">
      <c r="A487" s="2" t="str">
        <f>IFERROR(__xludf.DUMMYFUNCTION("""COMPUTED_VALUE"""),"L2")</f>
        <v>L2</v>
      </c>
      <c r="B487" s="2" t="str">
        <f>IFERROR(__xludf.DUMMYFUNCTION("""COMPUTED_VALUE"""),"2026-06")</f>
        <v>2026-06</v>
      </c>
      <c r="C487" s="2" t="str">
        <f>IFERROR(__xludf.DUMMYFUNCTION("""COMPUTED_VALUE"""),"MEMBER-SD")</f>
        <v>MEMBER-SD</v>
      </c>
      <c r="D487" s="2">
        <f>IFERROR(__xludf.DUMMYFUNCTION("""COMPUTED_VALUE"""),0.0)</f>
        <v>0</v>
      </c>
      <c r="E487" s="2">
        <f>IFERROR(__xludf.DUMMYFUNCTION("""COMPUTED_VALUE"""),0.0)</f>
        <v>0</v>
      </c>
      <c r="F487" s="4">
        <f>IFERROR(__xludf.DUMMYFUNCTION("""COMPUTED_VALUE"""),0.0)</f>
        <v>0</v>
      </c>
      <c r="G487" s="4">
        <f>IFERROR(__xludf.DUMMYFUNCTION("""COMPUTED_VALUE"""),0.0)</f>
        <v>0</v>
      </c>
      <c r="H487" s="9">
        <f>IFERROR(__xludf.DUMMYFUNCTION("""COMPUTED_VALUE"""),1.32264)</f>
        <v>1.32264</v>
      </c>
      <c r="I487" s="4">
        <f>IFERROR(__xludf.DUMMYFUNCTION("""COMPUTED_VALUE"""),0.0)</f>
        <v>0</v>
      </c>
      <c r="J487" s="4">
        <f>IFERROR(__xludf.DUMMYFUNCTION("""COMPUTED_VALUE"""),0.0)</f>
        <v>0</v>
      </c>
      <c r="K487" s="4">
        <f>IFERROR(__xludf.DUMMYFUNCTION("""COMPUTED_VALUE"""),0.0)</f>
        <v>0</v>
      </c>
    </row>
    <row r="488" ht="22.5" customHeight="1">
      <c r="A488" s="2" t="str">
        <f>IFERROR(__xludf.DUMMYFUNCTION("""COMPUTED_VALUE"""),"L2")</f>
        <v>L2</v>
      </c>
      <c r="B488" s="2" t="str">
        <f>IFERROR(__xludf.DUMMYFUNCTION("""COMPUTED_VALUE"""),"2026-07")</f>
        <v>2026-07</v>
      </c>
      <c r="C488" s="2" t="str">
        <f>IFERROR(__xludf.DUMMYFUNCTION("""COMPUTED_VALUE"""),"MEMBER-SD")</f>
        <v>MEMBER-SD</v>
      </c>
      <c r="D488" s="2">
        <f>IFERROR(__xludf.DUMMYFUNCTION("""COMPUTED_VALUE"""),0.0)</f>
        <v>0</v>
      </c>
      <c r="E488" s="2">
        <f>IFERROR(__xludf.DUMMYFUNCTION("""COMPUTED_VALUE"""),0.0)</f>
        <v>0</v>
      </c>
      <c r="F488" s="4">
        <f>IFERROR(__xludf.DUMMYFUNCTION("""COMPUTED_VALUE"""),0.0)</f>
        <v>0</v>
      </c>
      <c r="G488" s="4">
        <f>IFERROR(__xludf.DUMMYFUNCTION("""COMPUTED_VALUE"""),0.0)</f>
        <v>0</v>
      </c>
      <c r="H488" s="9">
        <f>IFERROR(__xludf.DUMMYFUNCTION("""COMPUTED_VALUE"""),1.32264)</f>
        <v>1.32264</v>
      </c>
      <c r="I488" s="4">
        <f>IFERROR(__xludf.DUMMYFUNCTION("""COMPUTED_VALUE"""),0.0)</f>
        <v>0</v>
      </c>
      <c r="J488" s="4">
        <f>IFERROR(__xludf.DUMMYFUNCTION("""COMPUTED_VALUE"""),0.0)</f>
        <v>0</v>
      </c>
      <c r="K488" s="4">
        <f>IFERROR(__xludf.DUMMYFUNCTION("""COMPUTED_VALUE"""),0.0)</f>
        <v>0</v>
      </c>
    </row>
    <row r="489" ht="22.5" customHeight="1">
      <c r="A489" s="2" t="str">
        <f>IFERROR(__xludf.DUMMYFUNCTION("""COMPUTED_VALUE"""),"L2")</f>
        <v>L2</v>
      </c>
      <c r="B489" s="2" t="str">
        <f>IFERROR(__xludf.DUMMYFUNCTION("""COMPUTED_VALUE"""),"2026-08")</f>
        <v>2026-08</v>
      </c>
      <c r="C489" s="2" t="str">
        <f>IFERROR(__xludf.DUMMYFUNCTION("""COMPUTED_VALUE"""),"MEMBER-SD")</f>
        <v>MEMBER-SD</v>
      </c>
      <c r="D489" s="2">
        <f>IFERROR(__xludf.DUMMYFUNCTION("""COMPUTED_VALUE"""),0.0)</f>
        <v>0</v>
      </c>
      <c r="E489" s="2">
        <f>IFERROR(__xludf.DUMMYFUNCTION("""COMPUTED_VALUE"""),0.0)</f>
        <v>0</v>
      </c>
      <c r="F489" s="4">
        <f>IFERROR(__xludf.DUMMYFUNCTION("""COMPUTED_VALUE"""),0.0)</f>
        <v>0</v>
      </c>
      <c r="G489" s="4">
        <f>IFERROR(__xludf.DUMMYFUNCTION("""COMPUTED_VALUE"""),0.0)</f>
        <v>0</v>
      </c>
      <c r="H489" s="9">
        <f>IFERROR(__xludf.DUMMYFUNCTION("""COMPUTED_VALUE"""),1.32264)</f>
        <v>1.32264</v>
      </c>
      <c r="I489" s="4">
        <f>IFERROR(__xludf.DUMMYFUNCTION("""COMPUTED_VALUE"""),0.0)</f>
        <v>0</v>
      </c>
      <c r="J489" s="4">
        <f>IFERROR(__xludf.DUMMYFUNCTION("""COMPUTED_VALUE"""),0.0)</f>
        <v>0</v>
      </c>
      <c r="K489" s="4">
        <f>IFERROR(__xludf.DUMMYFUNCTION("""COMPUTED_VALUE"""),0.0)</f>
        <v>0</v>
      </c>
    </row>
    <row r="490" ht="22.5" customHeight="1">
      <c r="A490" s="2" t="str">
        <f>IFERROR(__xludf.DUMMYFUNCTION("""COMPUTED_VALUE"""),"L2")</f>
        <v>L2</v>
      </c>
      <c r="B490" s="2" t="str">
        <f>IFERROR(__xludf.DUMMYFUNCTION("""COMPUTED_VALUE"""),"2026-09")</f>
        <v>2026-09</v>
      </c>
      <c r="C490" s="2" t="str">
        <f>IFERROR(__xludf.DUMMYFUNCTION("""COMPUTED_VALUE"""),"MEMBER-SD")</f>
        <v>MEMBER-SD</v>
      </c>
      <c r="D490" s="2">
        <f>IFERROR(__xludf.DUMMYFUNCTION("""COMPUTED_VALUE"""),0.0)</f>
        <v>0</v>
      </c>
      <c r="E490" s="2">
        <f>IFERROR(__xludf.DUMMYFUNCTION("""COMPUTED_VALUE"""),0.0)</f>
        <v>0</v>
      </c>
      <c r="F490" s="4">
        <f>IFERROR(__xludf.DUMMYFUNCTION("""COMPUTED_VALUE"""),0.0)</f>
        <v>0</v>
      </c>
      <c r="G490" s="4">
        <f>IFERROR(__xludf.DUMMYFUNCTION("""COMPUTED_VALUE"""),0.0)</f>
        <v>0</v>
      </c>
      <c r="H490" s="9">
        <f>IFERROR(__xludf.DUMMYFUNCTION("""COMPUTED_VALUE"""),1.32264)</f>
        <v>1.32264</v>
      </c>
      <c r="I490" s="4">
        <f>IFERROR(__xludf.DUMMYFUNCTION("""COMPUTED_VALUE"""),0.0)</f>
        <v>0</v>
      </c>
      <c r="J490" s="4">
        <f>IFERROR(__xludf.DUMMYFUNCTION("""COMPUTED_VALUE"""),0.0)</f>
        <v>0</v>
      </c>
      <c r="K490" s="4">
        <f>IFERROR(__xludf.DUMMYFUNCTION("""COMPUTED_VALUE"""),0.0)</f>
        <v>0</v>
      </c>
    </row>
    <row r="491" ht="22.5" customHeight="1">
      <c r="A491" s="2" t="str">
        <f>IFERROR(__xludf.DUMMYFUNCTION("""COMPUTED_VALUE"""),"L2")</f>
        <v>L2</v>
      </c>
      <c r="B491" s="2" t="str">
        <f>IFERROR(__xludf.DUMMYFUNCTION("""COMPUTED_VALUE"""),"2026-10")</f>
        <v>2026-10</v>
      </c>
      <c r="C491" s="2" t="str">
        <f>IFERROR(__xludf.DUMMYFUNCTION("""COMPUTED_VALUE"""),"MEMBER-SD")</f>
        <v>MEMBER-SD</v>
      </c>
      <c r="D491" s="2">
        <f>IFERROR(__xludf.DUMMYFUNCTION("""COMPUTED_VALUE"""),0.0)</f>
        <v>0</v>
      </c>
      <c r="E491" s="2">
        <f>IFERROR(__xludf.DUMMYFUNCTION("""COMPUTED_VALUE"""),0.0)</f>
        <v>0</v>
      </c>
      <c r="F491" s="4">
        <f>IFERROR(__xludf.DUMMYFUNCTION("""COMPUTED_VALUE"""),0.0)</f>
        <v>0</v>
      </c>
      <c r="G491" s="4">
        <f>IFERROR(__xludf.DUMMYFUNCTION("""COMPUTED_VALUE"""),0.0)</f>
        <v>0</v>
      </c>
      <c r="H491" s="9">
        <f>IFERROR(__xludf.DUMMYFUNCTION("""COMPUTED_VALUE"""),1.32264)</f>
        <v>1.32264</v>
      </c>
      <c r="I491" s="4">
        <f>IFERROR(__xludf.DUMMYFUNCTION("""COMPUTED_VALUE"""),0.0)</f>
        <v>0</v>
      </c>
      <c r="J491" s="4">
        <f>IFERROR(__xludf.DUMMYFUNCTION("""COMPUTED_VALUE"""),0.0)</f>
        <v>0</v>
      </c>
      <c r="K491" s="4">
        <f>IFERROR(__xludf.DUMMYFUNCTION("""COMPUTED_VALUE"""),0.0)</f>
        <v>0</v>
      </c>
    </row>
    <row r="492" ht="22.5" customHeight="1">
      <c r="A492" s="2" t="str">
        <f>IFERROR(__xludf.DUMMYFUNCTION("""COMPUTED_VALUE"""),"L2")</f>
        <v>L2</v>
      </c>
      <c r="B492" s="2" t="str">
        <f>IFERROR(__xludf.DUMMYFUNCTION("""COMPUTED_VALUE"""),"2026-11")</f>
        <v>2026-11</v>
      </c>
      <c r="C492" s="2" t="str">
        <f>IFERROR(__xludf.DUMMYFUNCTION("""COMPUTED_VALUE"""),"MEMBER-SD")</f>
        <v>MEMBER-SD</v>
      </c>
      <c r="D492" s="2">
        <f>IFERROR(__xludf.DUMMYFUNCTION("""COMPUTED_VALUE"""),0.0)</f>
        <v>0</v>
      </c>
      <c r="E492" s="2">
        <f>IFERROR(__xludf.DUMMYFUNCTION("""COMPUTED_VALUE"""),0.0)</f>
        <v>0</v>
      </c>
      <c r="F492" s="4">
        <f>IFERROR(__xludf.DUMMYFUNCTION("""COMPUTED_VALUE"""),0.0)</f>
        <v>0</v>
      </c>
      <c r="G492" s="4">
        <f>IFERROR(__xludf.DUMMYFUNCTION("""COMPUTED_VALUE"""),0.0)</f>
        <v>0</v>
      </c>
      <c r="H492" s="9">
        <f>IFERROR(__xludf.DUMMYFUNCTION("""COMPUTED_VALUE"""),1.32264)</f>
        <v>1.32264</v>
      </c>
      <c r="I492" s="4">
        <f>IFERROR(__xludf.DUMMYFUNCTION("""COMPUTED_VALUE"""),0.0)</f>
        <v>0</v>
      </c>
      <c r="J492" s="4">
        <f>IFERROR(__xludf.DUMMYFUNCTION("""COMPUTED_VALUE"""),0.0)</f>
        <v>0</v>
      </c>
      <c r="K492" s="4">
        <f>IFERROR(__xludf.DUMMYFUNCTION("""COMPUTED_VALUE"""),0.0)</f>
        <v>0</v>
      </c>
    </row>
    <row r="493" ht="22.5" customHeight="1">
      <c r="A493" s="2" t="str">
        <f>IFERROR(__xludf.DUMMYFUNCTION("""COMPUTED_VALUE"""),"L2")</f>
        <v>L2</v>
      </c>
      <c r="B493" s="2" t="str">
        <f>IFERROR(__xludf.DUMMYFUNCTION("""COMPUTED_VALUE"""),"2026-12")</f>
        <v>2026-12</v>
      </c>
      <c r="C493" s="2" t="str">
        <f>IFERROR(__xludf.DUMMYFUNCTION("""COMPUTED_VALUE"""),"MEMBER-SD")</f>
        <v>MEMBER-SD</v>
      </c>
      <c r="D493" s="2">
        <f>IFERROR(__xludf.DUMMYFUNCTION("""COMPUTED_VALUE"""),0.0)</f>
        <v>0</v>
      </c>
      <c r="E493" s="2">
        <f>IFERROR(__xludf.DUMMYFUNCTION("""COMPUTED_VALUE"""),0.0)</f>
        <v>0</v>
      </c>
      <c r="F493" s="4">
        <f>IFERROR(__xludf.DUMMYFUNCTION("""COMPUTED_VALUE"""),0.0)</f>
        <v>0</v>
      </c>
      <c r="G493" s="4">
        <f>IFERROR(__xludf.DUMMYFUNCTION("""COMPUTED_VALUE"""),0.0)</f>
        <v>0</v>
      </c>
      <c r="H493" s="9">
        <f>IFERROR(__xludf.DUMMYFUNCTION("""COMPUTED_VALUE"""),1.32264)</f>
        <v>1.32264</v>
      </c>
      <c r="I493" s="4">
        <f>IFERROR(__xludf.DUMMYFUNCTION("""COMPUTED_VALUE"""),0.0)</f>
        <v>0</v>
      </c>
      <c r="J493" s="4">
        <f>IFERROR(__xludf.DUMMYFUNCTION("""COMPUTED_VALUE"""),0.0)</f>
        <v>0</v>
      </c>
      <c r="K493" s="4">
        <f>IFERROR(__xludf.DUMMYFUNCTION("""COMPUTED_VALUE"""),0.0)</f>
        <v>0</v>
      </c>
    </row>
    <row r="494" ht="22.5" customHeight="1">
      <c r="A494" s="2" t="str">
        <f>IFERROR(__xludf.DUMMYFUNCTION("""COMPUTED_VALUE"""),"L2")</f>
        <v>L2</v>
      </c>
      <c r="B494" s="2" t="str">
        <f>IFERROR(__xludf.DUMMYFUNCTION("""COMPUTED_VALUE"""),"2026-01")</f>
        <v>2026-01</v>
      </c>
      <c r="C494" s="2" t="str">
        <f>IFERROR(__xludf.DUMMYFUNCTION("""COMPUTED_VALUE"""),"MEMBER-SD - LX")</f>
        <v>MEMBER-SD - LX</v>
      </c>
      <c r="D494" s="2">
        <f>IFERROR(__xludf.DUMMYFUNCTION("""COMPUTED_VALUE"""),0.0)</f>
        <v>0</v>
      </c>
      <c r="E494" s="2">
        <f>IFERROR(__xludf.DUMMYFUNCTION("""COMPUTED_VALUE"""),0.0)</f>
        <v>0</v>
      </c>
      <c r="F494" s="4">
        <f>IFERROR(__xludf.DUMMYFUNCTION("""COMPUTED_VALUE"""),0.0)</f>
        <v>0</v>
      </c>
      <c r="G494" s="4">
        <f>IFERROR(__xludf.DUMMYFUNCTION("""COMPUTED_VALUE"""),0.0)</f>
        <v>0</v>
      </c>
      <c r="H494" s="9">
        <f>IFERROR(__xludf.DUMMYFUNCTION("""COMPUTED_VALUE"""),1.32264)</f>
        <v>1.32264</v>
      </c>
      <c r="I494" s="4">
        <f>IFERROR(__xludf.DUMMYFUNCTION("""COMPUTED_VALUE"""),0.0)</f>
        <v>0</v>
      </c>
      <c r="J494" s="4">
        <f>IFERROR(__xludf.DUMMYFUNCTION("""COMPUTED_VALUE"""),33544.644)</f>
        <v>33544.644</v>
      </c>
      <c r="K494" s="4">
        <f>IFERROR(__xludf.DUMMYFUNCTION("""COMPUTED_VALUE"""),33544.644)</f>
        <v>33544.644</v>
      </c>
    </row>
    <row r="495" ht="22.5" customHeight="1">
      <c r="A495" s="2" t="str">
        <f>IFERROR(__xludf.DUMMYFUNCTION("""COMPUTED_VALUE"""),"L2")</f>
        <v>L2</v>
      </c>
      <c r="B495" s="2" t="str">
        <f>IFERROR(__xludf.DUMMYFUNCTION("""COMPUTED_VALUE"""),"2026-02")</f>
        <v>2026-02</v>
      </c>
      <c r="C495" s="2" t="str">
        <f>IFERROR(__xludf.DUMMYFUNCTION("""COMPUTED_VALUE"""),"MEMBER-SD - LX")</f>
        <v>MEMBER-SD - LX</v>
      </c>
      <c r="D495" s="2">
        <f>IFERROR(__xludf.DUMMYFUNCTION("""COMPUTED_VALUE"""),0.0)</f>
        <v>0</v>
      </c>
      <c r="E495" s="2">
        <f>IFERROR(__xludf.DUMMYFUNCTION("""COMPUTED_VALUE"""),2.0)</f>
        <v>2</v>
      </c>
      <c r="F495" s="4">
        <f>IFERROR(__xludf.DUMMYFUNCTION("""COMPUTED_VALUE"""),0.0)</f>
        <v>0</v>
      </c>
      <c r="G495" s="4">
        <f>IFERROR(__xludf.DUMMYFUNCTION("""COMPUTED_VALUE"""),6458.0)</f>
        <v>6458</v>
      </c>
      <c r="H495" s="9">
        <f>IFERROR(__xludf.DUMMYFUNCTION("""COMPUTED_VALUE"""),1.32264)</f>
        <v>1.32264</v>
      </c>
      <c r="I495" s="4">
        <f>IFERROR(__xludf.DUMMYFUNCTION("""COMPUTED_VALUE"""),8541.609120000001)</f>
        <v>8541.60912</v>
      </c>
      <c r="J495" s="4">
        <f>IFERROR(__xludf.DUMMYFUNCTION("""COMPUTED_VALUE"""),0.0)</f>
        <v>0</v>
      </c>
      <c r="K495" s="4">
        <f>IFERROR(__xludf.DUMMYFUNCTION("""COMPUTED_VALUE"""),8541.609120000001)</f>
        <v>8541.60912</v>
      </c>
    </row>
    <row r="496" ht="22.5" customHeight="1">
      <c r="A496" s="2" t="str">
        <f>IFERROR(__xludf.DUMMYFUNCTION("""COMPUTED_VALUE"""),"L2")</f>
        <v>L2</v>
      </c>
      <c r="B496" s="2" t="str">
        <f>IFERROR(__xludf.DUMMYFUNCTION("""COMPUTED_VALUE"""),"2026-03")</f>
        <v>2026-03</v>
      </c>
      <c r="C496" s="2" t="str">
        <f>IFERROR(__xludf.DUMMYFUNCTION("""COMPUTED_VALUE"""),"MEMBER-SD - LX")</f>
        <v>MEMBER-SD - LX</v>
      </c>
      <c r="D496" s="2">
        <f>IFERROR(__xludf.DUMMYFUNCTION("""COMPUTED_VALUE"""),0.0)</f>
        <v>0</v>
      </c>
      <c r="E496" s="2">
        <f>IFERROR(__xludf.DUMMYFUNCTION("""COMPUTED_VALUE"""),0.0)</f>
        <v>0</v>
      </c>
      <c r="F496" s="4">
        <f>IFERROR(__xludf.DUMMYFUNCTION("""COMPUTED_VALUE"""),0.0)</f>
        <v>0</v>
      </c>
      <c r="G496" s="4">
        <f>IFERROR(__xludf.DUMMYFUNCTION("""COMPUTED_VALUE"""),0.0)</f>
        <v>0</v>
      </c>
      <c r="H496" s="9">
        <f>IFERROR(__xludf.DUMMYFUNCTION("""COMPUTED_VALUE"""),1.32264)</f>
        <v>1.32264</v>
      </c>
      <c r="I496" s="4">
        <f>IFERROR(__xludf.DUMMYFUNCTION("""COMPUTED_VALUE"""),0.0)</f>
        <v>0</v>
      </c>
      <c r="J496" s="4">
        <f>IFERROR(__xludf.DUMMYFUNCTION("""COMPUTED_VALUE"""),0.0)</f>
        <v>0</v>
      </c>
      <c r="K496" s="4">
        <f>IFERROR(__xludf.DUMMYFUNCTION("""COMPUTED_VALUE"""),0.0)</f>
        <v>0</v>
      </c>
    </row>
    <row r="497" ht="22.5" customHeight="1">
      <c r="A497" s="2" t="str">
        <f>IFERROR(__xludf.DUMMYFUNCTION("""COMPUTED_VALUE"""),"L2")</f>
        <v>L2</v>
      </c>
      <c r="B497" s="2" t="str">
        <f>IFERROR(__xludf.DUMMYFUNCTION("""COMPUTED_VALUE"""),"2026-04")</f>
        <v>2026-04</v>
      </c>
      <c r="C497" s="2" t="str">
        <f>IFERROR(__xludf.DUMMYFUNCTION("""COMPUTED_VALUE"""),"MEMBER-SD - LX")</f>
        <v>MEMBER-SD - LX</v>
      </c>
      <c r="D497" s="2">
        <f>IFERROR(__xludf.DUMMYFUNCTION("""COMPUTED_VALUE"""),0.0)</f>
        <v>0</v>
      </c>
      <c r="E497" s="2">
        <f>IFERROR(__xludf.DUMMYFUNCTION("""COMPUTED_VALUE"""),0.0)</f>
        <v>0</v>
      </c>
      <c r="F497" s="4">
        <f>IFERROR(__xludf.DUMMYFUNCTION("""COMPUTED_VALUE"""),0.0)</f>
        <v>0</v>
      </c>
      <c r="G497" s="4">
        <f>IFERROR(__xludf.DUMMYFUNCTION("""COMPUTED_VALUE"""),0.0)</f>
        <v>0</v>
      </c>
      <c r="H497" s="9">
        <f>IFERROR(__xludf.DUMMYFUNCTION("""COMPUTED_VALUE"""),1.32264)</f>
        <v>1.32264</v>
      </c>
      <c r="I497" s="4">
        <f>IFERROR(__xludf.DUMMYFUNCTION("""COMPUTED_VALUE"""),0.0)</f>
        <v>0</v>
      </c>
      <c r="J497" s="4">
        <f>IFERROR(__xludf.DUMMYFUNCTION("""COMPUTED_VALUE"""),0.0)</f>
        <v>0</v>
      </c>
      <c r="K497" s="4">
        <f>IFERROR(__xludf.DUMMYFUNCTION("""COMPUTED_VALUE"""),0.0)</f>
        <v>0</v>
      </c>
    </row>
    <row r="498" ht="22.5" customHeight="1">
      <c r="A498" s="2" t="str">
        <f>IFERROR(__xludf.DUMMYFUNCTION("""COMPUTED_VALUE"""),"L2")</f>
        <v>L2</v>
      </c>
      <c r="B498" s="2" t="str">
        <f>IFERROR(__xludf.DUMMYFUNCTION("""COMPUTED_VALUE"""),"2026-05")</f>
        <v>2026-05</v>
      </c>
      <c r="C498" s="2" t="str">
        <f>IFERROR(__xludf.DUMMYFUNCTION("""COMPUTED_VALUE"""),"MEMBER-SD - LX")</f>
        <v>MEMBER-SD - LX</v>
      </c>
      <c r="D498" s="2">
        <f>IFERROR(__xludf.DUMMYFUNCTION("""COMPUTED_VALUE"""),0.0)</f>
        <v>0</v>
      </c>
      <c r="E498" s="2">
        <f>IFERROR(__xludf.DUMMYFUNCTION("""COMPUTED_VALUE"""),0.0)</f>
        <v>0</v>
      </c>
      <c r="F498" s="4">
        <f>IFERROR(__xludf.DUMMYFUNCTION("""COMPUTED_VALUE"""),0.0)</f>
        <v>0</v>
      </c>
      <c r="G498" s="4">
        <f>IFERROR(__xludf.DUMMYFUNCTION("""COMPUTED_VALUE"""),0.0)</f>
        <v>0</v>
      </c>
      <c r="H498" s="9">
        <f>IFERROR(__xludf.DUMMYFUNCTION("""COMPUTED_VALUE"""),1.32264)</f>
        <v>1.32264</v>
      </c>
      <c r="I498" s="4">
        <f>IFERROR(__xludf.DUMMYFUNCTION("""COMPUTED_VALUE"""),0.0)</f>
        <v>0</v>
      </c>
      <c r="J498" s="4">
        <f>IFERROR(__xludf.DUMMYFUNCTION("""COMPUTED_VALUE"""),0.0)</f>
        <v>0</v>
      </c>
      <c r="K498" s="4">
        <f>IFERROR(__xludf.DUMMYFUNCTION("""COMPUTED_VALUE"""),0.0)</f>
        <v>0</v>
      </c>
    </row>
    <row r="499" ht="22.5" customHeight="1">
      <c r="A499" s="2" t="str">
        <f>IFERROR(__xludf.DUMMYFUNCTION("""COMPUTED_VALUE"""),"L2")</f>
        <v>L2</v>
      </c>
      <c r="B499" s="2" t="str">
        <f>IFERROR(__xludf.DUMMYFUNCTION("""COMPUTED_VALUE"""),"2026-06")</f>
        <v>2026-06</v>
      </c>
      <c r="C499" s="2" t="str">
        <f>IFERROR(__xludf.DUMMYFUNCTION("""COMPUTED_VALUE"""),"MEMBER-SD - LX")</f>
        <v>MEMBER-SD - LX</v>
      </c>
      <c r="D499" s="2">
        <f>IFERROR(__xludf.DUMMYFUNCTION("""COMPUTED_VALUE"""),0.0)</f>
        <v>0</v>
      </c>
      <c r="E499" s="2">
        <f>IFERROR(__xludf.DUMMYFUNCTION("""COMPUTED_VALUE"""),0.0)</f>
        <v>0</v>
      </c>
      <c r="F499" s="4">
        <f>IFERROR(__xludf.DUMMYFUNCTION("""COMPUTED_VALUE"""),0.0)</f>
        <v>0</v>
      </c>
      <c r="G499" s="4">
        <f>IFERROR(__xludf.DUMMYFUNCTION("""COMPUTED_VALUE"""),0.0)</f>
        <v>0</v>
      </c>
      <c r="H499" s="9">
        <f>IFERROR(__xludf.DUMMYFUNCTION("""COMPUTED_VALUE"""),1.32264)</f>
        <v>1.32264</v>
      </c>
      <c r="I499" s="4">
        <f>IFERROR(__xludf.DUMMYFUNCTION("""COMPUTED_VALUE"""),0.0)</f>
        <v>0</v>
      </c>
      <c r="J499" s="4">
        <f>IFERROR(__xludf.DUMMYFUNCTION("""COMPUTED_VALUE"""),0.0)</f>
        <v>0</v>
      </c>
      <c r="K499" s="4">
        <f>IFERROR(__xludf.DUMMYFUNCTION("""COMPUTED_VALUE"""),0.0)</f>
        <v>0</v>
      </c>
    </row>
    <row r="500" ht="22.5" customHeight="1">
      <c r="A500" s="2" t="str">
        <f>IFERROR(__xludf.DUMMYFUNCTION("""COMPUTED_VALUE"""),"L2")</f>
        <v>L2</v>
      </c>
      <c r="B500" s="2" t="str">
        <f>IFERROR(__xludf.DUMMYFUNCTION("""COMPUTED_VALUE"""),"2026-07")</f>
        <v>2026-07</v>
      </c>
      <c r="C500" s="2" t="str">
        <f>IFERROR(__xludf.DUMMYFUNCTION("""COMPUTED_VALUE"""),"MEMBER-SD - LX")</f>
        <v>MEMBER-SD - LX</v>
      </c>
      <c r="D500" s="2">
        <f>IFERROR(__xludf.DUMMYFUNCTION("""COMPUTED_VALUE"""),0.0)</f>
        <v>0</v>
      </c>
      <c r="E500" s="2">
        <f>IFERROR(__xludf.DUMMYFUNCTION("""COMPUTED_VALUE"""),5.0)</f>
        <v>5</v>
      </c>
      <c r="F500" s="4">
        <f>IFERROR(__xludf.DUMMYFUNCTION("""COMPUTED_VALUE"""),0.0)</f>
        <v>0</v>
      </c>
      <c r="G500" s="4">
        <f>IFERROR(__xludf.DUMMYFUNCTION("""COMPUTED_VALUE"""),17750.0)</f>
        <v>17750</v>
      </c>
      <c r="H500" s="9">
        <f>IFERROR(__xludf.DUMMYFUNCTION("""COMPUTED_VALUE"""),1.32264)</f>
        <v>1.32264</v>
      </c>
      <c r="I500" s="4">
        <f>IFERROR(__xludf.DUMMYFUNCTION("""COMPUTED_VALUE"""),23476.86)</f>
        <v>23476.86</v>
      </c>
      <c r="J500" s="4">
        <f>IFERROR(__xludf.DUMMYFUNCTION("""COMPUTED_VALUE"""),0.0)</f>
        <v>0</v>
      </c>
      <c r="K500" s="4">
        <f>IFERROR(__xludf.DUMMYFUNCTION("""COMPUTED_VALUE"""),23476.86)</f>
        <v>23476.86</v>
      </c>
    </row>
    <row r="501" ht="22.5" customHeight="1">
      <c r="A501" s="2" t="str">
        <f>IFERROR(__xludf.DUMMYFUNCTION("""COMPUTED_VALUE"""),"L2")</f>
        <v>L2</v>
      </c>
      <c r="B501" s="2" t="str">
        <f>IFERROR(__xludf.DUMMYFUNCTION("""COMPUTED_VALUE"""),"2026-08")</f>
        <v>2026-08</v>
      </c>
      <c r="C501" s="2" t="str">
        <f>IFERROR(__xludf.DUMMYFUNCTION("""COMPUTED_VALUE"""),"MEMBER-SD - LX")</f>
        <v>MEMBER-SD - LX</v>
      </c>
      <c r="D501" s="2">
        <f>IFERROR(__xludf.DUMMYFUNCTION("""COMPUTED_VALUE"""),174.0)</f>
        <v>174</v>
      </c>
      <c r="E501" s="2">
        <f>IFERROR(__xludf.DUMMYFUNCTION("""COMPUTED_VALUE"""),5.0)</f>
        <v>5</v>
      </c>
      <c r="F501" s="4">
        <f>IFERROR(__xludf.DUMMYFUNCTION("""COMPUTED_VALUE"""),904925.28)</f>
        <v>904925.28</v>
      </c>
      <c r="G501" s="4">
        <f>IFERROR(__xludf.DUMMYFUNCTION("""COMPUTED_VALUE"""),17810.0)</f>
        <v>17810</v>
      </c>
      <c r="H501" s="9">
        <f>IFERROR(__xludf.DUMMYFUNCTION("""COMPUTED_VALUE"""),1.32264)</f>
        <v>1.32264</v>
      </c>
      <c r="I501" s="4">
        <f>IFERROR(__xludf.DUMMYFUNCTION("""COMPUTED_VALUE"""),1220446.5907392001)</f>
        <v>1220446.591</v>
      </c>
      <c r="J501" s="4">
        <f>IFERROR(__xludf.DUMMYFUNCTION("""COMPUTED_VALUE"""),0.0)</f>
        <v>0</v>
      </c>
      <c r="K501" s="4">
        <f>IFERROR(__xludf.DUMMYFUNCTION("""COMPUTED_VALUE"""),1220446.5907392001)</f>
        <v>1220446.591</v>
      </c>
    </row>
    <row r="502" ht="22.5" customHeight="1">
      <c r="A502" s="2" t="str">
        <f>IFERROR(__xludf.DUMMYFUNCTION("""COMPUTED_VALUE"""),"L2")</f>
        <v>L2</v>
      </c>
      <c r="B502" s="2" t="str">
        <f>IFERROR(__xludf.DUMMYFUNCTION("""COMPUTED_VALUE"""),"2026-09")</f>
        <v>2026-09</v>
      </c>
      <c r="C502" s="2" t="str">
        <f>IFERROR(__xludf.DUMMYFUNCTION("""COMPUTED_VALUE"""),"MEMBER-SD - LX")</f>
        <v>MEMBER-SD - LX</v>
      </c>
      <c r="D502" s="2">
        <f>IFERROR(__xludf.DUMMYFUNCTION("""COMPUTED_VALUE"""),0.0)</f>
        <v>0</v>
      </c>
      <c r="E502" s="2">
        <f>IFERROR(__xludf.DUMMYFUNCTION("""COMPUTED_VALUE"""),0.0)</f>
        <v>0</v>
      </c>
      <c r="F502" s="4">
        <f>IFERROR(__xludf.DUMMYFUNCTION("""COMPUTED_VALUE"""),0.0)</f>
        <v>0</v>
      </c>
      <c r="G502" s="4">
        <f>IFERROR(__xludf.DUMMYFUNCTION("""COMPUTED_VALUE"""),0.0)</f>
        <v>0</v>
      </c>
      <c r="H502" s="9">
        <f>IFERROR(__xludf.DUMMYFUNCTION("""COMPUTED_VALUE"""),1.32264)</f>
        <v>1.32264</v>
      </c>
      <c r="I502" s="4">
        <f>IFERROR(__xludf.DUMMYFUNCTION("""COMPUTED_VALUE"""),0.0)</f>
        <v>0</v>
      </c>
      <c r="J502" s="4">
        <f>IFERROR(__xludf.DUMMYFUNCTION("""COMPUTED_VALUE"""),0.0)</f>
        <v>0</v>
      </c>
      <c r="K502" s="4">
        <f>IFERROR(__xludf.DUMMYFUNCTION("""COMPUTED_VALUE"""),0.0)</f>
        <v>0</v>
      </c>
    </row>
    <row r="503" ht="22.5" customHeight="1">
      <c r="A503" s="2" t="str">
        <f>IFERROR(__xludf.DUMMYFUNCTION("""COMPUTED_VALUE"""),"L2")</f>
        <v>L2</v>
      </c>
      <c r="B503" s="2" t="str">
        <f>IFERROR(__xludf.DUMMYFUNCTION("""COMPUTED_VALUE"""),"2026-10")</f>
        <v>2026-10</v>
      </c>
      <c r="C503" s="2" t="str">
        <f>IFERROR(__xludf.DUMMYFUNCTION("""COMPUTED_VALUE"""),"MEMBER-SD - LX")</f>
        <v>MEMBER-SD - LX</v>
      </c>
      <c r="D503" s="2">
        <f>IFERROR(__xludf.DUMMYFUNCTION("""COMPUTED_VALUE"""),0.0)</f>
        <v>0</v>
      </c>
      <c r="E503" s="2">
        <f>IFERROR(__xludf.DUMMYFUNCTION("""COMPUTED_VALUE"""),0.0)</f>
        <v>0</v>
      </c>
      <c r="F503" s="4">
        <f>IFERROR(__xludf.DUMMYFUNCTION("""COMPUTED_VALUE"""),0.0)</f>
        <v>0</v>
      </c>
      <c r="G503" s="4">
        <f>IFERROR(__xludf.DUMMYFUNCTION("""COMPUTED_VALUE"""),0.0)</f>
        <v>0</v>
      </c>
      <c r="H503" s="9">
        <f>IFERROR(__xludf.DUMMYFUNCTION("""COMPUTED_VALUE"""),1.32264)</f>
        <v>1.32264</v>
      </c>
      <c r="I503" s="4">
        <f>IFERROR(__xludf.DUMMYFUNCTION("""COMPUTED_VALUE"""),0.0)</f>
        <v>0</v>
      </c>
      <c r="J503" s="4">
        <f>IFERROR(__xludf.DUMMYFUNCTION("""COMPUTED_VALUE"""),0.0)</f>
        <v>0</v>
      </c>
      <c r="K503" s="4">
        <f>IFERROR(__xludf.DUMMYFUNCTION("""COMPUTED_VALUE"""),0.0)</f>
        <v>0</v>
      </c>
    </row>
    <row r="504" ht="22.5" customHeight="1">
      <c r="A504" s="2" t="str">
        <f>IFERROR(__xludf.DUMMYFUNCTION("""COMPUTED_VALUE"""),"L2")</f>
        <v>L2</v>
      </c>
      <c r="B504" s="2" t="str">
        <f>IFERROR(__xludf.DUMMYFUNCTION("""COMPUTED_VALUE"""),"2026-11")</f>
        <v>2026-11</v>
      </c>
      <c r="C504" s="2" t="str">
        <f>IFERROR(__xludf.DUMMYFUNCTION("""COMPUTED_VALUE"""),"MEMBER-SD - LX")</f>
        <v>MEMBER-SD - LX</v>
      </c>
      <c r="D504" s="2">
        <f>IFERROR(__xludf.DUMMYFUNCTION("""COMPUTED_VALUE"""),141.0)</f>
        <v>141</v>
      </c>
      <c r="E504" s="2">
        <f>IFERROR(__xludf.DUMMYFUNCTION("""COMPUTED_VALUE"""),5.0)</f>
        <v>5</v>
      </c>
      <c r="F504" s="4">
        <f>IFERROR(__xludf.DUMMYFUNCTION("""COMPUTED_VALUE"""),733301.52)</f>
        <v>733301.52</v>
      </c>
      <c r="G504" s="4">
        <f>IFERROR(__xludf.DUMMYFUNCTION("""COMPUTED_VALUE"""),18185.0)</f>
        <v>18185</v>
      </c>
      <c r="H504" s="9">
        <f>IFERROR(__xludf.DUMMYFUNCTION("""COMPUTED_VALUE"""),1.32264)</f>
        <v>1.32264</v>
      </c>
      <c r="I504" s="4">
        <f>IFERROR(__xludf.DUMMYFUNCTION("""COMPUTED_VALUE"""),993946.1308128)</f>
        <v>993946.1308</v>
      </c>
      <c r="J504" s="4">
        <f>IFERROR(__xludf.DUMMYFUNCTION("""COMPUTED_VALUE"""),0.0)</f>
        <v>0</v>
      </c>
      <c r="K504" s="4">
        <f>IFERROR(__xludf.DUMMYFUNCTION("""COMPUTED_VALUE"""),993946.1308128)</f>
        <v>993946.1308</v>
      </c>
    </row>
    <row r="505" ht="22.5" customHeight="1">
      <c r="A505" s="2" t="str">
        <f>IFERROR(__xludf.DUMMYFUNCTION("""COMPUTED_VALUE"""),"L2")</f>
        <v>L2</v>
      </c>
      <c r="B505" s="2" t="str">
        <f>IFERROR(__xludf.DUMMYFUNCTION("""COMPUTED_VALUE"""),"2026-12")</f>
        <v>2026-12</v>
      </c>
      <c r="C505" s="2" t="str">
        <f>IFERROR(__xludf.DUMMYFUNCTION("""COMPUTED_VALUE"""),"MEMBER-SD - LX")</f>
        <v>MEMBER-SD - LX</v>
      </c>
      <c r="D505" s="2">
        <f>IFERROR(__xludf.DUMMYFUNCTION("""COMPUTED_VALUE"""),0.0)</f>
        <v>0</v>
      </c>
      <c r="E505" s="2">
        <f>IFERROR(__xludf.DUMMYFUNCTION("""COMPUTED_VALUE"""),0.0)</f>
        <v>0</v>
      </c>
      <c r="F505" s="4">
        <f>IFERROR(__xludf.DUMMYFUNCTION("""COMPUTED_VALUE"""),0.0)</f>
        <v>0</v>
      </c>
      <c r="G505" s="4">
        <f>IFERROR(__xludf.DUMMYFUNCTION("""COMPUTED_VALUE"""),0.0)</f>
        <v>0</v>
      </c>
      <c r="H505" s="9">
        <f>IFERROR(__xludf.DUMMYFUNCTION("""COMPUTED_VALUE"""),1.32264)</f>
        <v>1.32264</v>
      </c>
      <c r="I505" s="4">
        <f>IFERROR(__xludf.DUMMYFUNCTION("""COMPUTED_VALUE"""),0.0)</f>
        <v>0</v>
      </c>
      <c r="J505" s="4">
        <f>IFERROR(__xludf.DUMMYFUNCTION("""COMPUTED_VALUE"""),0.0)</f>
        <v>0</v>
      </c>
      <c r="K505" s="4">
        <f>IFERROR(__xludf.DUMMYFUNCTION("""COMPUTED_VALUE"""),0.0)</f>
        <v>0</v>
      </c>
    </row>
    <row r="506" ht="22.5" customHeight="1">
      <c r="A506" s="2" t="str">
        <f>IFERROR(__xludf.DUMMYFUNCTION("""COMPUTED_VALUE"""),"L2")</f>
        <v>L2</v>
      </c>
      <c r="B506" s="2" t="str">
        <f>IFERROR(__xludf.DUMMYFUNCTION("""COMPUTED_VALUE"""),"2026-01")</f>
        <v>2026-01</v>
      </c>
      <c r="C506" s="2" t="str">
        <f>IFERROR(__xludf.DUMMYFUNCTION("""COMPUTED_VALUE"""),"MEMBER-SUV")</f>
        <v>MEMBER-SUV</v>
      </c>
      <c r="D506" s="2">
        <f>IFERROR(__xludf.DUMMYFUNCTION("""COMPUTED_VALUE"""),0.0)</f>
        <v>0</v>
      </c>
      <c r="E506" s="2">
        <f>IFERROR(__xludf.DUMMYFUNCTION("""COMPUTED_VALUE"""),0.0)</f>
        <v>0</v>
      </c>
      <c r="F506" s="4">
        <f>IFERROR(__xludf.DUMMYFUNCTION("""COMPUTED_VALUE"""),0.0)</f>
        <v>0</v>
      </c>
      <c r="G506" s="4">
        <f>IFERROR(__xludf.DUMMYFUNCTION("""COMPUTED_VALUE"""),0.0)</f>
        <v>0</v>
      </c>
      <c r="H506" s="9">
        <f>IFERROR(__xludf.DUMMYFUNCTION("""COMPUTED_VALUE"""),1.32264)</f>
        <v>1.32264</v>
      </c>
      <c r="I506" s="4">
        <f>IFERROR(__xludf.DUMMYFUNCTION("""COMPUTED_VALUE"""),0.0)</f>
        <v>0</v>
      </c>
      <c r="J506" s="4">
        <f>IFERROR(__xludf.DUMMYFUNCTION("""COMPUTED_VALUE"""),4190.433333333333)</f>
        <v>4190.433333</v>
      </c>
      <c r="K506" s="4">
        <f>IFERROR(__xludf.DUMMYFUNCTION("""COMPUTED_VALUE"""),4190.433333333333)</f>
        <v>4190.433333</v>
      </c>
    </row>
    <row r="507" ht="22.5" customHeight="1">
      <c r="A507" s="2" t="str">
        <f>IFERROR(__xludf.DUMMYFUNCTION("""COMPUTED_VALUE"""),"L2")</f>
        <v>L2</v>
      </c>
      <c r="B507" s="2" t="str">
        <f>IFERROR(__xludf.DUMMYFUNCTION("""COMPUTED_VALUE"""),"2026-02")</f>
        <v>2026-02</v>
      </c>
      <c r="C507" s="2" t="str">
        <f>IFERROR(__xludf.DUMMYFUNCTION("""COMPUTED_VALUE"""),"MEMBER-SUV")</f>
        <v>MEMBER-SUV</v>
      </c>
      <c r="D507" s="2">
        <f>IFERROR(__xludf.DUMMYFUNCTION("""COMPUTED_VALUE"""),0.0)</f>
        <v>0</v>
      </c>
      <c r="E507" s="2">
        <f>IFERROR(__xludf.DUMMYFUNCTION("""COMPUTED_VALUE"""),0.0)</f>
        <v>0</v>
      </c>
      <c r="F507" s="4">
        <f>IFERROR(__xludf.DUMMYFUNCTION("""COMPUTED_VALUE"""),0.0)</f>
        <v>0</v>
      </c>
      <c r="G507" s="4">
        <f>IFERROR(__xludf.DUMMYFUNCTION("""COMPUTED_VALUE"""),0.0)</f>
        <v>0</v>
      </c>
      <c r="H507" s="9">
        <f>IFERROR(__xludf.DUMMYFUNCTION("""COMPUTED_VALUE"""),1.32264)</f>
        <v>1.32264</v>
      </c>
      <c r="I507" s="4">
        <f>IFERROR(__xludf.DUMMYFUNCTION("""COMPUTED_VALUE"""),0.0)</f>
        <v>0</v>
      </c>
      <c r="J507" s="4">
        <f>IFERROR(__xludf.DUMMYFUNCTION("""COMPUTED_VALUE"""),454.96133333333336)</f>
        <v>454.9613333</v>
      </c>
      <c r="K507" s="4">
        <f>IFERROR(__xludf.DUMMYFUNCTION("""COMPUTED_VALUE"""),454.96133333333336)</f>
        <v>454.9613333</v>
      </c>
    </row>
    <row r="508" ht="22.5" customHeight="1">
      <c r="A508" s="2" t="str">
        <f>IFERROR(__xludf.DUMMYFUNCTION("""COMPUTED_VALUE"""),"L2")</f>
        <v>L2</v>
      </c>
      <c r="B508" s="2" t="str">
        <f>IFERROR(__xludf.DUMMYFUNCTION("""COMPUTED_VALUE"""),"2026-03")</f>
        <v>2026-03</v>
      </c>
      <c r="C508" s="2" t="str">
        <f>IFERROR(__xludf.DUMMYFUNCTION("""COMPUTED_VALUE"""),"MEMBER-SUV")</f>
        <v>MEMBER-SUV</v>
      </c>
      <c r="D508" s="2">
        <f>IFERROR(__xludf.DUMMYFUNCTION("""COMPUTED_VALUE"""),0.0)</f>
        <v>0</v>
      </c>
      <c r="E508" s="2">
        <f>IFERROR(__xludf.DUMMYFUNCTION("""COMPUTED_VALUE"""),0.0)</f>
        <v>0</v>
      </c>
      <c r="F508" s="4">
        <f>IFERROR(__xludf.DUMMYFUNCTION("""COMPUTED_VALUE"""),0.0)</f>
        <v>0</v>
      </c>
      <c r="G508" s="4">
        <f>IFERROR(__xludf.DUMMYFUNCTION("""COMPUTED_VALUE"""),0.0)</f>
        <v>0</v>
      </c>
      <c r="H508" s="9">
        <f>IFERROR(__xludf.DUMMYFUNCTION("""COMPUTED_VALUE"""),1.32264)</f>
        <v>1.32264</v>
      </c>
      <c r="I508" s="4">
        <f>IFERROR(__xludf.DUMMYFUNCTION("""COMPUTED_VALUE"""),0.0)</f>
        <v>0</v>
      </c>
      <c r="J508" s="4">
        <f>IFERROR(__xludf.DUMMYFUNCTION("""COMPUTED_VALUE"""),454.96133333333336)</f>
        <v>454.9613333</v>
      </c>
      <c r="K508" s="4">
        <f>IFERROR(__xludf.DUMMYFUNCTION("""COMPUTED_VALUE"""),454.96133333333336)</f>
        <v>454.9613333</v>
      </c>
    </row>
    <row r="509" ht="22.5" customHeight="1">
      <c r="A509" s="2" t="str">
        <f>IFERROR(__xludf.DUMMYFUNCTION("""COMPUTED_VALUE"""),"L2")</f>
        <v>L2</v>
      </c>
      <c r="B509" s="2" t="str">
        <f>IFERROR(__xludf.DUMMYFUNCTION("""COMPUTED_VALUE"""),"2026-04")</f>
        <v>2026-04</v>
      </c>
      <c r="C509" s="2" t="str">
        <f>IFERROR(__xludf.DUMMYFUNCTION("""COMPUTED_VALUE"""),"MEMBER-SUV")</f>
        <v>MEMBER-SUV</v>
      </c>
      <c r="D509" s="2">
        <f>IFERROR(__xludf.DUMMYFUNCTION("""COMPUTED_VALUE"""),0.0)</f>
        <v>0</v>
      </c>
      <c r="E509" s="2">
        <f>IFERROR(__xludf.DUMMYFUNCTION("""COMPUTED_VALUE"""),0.0)</f>
        <v>0</v>
      </c>
      <c r="F509" s="4">
        <f>IFERROR(__xludf.DUMMYFUNCTION("""COMPUTED_VALUE"""),0.0)</f>
        <v>0</v>
      </c>
      <c r="G509" s="4">
        <f>IFERROR(__xludf.DUMMYFUNCTION("""COMPUTED_VALUE"""),0.0)</f>
        <v>0</v>
      </c>
      <c r="H509" s="9">
        <f>IFERROR(__xludf.DUMMYFUNCTION("""COMPUTED_VALUE"""),1.32264)</f>
        <v>1.32264</v>
      </c>
      <c r="I509" s="4">
        <f>IFERROR(__xludf.DUMMYFUNCTION("""COMPUTED_VALUE"""),0.0)</f>
        <v>0</v>
      </c>
      <c r="J509" s="4">
        <f>IFERROR(__xludf.DUMMYFUNCTION("""COMPUTED_VALUE"""),454.96133333333336)</f>
        <v>454.9613333</v>
      </c>
      <c r="K509" s="4">
        <f>IFERROR(__xludf.DUMMYFUNCTION("""COMPUTED_VALUE"""),454.96133333333336)</f>
        <v>454.9613333</v>
      </c>
    </row>
    <row r="510" ht="22.5" customHeight="1">
      <c r="A510" s="2" t="str">
        <f>IFERROR(__xludf.DUMMYFUNCTION("""COMPUTED_VALUE"""),"L2")</f>
        <v>L2</v>
      </c>
      <c r="B510" s="2" t="str">
        <f>IFERROR(__xludf.DUMMYFUNCTION("""COMPUTED_VALUE"""),"2026-05")</f>
        <v>2026-05</v>
      </c>
      <c r="C510" s="2" t="str">
        <f>IFERROR(__xludf.DUMMYFUNCTION("""COMPUTED_VALUE"""),"MEMBER-SUV")</f>
        <v>MEMBER-SUV</v>
      </c>
      <c r="D510" s="2">
        <f>IFERROR(__xludf.DUMMYFUNCTION("""COMPUTED_VALUE"""),0.0)</f>
        <v>0</v>
      </c>
      <c r="E510" s="2">
        <f>IFERROR(__xludf.DUMMYFUNCTION("""COMPUTED_VALUE"""),0.0)</f>
        <v>0</v>
      </c>
      <c r="F510" s="4">
        <f>IFERROR(__xludf.DUMMYFUNCTION("""COMPUTED_VALUE"""),0.0)</f>
        <v>0</v>
      </c>
      <c r="G510" s="4">
        <f>IFERROR(__xludf.DUMMYFUNCTION("""COMPUTED_VALUE"""),0.0)</f>
        <v>0</v>
      </c>
      <c r="H510" s="9">
        <f>IFERROR(__xludf.DUMMYFUNCTION("""COMPUTED_VALUE"""),1.32264)</f>
        <v>1.32264</v>
      </c>
      <c r="I510" s="4">
        <f>IFERROR(__xludf.DUMMYFUNCTION("""COMPUTED_VALUE"""),0.0)</f>
        <v>0</v>
      </c>
      <c r="J510" s="4">
        <f>IFERROR(__xludf.DUMMYFUNCTION("""COMPUTED_VALUE"""),454.96133333333336)</f>
        <v>454.9613333</v>
      </c>
      <c r="K510" s="4">
        <f>IFERROR(__xludf.DUMMYFUNCTION("""COMPUTED_VALUE"""),454.96133333333336)</f>
        <v>454.9613333</v>
      </c>
    </row>
    <row r="511" ht="22.5" customHeight="1">
      <c r="A511" s="2" t="str">
        <f>IFERROR(__xludf.DUMMYFUNCTION("""COMPUTED_VALUE"""),"L2")</f>
        <v>L2</v>
      </c>
      <c r="B511" s="2" t="str">
        <f>IFERROR(__xludf.DUMMYFUNCTION("""COMPUTED_VALUE"""),"2026-06")</f>
        <v>2026-06</v>
      </c>
      <c r="C511" s="2" t="str">
        <f>IFERROR(__xludf.DUMMYFUNCTION("""COMPUTED_VALUE"""),"MEMBER-SUV")</f>
        <v>MEMBER-SUV</v>
      </c>
      <c r="D511" s="2">
        <f>IFERROR(__xludf.DUMMYFUNCTION("""COMPUTED_VALUE"""),0.0)</f>
        <v>0</v>
      </c>
      <c r="E511" s="2">
        <f>IFERROR(__xludf.DUMMYFUNCTION("""COMPUTED_VALUE"""),0.0)</f>
        <v>0</v>
      </c>
      <c r="F511" s="4">
        <f>IFERROR(__xludf.DUMMYFUNCTION("""COMPUTED_VALUE"""),0.0)</f>
        <v>0</v>
      </c>
      <c r="G511" s="4">
        <f>IFERROR(__xludf.DUMMYFUNCTION("""COMPUTED_VALUE"""),0.0)</f>
        <v>0</v>
      </c>
      <c r="H511" s="9">
        <f>IFERROR(__xludf.DUMMYFUNCTION("""COMPUTED_VALUE"""),1.32264)</f>
        <v>1.32264</v>
      </c>
      <c r="I511" s="4">
        <f>IFERROR(__xludf.DUMMYFUNCTION("""COMPUTED_VALUE"""),0.0)</f>
        <v>0</v>
      </c>
      <c r="J511" s="4">
        <f>IFERROR(__xludf.DUMMYFUNCTION("""COMPUTED_VALUE"""),454.96133333333336)</f>
        <v>454.9613333</v>
      </c>
      <c r="K511" s="4">
        <f>IFERROR(__xludf.DUMMYFUNCTION("""COMPUTED_VALUE"""),454.96133333333336)</f>
        <v>454.9613333</v>
      </c>
    </row>
    <row r="512" ht="22.5" customHeight="1">
      <c r="A512" s="2" t="str">
        <f>IFERROR(__xludf.DUMMYFUNCTION("""COMPUTED_VALUE"""),"L2")</f>
        <v>L2</v>
      </c>
      <c r="B512" s="2" t="str">
        <f>IFERROR(__xludf.DUMMYFUNCTION("""COMPUTED_VALUE"""),"2026-07")</f>
        <v>2026-07</v>
      </c>
      <c r="C512" s="2" t="str">
        <f>IFERROR(__xludf.DUMMYFUNCTION("""COMPUTED_VALUE"""),"MEMBER-SUV")</f>
        <v>MEMBER-SUV</v>
      </c>
      <c r="D512" s="2">
        <f>IFERROR(__xludf.DUMMYFUNCTION("""COMPUTED_VALUE"""),0.0)</f>
        <v>0</v>
      </c>
      <c r="E512" s="2">
        <f>IFERROR(__xludf.DUMMYFUNCTION("""COMPUTED_VALUE"""),0.0)</f>
        <v>0</v>
      </c>
      <c r="F512" s="4">
        <f>IFERROR(__xludf.DUMMYFUNCTION("""COMPUTED_VALUE"""),0.0)</f>
        <v>0</v>
      </c>
      <c r="G512" s="4">
        <f>IFERROR(__xludf.DUMMYFUNCTION("""COMPUTED_VALUE"""),0.0)</f>
        <v>0</v>
      </c>
      <c r="H512" s="9">
        <f>IFERROR(__xludf.DUMMYFUNCTION("""COMPUTED_VALUE"""),1.32264)</f>
        <v>1.32264</v>
      </c>
      <c r="I512" s="4">
        <f>IFERROR(__xludf.DUMMYFUNCTION("""COMPUTED_VALUE"""),0.0)</f>
        <v>0</v>
      </c>
      <c r="J512" s="4">
        <f>IFERROR(__xludf.DUMMYFUNCTION("""COMPUTED_VALUE"""),454.96133333333336)</f>
        <v>454.9613333</v>
      </c>
      <c r="K512" s="4">
        <f>IFERROR(__xludf.DUMMYFUNCTION("""COMPUTED_VALUE"""),454.96133333333336)</f>
        <v>454.9613333</v>
      </c>
    </row>
    <row r="513" ht="22.5" customHeight="1">
      <c r="A513" s="2" t="str">
        <f>IFERROR(__xludf.DUMMYFUNCTION("""COMPUTED_VALUE"""),"L2")</f>
        <v>L2</v>
      </c>
      <c r="B513" s="2" t="str">
        <f>IFERROR(__xludf.DUMMYFUNCTION("""COMPUTED_VALUE"""),"2026-08")</f>
        <v>2026-08</v>
      </c>
      <c r="C513" s="2" t="str">
        <f>IFERROR(__xludf.DUMMYFUNCTION("""COMPUTED_VALUE"""),"MEMBER-SUV")</f>
        <v>MEMBER-SUV</v>
      </c>
      <c r="D513" s="2">
        <f>IFERROR(__xludf.DUMMYFUNCTION("""COMPUTED_VALUE"""),0.0)</f>
        <v>0</v>
      </c>
      <c r="E513" s="2">
        <f>IFERROR(__xludf.DUMMYFUNCTION("""COMPUTED_VALUE"""),0.0)</f>
        <v>0</v>
      </c>
      <c r="F513" s="4">
        <f>IFERROR(__xludf.DUMMYFUNCTION("""COMPUTED_VALUE"""),0.0)</f>
        <v>0</v>
      </c>
      <c r="G513" s="4">
        <f>IFERROR(__xludf.DUMMYFUNCTION("""COMPUTED_VALUE"""),0.0)</f>
        <v>0</v>
      </c>
      <c r="H513" s="9">
        <f>IFERROR(__xludf.DUMMYFUNCTION("""COMPUTED_VALUE"""),1.32264)</f>
        <v>1.32264</v>
      </c>
      <c r="I513" s="4">
        <f>IFERROR(__xludf.DUMMYFUNCTION("""COMPUTED_VALUE"""),0.0)</f>
        <v>0</v>
      </c>
      <c r="J513" s="4">
        <f>IFERROR(__xludf.DUMMYFUNCTION("""COMPUTED_VALUE"""),454.96133333333336)</f>
        <v>454.9613333</v>
      </c>
      <c r="K513" s="4">
        <f>IFERROR(__xludf.DUMMYFUNCTION("""COMPUTED_VALUE"""),454.96133333333336)</f>
        <v>454.9613333</v>
      </c>
    </row>
    <row r="514" ht="22.5" customHeight="1">
      <c r="A514" s="2" t="str">
        <f>IFERROR(__xludf.DUMMYFUNCTION("""COMPUTED_VALUE"""),"L2")</f>
        <v>L2</v>
      </c>
      <c r="B514" s="2" t="str">
        <f>IFERROR(__xludf.DUMMYFUNCTION("""COMPUTED_VALUE"""),"2026-09")</f>
        <v>2026-09</v>
      </c>
      <c r="C514" s="2" t="str">
        <f>IFERROR(__xludf.DUMMYFUNCTION("""COMPUTED_VALUE"""),"MEMBER-SUV")</f>
        <v>MEMBER-SUV</v>
      </c>
      <c r="D514" s="2">
        <f>IFERROR(__xludf.DUMMYFUNCTION("""COMPUTED_VALUE"""),0.0)</f>
        <v>0</v>
      </c>
      <c r="E514" s="2">
        <f>IFERROR(__xludf.DUMMYFUNCTION("""COMPUTED_VALUE"""),0.0)</f>
        <v>0</v>
      </c>
      <c r="F514" s="4">
        <f>IFERROR(__xludf.DUMMYFUNCTION("""COMPUTED_VALUE"""),0.0)</f>
        <v>0</v>
      </c>
      <c r="G514" s="4">
        <f>IFERROR(__xludf.DUMMYFUNCTION("""COMPUTED_VALUE"""),0.0)</f>
        <v>0</v>
      </c>
      <c r="H514" s="9">
        <f>IFERROR(__xludf.DUMMYFUNCTION("""COMPUTED_VALUE"""),1.32264)</f>
        <v>1.32264</v>
      </c>
      <c r="I514" s="4">
        <f>IFERROR(__xludf.DUMMYFUNCTION("""COMPUTED_VALUE"""),0.0)</f>
        <v>0</v>
      </c>
      <c r="J514" s="4">
        <f>IFERROR(__xludf.DUMMYFUNCTION("""COMPUTED_VALUE"""),454.96133333333336)</f>
        <v>454.9613333</v>
      </c>
      <c r="K514" s="4">
        <f>IFERROR(__xludf.DUMMYFUNCTION("""COMPUTED_VALUE"""),454.96133333333336)</f>
        <v>454.9613333</v>
      </c>
    </row>
    <row r="515" ht="22.5" customHeight="1">
      <c r="A515" s="2" t="str">
        <f>IFERROR(__xludf.DUMMYFUNCTION("""COMPUTED_VALUE"""),"L2")</f>
        <v>L2</v>
      </c>
      <c r="B515" s="2" t="str">
        <f>IFERROR(__xludf.DUMMYFUNCTION("""COMPUTED_VALUE"""),"2026-10")</f>
        <v>2026-10</v>
      </c>
      <c r="C515" s="2" t="str">
        <f>IFERROR(__xludf.DUMMYFUNCTION("""COMPUTED_VALUE"""),"MEMBER-SUV")</f>
        <v>MEMBER-SUV</v>
      </c>
      <c r="D515" s="2">
        <f>IFERROR(__xludf.DUMMYFUNCTION("""COMPUTED_VALUE"""),0.0)</f>
        <v>0</v>
      </c>
      <c r="E515" s="2">
        <f>IFERROR(__xludf.DUMMYFUNCTION("""COMPUTED_VALUE"""),0.0)</f>
        <v>0</v>
      </c>
      <c r="F515" s="4">
        <f>IFERROR(__xludf.DUMMYFUNCTION("""COMPUTED_VALUE"""),0.0)</f>
        <v>0</v>
      </c>
      <c r="G515" s="4">
        <f>IFERROR(__xludf.DUMMYFUNCTION("""COMPUTED_VALUE"""),0.0)</f>
        <v>0</v>
      </c>
      <c r="H515" s="9">
        <f>IFERROR(__xludf.DUMMYFUNCTION("""COMPUTED_VALUE"""),1.32264)</f>
        <v>1.32264</v>
      </c>
      <c r="I515" s="4">
        <f>IFERROR(__xludf.DUMMYFUNCTION("""COMPUTED_VALUE"""),0.0)</f>
        <v>0</v>
      </c>
      <c r="J515" s="4">
        <f>IFERROR(__xludf.DUMMYFUNCTION("""COMPUTED_VALUE"""),359.18)</f>
        <v>359.18</v>
      </c>
      <c r="K515" s="4">
        <f>IFERROR(__xludf.DUMMYFUNCTION("""COMPUTED_VALUE"""),359.18)</f>
        <v>359.18</v>
      </c>
    </row>
    <row r="516" ht="22.5" customHeight="1">
      <c r="A516" s="2" t="str">
        <f>IFERROR(__xludf.DUMMYFUNCTION("""COMPUTED_VALUE"""),"L2")</f>
        <v>L2</v>
      </c>
      <c r="B516" s="2" t="str">
        <f>IFERROR(__xludf.DUMMYFUNCTION("""COMPUTED_VALUE"""),"2026-11")</f>
        <v>2026-11</v>
      </c>
      <c r="C516" s="2" t="str">
        <f>IFERROR(__xludf.DUMMYFUNCTION("""COMPUTED_VALUE"""),"MEMBER-SUV")</f>
        <v>MEMBER-SUV</v>
      </c>
      <c r="D516" s="2">
        <f>IFERROR(__xludf.DUMMYFUNCTION("""COMPUTED_VALUE"""),0.0)</f>
        <v>0</v>
      </c>
      <c r="E516" s="2">
        <f>IFERROR(__xludf.DUMMYFUNCTION("""COMPUTED_VALUE"""),0.0)</f>
        <v>0</v>
      </c>
      <c r="F516" s="4">
        <f>IFERROR(__xludf.DUMMYFUNCTION("""COMPUTED_VALUE"""),0.0)</f>
        <v>0</v>
      </c>
      <c r="G516" s="4">
        <f>IFERROR(__xludf.DUMMYFUNCTION("""COMPUTED_VALUE"""),0.0)</f>
        <v>0</v>
      </c>
      <c r="H516" s="9">
        <f>IFERROR(__xludf.DUMMYFUNCTION("""COMPUTED_VALUE"""),1.32264)</f>
        <v>1.32264</v>
      </c>
      <c r="I516" s="4">
        <f>IFERROR(__xludf.DUMMYFUNCTION("""COMPUTED_VALUE"""),0.0)</f>
        <v>0</v>
      </c>
      <c r="J516" s="4">
        <f>IFERROR(__xludf.DUMMYFUNCTION("""COMPUTED_VALUE"""),359.18)</f>
        <v>359.18</v>
      </c>
      <c r="K516" s="4">
        <f>IFERROR(__xludf.DUMMYFUNCTION("""COMPUTED_VALUE"""),359.18)</f>
        <v>359.18</v>
      </c>
    </row>
    <row r="517" ht="22.5" customHeight="1">
      <c r="A517" s="2" t="str">
        <f>IFERROR(__xludf.DUMMYFUNCTION("""COMPUTED_VALUE"""),"L2")</f>
        <v>L2</v>
      </c>
      <c r="B517" s="2" t="str">
        <f>IFERROR(__xludf.DUMMYFUNCTION("""COMPUTED_VALUE"""),"2026-12")</f>
        <v>2026-12</v>
      </c>
      <c r="C517" s="2" t="str">
        <f>IFERROR(__xludf.DUMMYFUNCTION("""COMPUTED_VALUE"""),"MEMBER-SUV")</f>
        <v>MEMBER-SUV</v>
      </c>
      <c r="D517" s="2">
        <f>IFERROR(__xludf.DUMMYFUNCTION("""COMPUTED_VALUE"""),0.0)</f>
        <v>0</v>
      </c>
      <c r="E517" s="2">
        <f>IFERROR(__xludf.DUMMYFUNCTION("""COMPUTED_VALUE"""),0.0)</f>
        <v>0</v>
      </c>
      <c r="F517" s="4">
        <f>IFERROR(__xludf.DUMMYFUNCTION("""COMPUTED_VALUE"""),0.0)</f>
        <v>0</v>
      </c>
      <c r="G517" s="4">
        <f>IFERROR(__xludf.DUMMYFUNCTION("""COMPUTED_VALUE"""),0.0)</f>
        <v>0</v>
      </c>
      <c r="H517" s="9">
        <f>IFERROR(__xludf.DUMMYFUNCTION("""COMPUTED_VALUE"""),1.32264)</f>
        <v>1.32264</v>
      </c>
      <c r="I517" s="4">
        <f>IFERROR(__xludf.DUMMYFUNCTION("""COMPUTED_VALUE"""),0.0)</f>
        <v>0</v>
      </c>
      <c r="J517" s="4">
        <f>IFERROR(__xludf.DUMMYFUNCTION("""COMPUTED_VALUE"""),359.18)</f>
        <v>359.18</v>
      </c>
      <c r="K517" s="4">
        <f>IFERROR(__xludf.DUMMYFUNCTION("""COMPUTED_VALUE"""),359.18)</f>
        <v>359.18</v>
      </c>
    </row>
    <row r="518" ht="22.5" customHeight="1">
      <c r="A518" s="2" t="str">
        <f>IFERROR(__xludf.DUMMYFUNCTION("""COMPUTED_VALUE"""),"L2")</f>
        <v>L2</v>
      </c>
      <c r="B518" s="2" t="str">
        <f>IFERROR(__xludf.DUMMYFUNCTION("""COMPUTED_VALUE"""),"2026-01")</f>
        <v>2026-01</v>
      </c>
      <c r="C518" s="2" t="str">
        <f>IFERROR(__xludf.DUMMYFUNCTION("""COMPUTED_VALUE"""),"MEMBER-SUV - LX")</f>
        <v>MEMBER-SUV - LX</v>
      </c>
      <c r="D518" s="2">
        <f>IFERROR(__xludf.DUMMYFUNCTION("""COMPUTED_VALUE"""),0.0)</f>
        <v>0</v>
      </c>
      <c r="E518" s="2">
        <f>IFERROR(__xludf.DUMMYFUNCTION("""COMPUTED_VALUE"""),0.0)</f>
        <v>0</v>
      </c>
      <c r="F518" s="4">
        <f>IFERROR(__xludf.DUMMYFUNCTION("""COMPUTED_VALUE"""),0.0)</f>
        <v>0</v>
      </c>
      <c r="G518" s="4">
        <f>IFERROR(__xludf.DUMMYFUNCTION("""COMPUTED_VALUE"""),0.0)</f>
        <v>0</v>
      </c>
      <c r="H518" s="9">
        <f>IFERROR(__xludf.DUMMYFUNCTION("""COMPUTED_VALUE"""),1.32264)</f>
        <v>1.32264</v>
      </c>
      <c r="I518" s="4">
        <f>IFERROR(__xludf.DUMMYFUNCTION("""COMPUTED_VALUE"""),0.0)</f>
        <v>0</v>
      </c>
      <c r="J518" s="4">
        <f>IFERROR(__xludf.DUMMYFUNCTION("""COMPUTED_VALUE"""),24383.953999999998)</f>
        <v>24383.954</v>
      </c>
      <c r="K518" s="4">
        <f>IFERROR(__xludf.DUMMYFUNCTION("""COMPUTED_VALUE"""),24383.953999999998)</f>
        <v>24383.954</v>
      </c>
    </row>
    <row r="519" ht="22.5" customHeight="1">
      <c r="A519" s="2" t="str">
        <f>IFERROR(__xludf.DUMMYFUNCTION("""COMPUTED_VALUE"""),"L2")</f>
        <v>L2</v>
      </c>
      <c r="B519" s="2" t="str">
        <f>IFERROR(__xludf.DUMMYFUNCTION("""COMPUTED_VALUE"""),"2026-02")</f>
        <v>2026-02</v>
      </c>
      <c r="C519" s="2" t="str">
        <f>IFERROR(__xludf.DUMMYFUNCTION("""COMPUTED_VALUE"""),"MEMBER-SUV - LX")</f>
        <v>MEMBER-SUV - LX</v>
      </c>
      <c r="D519" s="2">
        <f>IFERROR(__xludf.DUMMYFUNCTION("""COMPUTED_VALUE"""),194.0)</f>
        <v>194</v>
      </c>
      <c r="E519" s="2">
        <f>IFERROR(__xludf.DUMMYFUNCTION("""COMPUTED_VALUE"""),6.0)</f>
        <v>6</v>
      </c>
      <c r="F519" s="4">
        <f>IFERROR(__xludf.DUMMYFUNCTION("""COMPUTED_VALUE"""),867979.28)</f>
        <v>867979.28</v>
      </c>
      <c r="G519" s="4">
        <f>IFERROR(__xludf.DUMMYFUNCTION("""COMPUTED_VALUE"""),19374.0)</f>
        <v>19374</v>
      </c>
      <c r="H519" s="9">
        <f>IFERROR(__xludf.DUMMYFUNCTION("""COMPUTED_VALUE"""),1.32264)</f>
        <v>1.32264</v>
      </c>
      <c r="I519" s="4">
        <f>IFERROR(__xludf.DUMMYFUNCTION("""COMPUTED_VALUE"""),1173648.9422592002)</f>
        <v>1173648.942</v>
      </c>
      <c r="J519" s="4">
        <f>IFERROR(__xludf.DUMMYFUNCTION("""COMPUTED_VALUE"""),0.0)</f>
        <v>0</v>
      </c>
      <c r="K519" s="4">
        <f>IFERROR(__xludf.DUMMYFUNCTION("""COMPUTED_VALUE"""),1173648.9422592002)</f>
        <v>1173648.942</v>
      </c>
    </row>
    <row r="520" ht="22.5" customHeight="1">
      <c r="A520" s="2" t="str">
        <f>IFERROR(__xludf.DUMMYFUNCTION("""COMPUTED_VALUE"""),"L2")</f>
        <v>L2</v>
      </c>
      <c r="B520" s="2" t="str">
        <f>IFERROR(__xludf.DUMMYFUNCTION("""COMPUTED_VALUE"""),"2026-03")</f>
        <v>2026-03</v>
      </c>
      <c r="C520" s="2" t="str">
        <f>IFERROR(__xludf.DUMMYFUNCTION("""COMPUTED_VALUE"""),"MEMBER-SUV - LX")</f>
        <v>MEMBER-SUV - LX</v>
      </c>
      <c r="D520" s="2">
        <f>IFERROR(__xludf.DUMMYFUNCTION("""COMPUTED_VALUE"""),280.0)</f>
        <v>280</v>
      </c>
      <c r="E520" s="2">
        <f>IFERROR(__xludf.DUMMYFUNCTION("""COMPUTED_VALUE"""),8.0)</f>
        <v>8</v>
      </c>
      <c r="F520" s="4">
        <f>IFERROR(__xludf.DUMMYFUNCTION("""COMPUTED_VALUE"""),1252753.5999999999)</f>
        <v>1252753.6</v>
      </c>
      <c r="G520" s="4">
        <f>IFERROR(__xludf.DUMMYFUNCTION("""COMPUTED_VALUE"""),25760.0)</f>
        <v>25760</v>
      </c>
      <c r="H520" s="9">
        <f>IFERROR(__xludf.DUMMYFUNCTION("""COMPUTED_VALUE"""),1.32264)</f>
        <v>1.32264</v>
      </c>
      <c r="I520" s="4">
        <f>IFERROR(__xludf.DUMMYFUNCTION("""COMPUTED_VALUE"""),1691013.2279039999)</f>
        <v>1691013.228</v>
      </c>
      <c r="J520" s="4">
        <f>IFERROR(__xludf.DUMMYFUNCTION("""COMPUTED_VALUE"""),0.0)</f>
        <v>0</v>
      </c>
      <c r="K520" s="4">
        <f>IFERROR(__xludf.DUMMYFUNCTION("""COMPUTED_VALUE"""),1691013.2279039999)</f>
        <v>1691013.228</v>
      </c>
    </row>
    <row r="521" ht="22.5" customHeight="1">
      <c r="A521" s="2" t="str">
        <f>IFERROR(__xludf.DUMMYFUNCTION("""COMPUTED_VALUE"""),"L2")</f>
        <v>L2</v>
      </c>
      <c r="B521" s="2" t="str">
        <f>IFERROR(__xludf.DUMMYFUNCTION("""COMPUTED_VALUE"""),"2026-04")</f>
        <v>2026-04</v>
      </c>
      <c r="C521" s="2" t="str">
        <f>IFERROR(__xludf.DUMMYFUNCTION("""COMPUTED_VALUE"""),"MEMBER-SUV - LX")</f>
        <v>MEMBER-SUV - LX</v>
      </c>
      <c r="D521" s="2">
        <f>IFERROR(__xludf.DUMMYFUNCTION("""COMPUTED_VALUE"""),0.0)</f>
        <v>0</v>
      </c>
      <c r="E521" s="2">
        <f>IFERROR(__xludf.DUMMYFUNCTION("""COMPUTED_VALUE"""),0.0)</f>
        <v>0</v>
      </c>
      <c r="F521" s="4">
        <f>IFERROR(__xludf.DUMMYFUNCTION("""COMPUTED_VALUE"""),0.0)</f>
        <v>0</v>
      </c>
      <c r="G521" s="4">
        <f>IFERROR(__xludf.DUMMYFUNCTION("""COMPUTED_VALUE"""),0.0)</f>
        <v>0</v>
      </c>
      <c r="H521" s="9">
        <f>IFERROR(__xludf.DUMMYFUNCTION("""COMPUTED_VALUE"""),1.32264)</f>
        <v>1.32264</v>
      </c>
      <c r="I521" s="4">
        <f>IFERROR(__xludf.DUMMYFUNCTION("""COMPUTED_VALUE"""),0.0)</f>
        <v>0</v>
      </c>
      <c r="J521" s="4">
        <f>IFERROR(__xludf.DUMMYFUNCTION("""COMPUTED_VALUE"""),0.0)</f>
        <v>0</v>
      </c>
      <c r="K521" s="4">
        <f>IFERROR(__xludf.DUMMYFUNCTION("""COMPUTED_VALUE"""),0.0)</f>
        <v>0</v>
      </c>
    </row>
    <row r="522" ht="22.5" customHeight="1">
      <c r="A522" s="2" t="str">
        <f>IFERROR(__xludf.DUMMYFUNCTION("""COMPUTED_VALUE"""),"L2")</f>
        <v>L2</v>
      </c>
      <c r="B522" s="2" t="str">
        <f>IFERROR(__xludf.DUMMYFUNCTION("""COMPUTED_VALUE"""),"2026-05")</f>
        <v>2026-05</v>
      </c>
      <c r="C522" s="2" t="str">
        <f>IFERROR(__xludf.DUMMYFUNCTION("""COMPUTED_VALUE"""),"MEMBER-SUV - LX")</f>
        <v>MEMBER-SUV - LX</v>
      </c>
      <c r="D522" s="2">
        <f>IFERROR(__xludf.DUMMYFUNCTION("""COMPUTED_VALUE"""),0.0)</f>
        <v>0</v>
      </c>
      <c r="E522" s="2">
        <f>IFERROR(__xludf.DUMMYFUNCTION("""COMPUTED_VALUE"""),0.0)</f>
        <v>0</v>
      </c>
      <c r="F522" s="4">
        <f>IFERROR(__xludf.DUMMYFUNCTION("""COMPUTED_VALUE"""),0.0)</f>
        <v>0</v>
      </c>
      <c r="G522" s="4">
        <f>IFERROR(__xludf.DUMMYFUNCTION("""COMPUTED_VALUE"""),0.0)</f>
        <v>0</v>
      </c>
      <c r="H522" s="9">
        <f>IFERROR(__xludf.DUMMYFUNCTION("""COMPUTED_VALUE"""),1.32264)</f>
        <v>1.32264</v>
      </c>
      <c r="I522" s="4">
        <f>IFERROR(__xludf.DUMMYFUNCTION("""COMPUTED_VALUE"""),0.0)</f>
        <v>0</v>
      </c>
      <c r="J522" s="4">
        <f>IFERROR(__xludf.DUMMYFUNCTION("""COMPUTED_VALUE"""),0.0)</f>
        <v>0</v>
      </c>
      <c r="K522" s="4">
        <f>IFERROR(__xludf.DUMMYFUNCTION("""COMPUTED_VALUE"""),0.0)</f>
        <v>0</v>
      </c>
    </row>
    <row r="523" ht="22.5" customHeight="1">
      <c r="A523" s="2" t="str">
        <f>IFERROR(__xludf.DUMMYFUNCTION("""COMPUTED_VALUE"""),"L2")</f>
        <v>L2</v>
      </c>
      <c r="B523" s="2" t="str">
        <f>IFERROR(__xludf.DUMMYFUNCTION("""COMPUTED_VALUE"""),"2026-06")</f>
        <v>2026-06</v>
      </c>
      <c r="C523" s="2" t="str">
        <f>IFERROR(__xludf.DUMMYFUNCTION("""COMPUTED_VALUE"""),"MEMBER-SUV - LX")</f>
        <v>MEMBER-SUV - LX</v>
      </c>
      <c r="D523" s="2">
        <f>IFERROR(__xludf.DUMMYFUNCTION("""COMPUTED_VALUE"""),0.0)</f>
        <v>0</v>
      </c>
      <c r="E523" s="2">
        <f>IFERROR(__xludf.DUMMYFUNCTION("""COMPUTED_VALUE"""),0.0)</f>
        <v>0</v>
      </c>
      <c r="F523" s="4">
        <f>IFERROR(__xludf.DUMMYFUNCTION("""COMPUTED_VALUE"""),0.0)</f>
        <v>0</v>
      </c>
      <c r="G523" s="4">
        <f>IFERROR(__xludf.DUMMYFUNCTION("""COMPUTED_VALUE"""),0.0)</f>
        <v>0</v>
      </c>
      <c r="H523" s="9">
        <f>IFERROR(__xludf.DUMMYFUNCTION("""COMPUTED_VALUE"""),1.32264)</f>
        <v>1.32264</v>
      </c>
      <c r="I523" s="4">
        <f>IFERROR(__xludf.DUMMYFUNCTION("""COMPUTED_VALUE"""),0.0)</f>
        <v>0</v>
      </c>
      <c r="J523" s="4">
        <f>IFERROR(__xludf.DUMMYFUNCTION("""COMPUTED_VALUE"""),0.0)</f>
        <v>0</v>
      </c>
      <c r="K523" s="4">
        <f>IFERROR(__xludf.DUMMYFUNCTION("""COMPUTED_VALUE"""),0.0)</f>
        <v>0</v>
      </c>
    </row>
    <row r="524" ht="22.5" customHeight="1">
      <c r="A524" s="2" t="str">
        <f>IFERROR(__xludf.DUMMYFUNCTION("""COMPUTED_VALUE"""),"L2")</f>
        <v>L2</v>
      </c>
      <c r="B524" s="2" t="str">
        <f>IFERROR(__xludf.DUMMYFUNCTION("""COMPUTED_VALUE"""),"2026-07")</f>
        <v>2026-07</v>
      </c>
      <c r="C524" s="2" t="str">
        <f>IFERROR(__xludf.DUMMYFUNCTION("""COMPUTED_VALUE"""),"MEMBER-SUV - LX")</f>
        <v>MEMBER-SUV - LX</v>
      </c>
      <c r="D524" s="2">
        <f>IFERROR(__xludf.DUMMYFUNCTION("""COMPUTED_VALUE"""),0.0)</f>
        <v>0</v>
      </c>
      <c r="E524" s="2">
        <f>IFERROR(__xludf.DUMMYFUNCTION("""COMPUTED_VALUE"""),0.0)</f>
        <v>0</v>
      </c>
      <c r="F524" s="4">
        <f>IFERROR(__xludf.DUMMYFUNCTION("""COMPUTED_VALUE"""),0.0)</f>
        <v>0</v>
      </c>
      <c r="G524" s="4">
        <f>IFERROR(__xludf.DUMMYFUNCTION("""COMPUTED_VALUE"""),0.0)</f>
        <v>0</v>
      </c>
      <c r="H524" s="9">
        <f>IFERROR(__xludf.DUMMYFUNCTION("""COMPUTED_VALUE"""),1.32264)</f>
        <v>1.32264</v>
      </c>
      <c r="I524" s="4">
        <f>IFERROR(__xludf.DUMMYFUNCTION("""COMPUTED_VALUE"""),0.0)</f>
        <v>0</v>
      </c>
      <c r="J524" s="4">
        <f>IFERROR(__xludf.DUMMYFUNCTION("""COMPUTED_VALUE"""),0.0)</f>
        <v>0</v>
      </c>
      <c r="K524" s="4">
        <f>IFERROR(__xludf.DUMMYFUNCTION("""COMPUTED_VALUE"""),0.0)</f>
        <v>0</v>
      </c>
    </row>
    <row r="525" ht="22.5" customHeight="1">
      <c r="A525" s="2" t="str">
        <f>IFERROR(__xludf.DUMMYFUNCTION("""COMPUTED_VALUE"""),"L2")</f>
        <v>L2</v>
      </c>
      <c r="B525" s="2" t="str">
        <f>IFERROR(__xludf.DUMMYFUNCTION("""COMPUTED_VALUE"""),"2026-08")</f>
        <v>2026-08</v>
      </c>
      <c r="C525" s="2" t="str">
        <f>IFERROR(__xludf.DUMMYFUNCTION("""COMPUTED_VALUE"""),"MEMBER-SUV - LX")</f>
        <v>MEMBER-SUV - LX</v>
      </c>
      <c r="D525" s="2">
        <f>IFERROR(__xludf.DUMMYFUNCTION("""COMPUTED_VALUE"""),0.0)</f>
        <v>0</v>
      </c>
      <c r="E525" s="2">
        <f>IFERROR(__xludf.DUMMYFUNCTION("""COMPUTED_VALUE"""),0.0)</f>
        <v>0</v>
      </c>
      <c r="F525" s="4">
        <f>IFERROR(__xludf.DUMMYFUNCTION("""COMPUTED_VALUE"""),0.0)</f>
        <v>0</v>
      </c>
      <c r="G525" s="4">
        <f>IFERROR(__xludf.DUMMYFUNCTION("""COMPUTED_VALUE"""),0.0)</f>
        <v>0</v>
      </c>
      <c r="H525" s="9">
        <f>IFERROR(__xludf.DUMMYFUNCTION("""COMPUTED_VALUE"""),1.32264)</f>
        <v>1.32264</v>
      </c>
      <c r="I525" s="4">
        <f>IFERROR(__xludf.DUMMYFUNCTION("""COMPUTED_VALUE"""),0.0)</f>
        <v>0</v>
      </c>
      <c r="J525" s="4">
        <f>IFERROR(__xludf.DUMMYFUNCTION("""COMPUTED_VALUE"""),0.0)</f>
        <v>0</v>
      </c>
      <c r="K525" s="4">
        <f>IFERROR(__xludf.DUMMYFUNCTION("""COMPUTED_VALUE"""),0.0)</f>
        <v>0</v>
      </c>
    </row>
    <row r="526" ht="22.5" customHeight="1">
      <c r="A526" s="2" t="str">
        <f>IFERROR(__xludf.DUMMYFUNCTION("""COMPUTED_VALUE"""),"L2")</f>
        <v>L2</v>
      </c>
      <c r="B526" s="2" t="str">
        <f>IFERROR(__xludf.DUMMYFUNCTION("""COMPUTED_VALUE"""),"2026-09")</f>
        <v>2026-09</v>
      </c>
      <c r="C526" s="2" t="str">
        <f>IFERROR(__xludf.DUMMYFUNCTION("""COMPUTED_VALUE"""),"MEMBER-SUV - LX")</f>
        <v>MEMBER-SUV - LX</v>
      </c>
      <c r="D526" s="2">
        <f>IFERROR(__xludf.DUMMYFUNCTION("""COMPUTED_VALUE"""),0.0)</f>
        <v>0</v>
      </c>
      <c r="E526" s="2">
        <f>IFERROR(__xludf.DUMMYFUNCTION("""COMPUTED_VALUE"""),0.0)</f>
        <v>0</v>
      </c>
      <c r="F526" s="4">
        <f>IFERROR(__xludf.DUMMYFUNCTION("""COMPUTED_VALUE"""),0.0)</f>
        <v>0</v>
      </c>
      <c r="G526" s="4">
        <f>IFERROR(__xludf.DUMMYFUNCTION("""COMPUTED_VALUE"""),0.0)</f>
        <v>0</v>
      </c>
      <c r="H526" s="9">
        <f>IFERROR(__xludf.DUMMYFUNCTION("""COMPUTED_VALUE"""),1.32264)</f>
        <v>1.32264</v>
      </c>
      <c r="I526" s="4">
        <f>IFERROR(__xludf.DUMMYFUNCTION("""COMPUTED_VALUE"""),0.0)</f>
        <v>0</v>
      </c>
      <c r="J526" s="4">
        <f>IFERROR(__xludf.DUMMYFUNCTION("""COMPUTED_VALUE"""),0.0)</f>
        <v>0</v>
      </c>
      <c r="K526" s="4">
        <f>IFERROR(__xludf.DUMMYFUNCTION("""COMPUTED_VALUE"""),0.0)</f>
        <v>0</v>
      </c>
    </row>
    <row r="527" ht="22.5" customHeight="1">
      <c r="A527" s="2" t="str">
        <f>IFERROR(__xludf.DUMMYFUNCTION("""COMPUTED_VALUE"""),"L2")</f>
        <v>L2</v>
      </c>
      <c r="B527" s="2" t="str">
        <f>IFERROR(__xludf.DUMMYFUNCTION("""COMPUTED_VALUE"""),"2026-10")</f>
        <v>2026-10</v>
      </c>
      <c r="C527" s="2" t="str">
        <f>IFERROR(__xludf.DUMMYFUNCTION("""COMPUTED_VALUE"""),"MEMBER-SUV - LX")</f>
        <v>MEMBER-SUV - LX</v>
      </c>
      <c r="D527" s="2">
        <f>IFERROR(__xludf.DUMMYFUNCTION("""COMPUTED_VALUE"""),0.0)</f>
        <v>0</v>
      </c>
      <c r="E527" s="2">
        <f>IFERROR(__xludf.DUMMYFUNCTION("""COMPUTED_VALUE"""),0.0)</f>
        <v>0</v>
      </c>
      <c r="F527" s="4">
        <f>IFERROR(__xludf.DUMMYFUNCTION("""COMPUTED_VALUE"""),0.0)</f>
        <v>0</v>
      </c>
      <c r="G527" s="4">
        <f>IFERROR(__xludf.DUMMYFUNCTION("""COMPUTED_VALUE"""),0.0)</f>
        <v>0</v>
      </c>
      <c r="H527" s="9">
        <f>IFERROR(__xludf.DUMMYFUNCTION("""COMPUTED_VALUE"""),1.32264)</f>
        <v>1.32264</v>
      </c>
      <c r="I527" s="4">
        <f>IFERROR(__xludf.DUMMYFUNCTION("""COMPUTED_VALUE"""),0.0)</f>
        <v>0</v>
      </c>
      <c r="J527" s="4">
        <f>IFERROR(__xludf.DUMMYFUNCTION("""COMPUTED_VALUE"""),0.0)</f>
        <v>0</v>
      </c>
      <c r="K527" s="4">
        <f>IFERROR(__xludf.DUMMYFUNCTION("""COMPUTED_VALUE"""),0.0)</f>
        <v>0</v>
      </c>
    </row>
    <row r="528" ht="22.5" customHeight="1">
      <c r="A528" s="2" t="str">
        <f>IFERROR(__xludf.DUMMYFUNCTION("""COMPUTED_VALUE"""),"L2")</f>
        <v>L2</v>
      </c>
      <c r="B528" s="2" t="str">
        <f>IFERROR(__xludf.DUMMYFUNCTION("""COMPUTED_VALUE"""),"2026-11")</f>
        <v>2026-11</v>
      </c>
      <c r="C528" s="2" t="str">
        <f>IFERROR(__xludf.DUMMYFUNCTION("""COMPUTED_VALUE"""),"MEMBER-SUV - LX")</f>
        <v>MEMBER-SUV - LX</v>
      </c>
      <c r="D528" s="2">
        <f>IFERROR(__xludf.DUMMYFUNCTION("""COMPUTED_VALUE"""),0.0)</f>
        <v>0</v>
      </c>
      <c r="E528" s="2">
        <f>IFERROR(__xludf.DUMMYFUNCTION("""COMPUTED_VALUE"""),0.0)</f>
        <v>0</v>
      </c>
      <c r="F528" s="4">
        <f>IFERROR(__xludf.DUMMYFUNCTION("""COMPUTED_VALUE"""),0.0)</f>
        <v>0</v>
      </c>
      <c r="G528" s="4">
        <f>IFERROR(__xludf.DUMMYFUNCTION("""COMPUTED_VALUE"""),0.0)</f>
        <v>0</v>
      </c>
      <c r="H528" s="9">
        <f>IFERROR(__xludf.DUMMYFUNCTION("""COMPUTED_VALUE"""),1.32264)</f>
        <v>1.32264</v>
      </c>
      <c r="I528" s="4">
        <f>IFERROR(__xludf.DUMMYFUNCTION("""COMPUTED_VALUE"""),0.0)</f>
        <v>0</v>
      </c>
      <c r="J528" s="4">
        <f>IFERROR(__xludf.DUMMYFUNCTION("""COMPUTED_VALUE"""),0.0)</f>
        <v>0</v>
      </c>
      <c r="K528" s="4">
        <f>IFERROR(__xludf.DUMMYFUNCTION("""COMPUTED_VALUE"""),0.0)</f>
        <v>0</v>
      </c>
    </row>
    <row r="529" ht="22.5" customHeight="1">
      <c r="A529" s="2" t="str">
        <f>IFERROR(__xludf.DUMMYFUNCTION("""COMPUTED_VALUE"""),"L2")</f>
        <v>L2</v>
      </c>
      <c r="B529" s="2" t="str">
        <f>IFERROR(__xludf.DUMMYFUNCTION("""COMPUTED_VALUE"""),"2026-12")</f>
        <v>2026-12</v>
      </c>
      <c r="C529" s="2" t="str">
        <f>IFERROR(__xludf.DUMMYFUNCTION("""COMPUTED_VALUE"""),"MEMBER-SUV - LX")</f>
        <v>MEMBER-SUV - LX</v>
      </c>
      <c r="D529" s="2">
        <f>IFERROR(__xludf.DUMMYFUNCTION("""COMPUTED_VALUE"""),0.0)</f>
        <v>0</v>
      </c>
      <c r="E529" s="2">
        <f>IFERROR(__xludf.DUMMYFUNCTION("""COMPUTED_VALUE"""),0.0)</f>
        <v>0</v>
      </c>
      <c r="F529" s="4">
        <f>IFERROR(__xludf.DUMMYFUNCTION("""COMPUTED_VALUE"""),0.0)</f>
        <v>0</v>
      </c>
      <c r="G529" s="4">
        <f>IFERROR(__xludf.DUMMYFUNCTION("""COMPUTED_VALUE"""),0.0)</f>
        <v>0</v>
      </c>
      <c r="H529" s="9">
        <f>IFERROR(__xludf.DUMMYFUNCTION("""COMPUTED_VALUE"""),1.32264)</f>
        <v>1.32264</v>
      </c>
      <c r="I529" s="4">
        <f>IFERROR(__xludf.DUMMYFUNCTION("""COMPUTED_VALUE"""),0.0)</f>
        <v>0</v>
      </c>
      <c r="J529" s="4">
        <f>IFERROR(__xludf.DUMMYFUNCTION("""COMPUTED_VALUE"""),0.0)</f>
        <v>0</v>
      </c>
      <c r="K529" s="4">
        <f>IFERROR(__xludf.DUMMYFUNCTION("""COMPUTED_VALUE"""),0.0)</f>
        <v>0</v>
      </c>
    </row>
    <row r="530" ht="22.5" customHeight="1">
      <c r="A530" s="2" t="str">
        <f>IFERROR(__xludf.DUMMYFUNCTION("""COMPUTED_VALUE"""),"L2")</f>
        <v>L2</v>
      </c>
      <c r="B530" s="2" t="str">
        <f>IFERROR(__xludf.DUMMYFUNCTION("""COMPUTED_VALUE"""),"2026-01")</f>
        <v>2026-01</v>
      </c>
      <c r="C530" s="2" t="str">
        <f>IFERROR(__xludf.DUMMYFUNCTION("""COMPUTED_VALUE"""),"PIST-SD")</f>
        <v>PIST-SD</v>
      </c>
      <c r="D530" s="2">
        <f>IFERROR(__xludf.DUMMYFUNCTION("""COMPUTED_VALUE"""),0.0)</f>
        <v>0</v>
      </c>
      <c r="E530" s="2">
        <f>IFERROR(__xludf.DUMMYFUNCTION("""COMPUTED_VALUE"""),0.0)</f>
        <v>0</v>
      </c>
      <c r="F530" s="4">
        <f>IFERROR(__xludf.DUMMYFUNCTION("""COMPUTED_VALUE"""),0.0)</f>
        <v>0</v>
      </c>
      <c r="G530" s="4">
        <f>IFERROR(__xludf.DUMMYFUNCTION("""COMPUTED_VALUE"""),0.0)</f>
        <v>0</v>
      </c>
      <c r="H530" s="9">
        <f>IFERROR(__xludf.DUMMYFUNCTION("""COMPUTED_VALUE"""),1.32264)</f>
        <v>1.32264</v>
      </c>
      <c r="I530" s="4">
        <f>IFERROR(__xludf.DUMMYFUNCTION("""COMPUTED_VALUE"""),0.0)</f>
        <v>0</v>
      </c>
      <c r="J530" s="4">
        <f>IFERROR(__xludf.DUMMYFUNCTION("""COMPUTED_VALUE"""),99.718)</f>
        <v>99.718</v>
      </c>
      <c r="K530" s="4">
        <f>IFERROR(__xludf.DUMMYFUNCTION("""COMPUTED_VALUE"""),99.718)</f>
        <v>99.718</v>
      </c>
    </row>
    <row r="531" ht="22.5" customHeight="1">
      <c r="A531" s="2" t="str">
        <f>IFERROR(__xludf.DUMMYFUNCTION("""COMPUTED_VALUE"""),"L2")</f>
        <v>L2</v>
      </c>
      <c r="B531" s="2" t="str">
        <f>IFERROR(__xludf.DUMMYFUNCTION("""COMPUTED_VALUE"""),"2026-02")</f>
        <v>2026-02</v>
      </c>
      <c r="C531" s="2" t="str">
        <f>IFERROR(__xludf.DUMMYFUNCTION("""COMPUTED_VALUE"""),"PIST-SD")</f>
        <v>PIST-SD</v>
      </c>
      <c r="D531" s="2">
        <f>IFERROR(__xludf.DUMMYFUNCTION("""COMPUTED_VALUE"""),0.0)</f>
        <v>0</v>
      </c>
      <c r="E531" s="2">
        <f>IFERROR(__xludf.DUMMYFUNCTION("""COMPUTED_VALUE"""),0.0)</f>
        <v>0</v>
      </c>
      <c r="F531" s="4">
        <f>IFERROR(__xludf.DUMMYFUNCTION("""COMPUTED_VALUE"""),0.0)</f>
        <v>0</v>
      </c>
      <c r="G531" s="4">
        <f>IFERROR(__xludf.DUMMYFUNCTION("""COMPUTED_VALUE"""),0.0)</f>
        <v>0</v>
      </c>
      <c r="H531" s="9">
        <f>IFERROR(__xludf.DUMMYFUNCTION("""COMPUTED_VALUE"""),1.32264)</f>
        <v>1.32264</v>
      </c>
      <c r="I531" s="4">
        <f>IFERROR(__xludf.DUMMYFUNCTION("""COMPUTED_VALUE"""),0.0)</f>
        <v>0</v>
      </c>
      <c r="J531" s="4">
        <f>IFERROR(__xludf.DUMMYFUNCTION("""COMPUTED_VALUE"""),99.718)</f>
        <v>99.718</v>
      </c>
      <c r="K531" s="4">
        <f>IFERROR(__xludf.DUMMYFUNCTION("""COMPUTED_VALUE"""),99.718)</f>
        <v>99.718</v>
      </c>
    </row>
    <row r="532" ht="22.5" customHeight="1">
      <c r="A532" s="2" t="str">
        <f>IFERROR(__xludf.DUMMYFUNCTION("""COMPUTED_VALUE"""),"L2")</f>
        <v>L2</v>
      </c>
      <c r="B532" s="2" t="str">
        <f>IFERROR(__xludf.DUMMYFUNCTION("""COMPUTED_VALUE"""),"2026-03")</f>
        <v>2026-03</v>
      </c>
      <c r="C532" s="2" t="str">
        <f>IFERROR(__xludf.DUMMYFUNCTION("""COMPUTED_VALUE"""),"PIST-SD")</f>
        <v>PIST-SD</v>
      </c>
      <c r="D532" s="2">
        <f>IFERROR(__xludf.DUMMYFUNCTION("""COMPUTED_VALUE"""),0.0)</f>
        <v>0</v>
      </c>
      <c r="E532" s="2">
        <f>IFERROR(__xludf.DUMMYFUNCTION("""COMPUTED_VALUE"""),0.0)</f>
        <v>0</v>
      </c>
      <c r="F532" s="4">
        <f>IFERROR(__xludf.DUMMYFUNCTION("""COMPUTED_VALUE"""),0.0)</f>
        <v>0</v>
      </c>
      <c r="G532" s="4">
        <f>IFERROR(__xludf.DUMMYFUNCTION("""COMPUTED_VALUE"""),0.0)</f>
        <v>0</v>
      </c>
      <c r="H532" s="9">
        <f>IFERROR(__xludf.DUMMYFUNCTION("""COMPUTED_VALUE"""),1.32264)</f>
        <v>1.32264</v>
      </c>
      <c r="I532" s="4">
        <f>IFERROR(__xludf.DUMMYFUNCTION("""COMPUTED_VALUE"""),0.0)</f>
        <v>0</v>
      </c>
      <c r="J532" s="4">
        <f>IFERROR(__xludf.DUMMYFUNCTION("""COMPUTED_VALUE"""),99.718)</f>
        <v>99.718</v>
      </c>
      <c r="K532" s="4">
        <f>IFERROR(__xludf.DUMMYFUNCTION("""COMPUTED_VALUE"""),99.718)</f>
        <v>99.718</v>
      </c>
    </row>
    <row r="533" ht="22.5" customHeight="1">
      <c r="A533" s="2" t="str">
        <f>IFERROR(__xludf.DUMMYFUNCTION("""COMPUTED_VALUE"""),"L2")</f>
        <v>L2</v>
      </c>
      <c r="B533" s="2" t="str">
        <f>IFERROR(__xludf.DUMMYFUNCTION("""COMPUTED_VALUE"""),"2026-04")</f>
        <v>2026-04</v>
      </c>
      <c r="C533" s="2" t="str">
        <f>IFERROR(__xludf.DUMMYFUNCTION("""COMPUTED_VALUE"""),"PIST-SD")</f>
        <v>PIST-SD</v>
      </c>
      <c r="D533" s="2">
        <f>IFERROR(__xludf.DUMMYFUNCTION("""COMPUTED_VALUE"""),0.0)</f>
        <v>0</v>
      </c>
      <c r="E533" s="2">
        <f>IFERROR(__xludf.DUMMYFUNCTION("""COMPUTED_VALUE"""),0.0)</f>
        <v>0</v>
      </c>
      <c r="F533" s="4">
        <f>IFERROR(__xludf.DUMMYFUNCTION("""COMPUTED_VALUE"""),0.0)</f>
        <v>0</v>
      </c>
      <c r="G533" s="4">
        <f>IFERROR(__xludf.DUMMYFUNCTION("""COMPUTED_VALUE"""),0.0)</f>
        <v>0</v>
      </c>
      <c r="H533" s="9">
        <f>IFERROR(__xludf.DUMMYFUNCTION("""COMPUTED_VALUE"""),1.32264)</f>
        <v>1.32264</v>
      </c>
      <c r="I533" s="4">
        <f>IFERROR(__xludf.DUMMYFUNCTION("""COMPUTED_VALUE"""),0.0)</f>
        <v>0</v>
      </c>
      <c r="J533" s="4">
        <f>IFERROR(__xludf.DUMMYFUNCTION("""COMPUTED_VALUE"""),99.718)</f>
        <v>99.718</v>
      </c>
      <c r="K533" s="4">
        <f>IFERROR(__xludf.DUMMYFUNCTION("""COMPUTED_VALUE"""),99.718)</f>
        <v>99.718</v>
      </c>
    </row>
    <row r="534" ht="22.5" customHeight="1">
      <c r="A534" s="2" t="str">
        <f>IFERROR(__xludf.DUMMYFUNCTION("""COMPUTED_VALUE"""),"L2")</f>
        <v>L2</v>
      </c>
      <c r="B534" s="2" t="str">
        <f>IFERROR(__xludf.DUMMYFUNCTION("""COMPUTED_VALUE"""),"2026-05")</f>
        <v>2026-05</v>
      </c>
      <c r="C534" s="2" t="str">
        <f>IFERROR(__xludf.DUMMYFUNCTION("""COMPUTED_VALUE"""),"PIST-SD")</f>
        <v>PIST-SD</v>
      </c>
      <c r="D534" s="2">
        <f>IFERROR(__xludf.DUMMYFUNCTION("""COMPUTED_VALUE"""),0.0)</f>
        <v>0</v>
      </c>
      <c r="E534" s="2">
        <f>IFERROR(__xludf.DUMMYFUNCTION("""COMPUTED_VALUE"""),0.0)</f>
        <v>0</v>
      </c>
      <c r="F534" s="4">
        <f>IFERROR(__xludf.DUMMYFUNCTION("""COMPUTED_VALUE"""),0.0)</f>
        <v>0</v>
      </c>
      <c r="G534" s="4">
        <f>IFERROR(__xludf.DUMMYFUNCTION("""COMPUTED_VALUE"""),0.0)</f>
        <v>0</v>
      </c>
      <c r="H534" s="9">
        <f>IFERROR(__xludf.DUMMYFUNCTION("""COMPUTED_VALUE"""),1.32264)</f>
        <v>1.32264</v>
      </c>
      <c r="I534" s="4">
        <f>IFERROR(__xludf.DUMMYFUNCTION("""COMPUTED_VALUE"""),0.0)</f>
        <v>0</v>
      </c>
      <c r="J534" s="4">
        <f>IFERROR(__xludf.DUMMYFUNCTION("""COMPUTED_VALUE"""),99.718)</f>
        <v>99.718</v>
      </c>
      <c r="K534" s="4">
        <f>IFERROR(__xludf.DUMMYFUNCTION("""COMPUTED_VALUE"""),99.718)</f>
        <v>99.718</v>
      </c>
    </row>
    <row r="535" ht="22.5" customHeight="1">
      <c r="A535" s="2" t="str">
        <f>IFERROR(__xludf.DUMMYFUNCTION("""COMPUTED_VALUE"""),"L2")</f>
        <v>L2</v>
      </c>
      <c r="B535" s="2" t="str">
        <f>IFERROR(__xludf.DUMMYFUNCTION("""COMPUTED_VALUE"""),"2026-06")</f>
        <v>2026-06</v>
      </c>
      <c r="C535" s="2" t="str">
        <f>IFERROR(__xludf.DUMMYFUNCTION("""COMPUTED_VALUE"""),"PIST-SD")</f>
        <v>PIST-SD</v>
      </c>
      <c r="D535" s="2">
        <f>IFERROR(__xludf.DUMMYFUNCTION("""COMPUTED_VALUE"""),0.0)</f>
        <v>0</v>
      </c>
      <c r="E535" s="2">
        <f>IFERROR(__xludf.DUMMYFUNCTION("""COMPUTED_VALUE"""),0.0)</f>
        <v>0</v>
      </c>
      <c r="F535" s="4">
        <f>IFERROR(__xludf.DUMMYFUNCTION("""COMPUTED_VALUE"""),0.0)</f>
        <v>0</v>
      </c>
      <c r="G535" s="4">
        <f>IFERROR(__xludf.DUMMYFUNCTION("""COMPUTED_VALUE"""),0.0)</f>
        <v>0</v>
      </c>
      <c r="H535" s="9">
        <f>IFERROR(__xludf.DUMMYFUNCTION("""COMPUTED_VALUE"""),1.32264)</f>
        <v>1.32264</v>
      </c>
      <c r="I535" s="4">
        <f>IFERROR(__xludf.DUMMYFUNCTION("""COMPUTED_VALUE"""),0.0)</f>
        <v>0</v>
      </c>
      <c r="J535" s="4">
        <f>IFERROR(__xludf.DUMMYFUNCTION("""COMPUTED_VALUE"""),99.718)</f>
        <v>99.718</v>
      </c>
      <c r="K535" s="4">
        <f>IFERROR(__xludf.DUMMYFUNCTION("""COMPUTED_VALUE"""),99.718)</f>
        <v>99.718</v>
      </c>
    </row>
    <row r="536" ht="22.5" customHeight="1">
      <c r="A536" s="2" t="str">
        <f>IFERROR(__xludf.DUMMYFUNCTION("""COMPUTED_VALUE"""),"L2")</f>
        <v>L2</v>
      </c>
      <c r="B536" s="2" t="str">
        <f>IFERROR(__xludf.DUMMYFUNCTION("""COMPUTED_VALUE"""),"2026-07")</f>
        <v>2026-07</v>
      </c>
      <c r="C536" s="2" t="str">
        <f>IFERROR(__xludf.DUMMYFUNCTION("""COMPUTED_VALUE"""),"PIST-SD")</f>
        <v>PIST-SD</v>
      </c>
      <c r="D536" s="2">
        <f>IFERROR(__xludf.DUMMYFUNCTION("""COMPUTED_VALUE"""),0.0)</f>
        <v>0</v>
      </c>
      <c r="E536" s="2">
        <f>IFERROR(__xludf.DUMMYFUNCTION("""COMPUTED_VALUE"""),0.0)</f>
        <v>0</v>
      </c>
      <c r="F536" s="4">
        <f>IFERROR(__xludf.DUMMYFUNCTION("""COMPUTED_VALUE"""),0.0)</f>
        <v>0</v>
      </c>
      <c r="G536" s="4">
        <f>IFERROR(__xludf.DUMMYFUNCTION("""COMPUTED_VALUE"""),0.0)</f>
        <v>0</v>
      </c>
      <c r="H536" s="9">
        <f>IFERROR(__xludf.DUMMYFUNCTION("""COMPUTED_VALUE"""),1.32264)</f>
        <v>1.32264</v>
      </c>
      <c r="I536" s="4">
        <f>IFERROR(__xludf.DUMMYFUNCTION("""COMPUTED_VALUE"""),0.0)</f>
        <v>0</v>
      </c>
      <c r="J536" s="4">
        <f>IFERROR(__xludf.DUMMYFUNCTION("""COMPUTED_VALUE"""),99.718)</f>
        <v>99.718</v>
      </c>
      <c r="K536" s="4">
        <f>IFERROR(__xludf.DUMMYFUNCTION("""COMPUTED_VALUE"""),99.718)</f>
        <v>99.718</v>
      </c>
    </row>
    <row r="537" ht="22.5" customHeight="1">
      <c r="A537" s="2" t="str">
        <f>IFERROR(__xludf.DUMMYFUNCTION("""COMPUTED_VALUE"""),"L2")</f>
        <v>L2</v>
      </c>
      <c r="B537" s="2" t="str">
        <f>IFERROR(__xludf.DUMMYFUNCTION("""COMPUTED_VALUE"""),"2026-08")</f>
        <v>2026-08</v>
      </c>
      <c r="C537" s="2" t="str">
        <f>IFERROR(__xludf.DUMMYFUNCTION("""COMPUTED_VALUE"""),"PIST-SD")</f>
        <v>PIST-SD</v>
      </c>
      <c r="D537" s="2">
        <f>IFERROR(__xludf.DUMMYFUNCTION("""COMPUTED_VALUE"""),0.0)</f>
        <v>0</v>
      </c>
      <c r="E537" s="2">
        <f>IFERROR(__xludf.DUMMYFUNCTION("""COMPUTED_VALUE"""),0.0)</f>
        <v>0</v>
      </c>
      <c r="F537" s="4">
        <f>IFERROR(__xludf.DUMMYFUNCTION("""COMPUTED_VALUE"""),0.0)</f>
        <v>0</v>
      </c>
      <c r="G537" s="4">
        <f>IFERROR(__xludf.DUMMYFUNCTION("""COMPUTED_VALUE"""),0.0)</f>
        <v>0</v>
      </c>
      <c r="H537" s="9">
        <f>IFERROR(__xludf.DUMMYFUNCTION("""COMPUTED_VALUE"""),1.32264)</f>
        <v>1.32264</v>
      </c>
      <c r="I537" s="4">
        <f>IFERROR(__xludf.DUMMYFUNCTION("""COMPUTED_VALUE"""),0.0)</f>
        <v>0</v>
      </c>
      <c r="J537" s="4">
        <f>IFERROR(__xludf.DUMMYFUNCTION("""COMPUTED_VALUE"""),99.718)</f>
        <v>99.718</v>
      </c>
      <c r="K537" s="4">
        <f>IFERROR(__xludf.DUMMYFUNCTION("""COMPUTED_VALUE"""),99.718)</f>
        <v>99.718</v>
      </c>
    </row>
    <row r="538" ht="22.5" customHeight="1">
      <c r="A538" s="2" t="str">
        <f>IFERROR(__xludf.DUMMYFUNCTION("""COMPUTED_VALUE"""),"L2")</f>
        <v>L2</v>
      </c>
      <c r="B538" s="2" t="str">
        <f>IFERROR(__xludf.DUMMYFUNCTION("""COMPUTED_VALUE"""),"2026-09")</f>
        <v>2026-09</v>
      </c>
      <c r="C538" s="2" t="str">
        <f>IFERROR(__xludf.DUMMYFUNCTION("""COMPUTED_VALUE"""),"PIST-SD")</f>
        <v>PIST-SD</v>
      </c>
      <c r="D538" s="2">
        <f>IFERROR(__xludf.DUMMYFUNCTION("""COMPUTED_VALUE"""),0.0)</f>
        <v>0</v>
      </c>
      <c r="E538" s="2">
        <f>IFERROR(__xludf.DUMMYFUNCTION("""COMPUTED_VALUE"""),0.0)</f>
        <v>0</v>
      </c>
      <c r="F538" s="4">
        <f>IFERROR(__xludf.DUMMYFUNCTION("""COMPUTED_VALUE"""),0.0)</f>
        <v>0</v>
      </c>
      <c r="G538" s="4">
        <f>IFERROR(__xludf.DUMMYFUNCTION("""COMPUTED_VALUE"""),0.0)</f>
        <v>0</v>
      </c>
      <c r="H538" s="9">
        <f>IFERROR(__xludf.DUMMYFUNCTION("""COMPUTED_VALUE"""),1.32264)</f>
        <v>1.32264</v>
      </c>
      <c r="I538" s="4">
        <f>IFERROR(__xludf.DUMMYFUNCTION("""COMPUTED_VALUE"""),0.0)</f>
        <v>0</v>
      </c>
      <c r="J538" s="4">
        <f>IFERROR(__xludf.DUMMYFUNCTION("""COMPUTED_VALUE"""),99.718)</f>
        <v>99.718</v>
      </c>
      <c r="K538" s="4">
        <f>IFERROR(__xludf.DUMMYFUNCTION("""COMPUTED_VALUE"""),99.718)</f>
        <v>99.718</v>
      </c>
    </row>
    <row r="539" ht="22.5" customHeight="1">
      <c r="A539" s="2" t="str">
        <f>IFERROR(__xludf.DUMMYFUNCTION("""COMPUTED_VALUE"""),"L2")</f>
        <v>L2</v>
      </c>
      <c r="B539" s="2" t="str">
        <f>IFERROR(__xludf.DUMMYFUNCTION("""COMPUTED_VALUE"""),"2026-10")</f>
        <v>2026-10</v>
      </c>
      <c r="C539" s="2" t="str">
        <f>IFERROR(__xludf.DUMMYFUNCTION("""COMPUTED_VALUE"""),"PIST-SD")</f>
        <v>PIST-SD</v>
      </c>
      <c r="D539" s="2">
        <f>IFERROR(__xludf.DUMMYFUNCTION("""COMPUTED_VALUE"""),0.0)</f>
        <v>0</v>
      </c>
      <c r="E539" s="2">
        <f>IFERROR(__xludf.DUMMYFUNCTION("""COMPUTED_VALUE"""),0.0)</f>
        <v>0</v>
      </c>
      <c r="F539" s="4">
        <f>IFERROR(__xludf.DUMMYFUNCTION("""COMPUTED_VALUE"""),0.0)</f>
        <v>0</v>
      </c>
      <c r="G539" s="4">
        <f>IFERROR(__xludf.DUMMYFUNCTION("""COMPUTED_VALUE"""),0.0)</f>
        <v>0</v>
      </c>
      <c r="H539" s="9">
        <f>IFERROR(__xludf.DUMMYFUNCTION("""COMPUTED_VALUE"""),1.32264)</f>
        <v>1.32264</v>
      </c>
      <c r="I539" s="4">
        <f>IFERROR(__xludf.DUMMYFUNCTION("""COMPUTED_VALUE"""),0.0)</f>
        <v>0</v>
      </c>
      <c r="J539" s="4">
        <f>IFERROR(__xludf.DUMMYFUNCTION("""COMPUTED_VALUE"""),99.718)</f>
        <v>99.718</v>
      </c>
      <c r="K539" s="4">
        <f>IFERROR(__xludf.DUMMYFUNCTION("""COMPUTED_VALUE"""),99.718)</f>
        <v>99.718</v>
      </c>
    </row>
    <row r="540" ht="22.5" customHeight="1">
      <c r="A540" s="2" t="str">
        <f>IFERROR(__xludf.DUMMYFUNCTION("""COMPUTED_VALUE"""),"L2")</f>
        <v>L2</v>
      </c>
      <c r="B540" s="2" t="str">
        <f>IFERROR(__xludf.DUMMYFUNCTION("""COMPUTED_VALUE"""),"2026-11")</f>
        <v>2026-11</v>
      </c>
      <c r="C540" s="2" t="str">
        <f>IFERROR(__xludf.DUMMYFUNCTION("""COMPUTED_VALUE"""),"PIST-SD")</f>
        <v>PIST-SD</v>
      </c>
      <c r="D540" s="2">
        <f>IFERROR(__xludf.DUMMYFUNCTION("""COMPUTED_VALUE"""),0.0)</f>
        <v>0</v>
      </c>
      <c r="E540" s="2">
        <f>IFERROR(__xludf.DUMMYFUNCTION("""COMPUTED_VALUE"""),0.0)</f>
        <v>0</v>
      </c>
      <c r="F540" s="4">
        <f>IFERROR(__xludf.DUMMYFUNCTION("""COMPUTED_VALUE"""),0.0)</f>
        <v>0</v>
      </c>
      <c r="G540" s="4">
        <f>IFERROR(__xludf.DUMMYFUNCTION("""COMPUTED_VALUE"""),0.0)</f>
        <v>0</v>
      </c>
      <c r="H540" s="9">
        <f>IFERROR(__xludf.DUMMYFUNCTION("""COMPUTED_VALUE"""),1.32264)</f>
        <v>1.32264</v>
      </c>
      <c r="I540" s="4">
        <f>IFERROR(__xludf.DUMMYFUNCTION("""COMPUTED_VALUE"""),0.0)</f>
        <v>0</v>
      </c>
      <c r="J540" s="4">
        <f>IFERROR(__xludf.DUMMYFUNCTION("""COMPUTED_VALUE"""),99.718)</f>
        <v>99.718</v>
      </c>
      <c r="K540" s="4">
        <f>IFERROR(__xludf.DUMMYFUNCTION("""COMPUTED_VALUE"""),99.718)</f>
        <v>99.718</v>
      </c>
    </row>
    <row r="541" ht="22.5" customHeight="1">
      <c r="A541" s="2" t="str">
        <f>IFERROR(__xludf.DUMMYFUNCTION("""COMPUTED_VALUE"""),"L2")</f>
        <v>L2</v>
      </c>
      <c r="B541" s="2" t="str">
        <f>IFERROR(__xludf.DUMMYFUNCTION("""COMPUTED_VALUE"""),"2026-12")</f>
        <v>2026-12</v>
      </c>
      <c r="C541" s="2" t="str">
        <f>IFERROR(__xludf.DUMMYFUNCTION("""COMPUTED_VALUE"""),"PIST-SD")</f>
        <v>PIST-SD</v>
      </c>
      <c r="D541" s="2">
        <f>IFERROR(__xludf.DUMMYFUNCTION("""COMPUTED_VALUE"""),0.0)</f>
        <v>0</v>
      </c>
      <c r="E541" s="2">
        <f>IFERROR(__xludf.DUMMYFUNCTION("""COMPUTED_VALUE"""),0.0)</f>
        <v>0</v>
      </c>
      <c r="F541" s="4">
        <f>IFERROR(__xludf.DUMMYFUNCTION("""COMPUTED_VALUE"""),0.0)</f>
        <v>0</v>
      </c>
      <c r="G541" s="4">
        <f>IFERROR(__xludf.DUMMYFUNCTION("""COMPUTED_VALUE"""),0.0)</f>
        <v>0</v>
      </c>
      <c r="H541" s="9">
        <f>IFERROR(__xludf.DUMMYFUNCTION("""COMPUTED_VALUE"""),1.32264)</f>
        <v>1.32264</v>
      </c>
      <c r="I541" s="4">
        <f>IFERROR(__xludf.DUMMYFUNCTION("""COMPUTED_VALUE"""),0.0)</f>
        <v>0</v>
      </c>
      <c r="J541" s="4">
        <f>IFERROR(__xludf.DUMMYFUNCTION("""COMPUTED_VALUE"""),99.718)</f>
        <v>99.718</v>
      </c>
      <c r="K541" s="4">
        <f>IFERROR(__xludf.DUMMYFUNCTION("""COMPUTED_VALUE"""),99.718)</f>
        <v>99.718</v>
      </c>
    </row>
    <row r="542" ht="22.5" customHeight="1">
      <c r="A542" s="2" t="str">
        <f>IFERROR(__xludf.DUMMYFUNCTION("""COMPUTED_VALUE"""),"L2")</f>
        <v>L2</v>
      </c>
      <c r="B542" s="2" t="str">
        <f>IFERROR(__xludf.DUMMYFUNCTION("""COMPUTED_VALUE"""),"2026-01")</f>
        <v>2026-01</v>
      </c>
      <c r="C542" s="2" t="str">
        <f>IFERROR(__xludf.DUMMYFUNCTION("""COMPUTED_VALUE"""),"PIST-SD - LX")</f>
        <v>PIST-SD - LX</v>
      </c>
      <c r="D542" s="2">
        <f>IFERROR(__xludf.DUMMYFUNCTION("""COMPUTED_VALUE"""),0.0)</f>
        <v>0</v>
      </c>
      <c r="E542" s="2">
        <f>IFERROR(__xludf.DUMMYFUNCTION("""COMPUTED_VALUE"""),0.0)</f>
        <v>0</v>
      </c>
      <c r="F542" s="4">
        <f>IFERROR(__xludf.DUMMYFUNCTION("""COMPUTED_VALUE"""),0.0)</f>
        <v>0</v>
      </c>
      <c r="G542" s="4">
        <f>IFERROR(__xludf.DUMMYFUNCTION("""COMPUTED_VALUE"""),0.0)</f>
        <v>0</v>
      </c>
      <c r="H542" s="9">
        <f>IFERROR(__xludf.DUMMYFUNCTION("""COMPUTED_VALUE"""),1.32264)</f>
        <v>1.32264</v>
      </c>
      <c r="I542" s="4">
        <f>IFERROR(__xludf.DUMMYFUNCTION("""COMPUTED_VALUE"""),0.0)</f>
        <v>0</v>
      </c>
      <c r="J542" s="4">
        <f>IFERROR(__xludf.DUMMYFUNCTION("""COMPUTED_VALUE"""),1020.5729999999999)</f>
        <v>1020.573</v>
      </c>
      <c r="K542" s="4">
        <f>IFERROR(__xludf.DUMMYFUNCTION("""COMPUTED_VALUE"""),1020.5729999999999)</f>
        <v>1020.573</v>
      </c>
    </row>
    <row r="543" ht="22.5" customHeight="1">
      <c r="A543" s="2" t="str">
        <f>IFERROR(__xludf.DUMMYFUNCTION("""COMPUTED_VALUE"""),"L2")</f>
        <v>L2</v>
      </c>
      <c r="B543" s="2" t="str">
        <f>IFERROR(__xludf.DUMMYFUNCTION("""COMPUTED_VALUE"""),"2026-02")</f>
        <v>2026-02</v>
      </c>
      <c r="C543" s="2" t="str">
        <f>IFERROR(__xludf.DUMMYFUNCTION("""COMPUTED_VALUE"""),"PIST-SD - LX")</f>
        <v>PIST-SD - LX</v>
      </c>
      <c r="D543" s="2">
        <f>IFERROR(__xludf.DUMMYFUNCTION("""COMPUTED_VALUE"""),0.0)</f>
        <v>0</v>
      </c>
      <c r="E543" s="2">
        <f>IFERROR(__xludf.DUMMYFUNCTION("""COMPUTED_VALUE"""),0.0)</f>
        <v>0</v>
      </c>
      <c r="F543" s="4">
        <f>IFERROR(__xludf.DUMMYFUNCTION("""COMPUTED_VALUE"""),0.0)</f>
        <v>0</v>
      </c>
      <c r="G543" s="4">
        <f>IFERROR(__xludf.DUMMYFUNCTION("""COMPUTED_VALUE"""),0.0)</f>
        <v>0</v>
      </c>
      <c r="H543" s="9">
        <f>IFERROR(__xludf.DUMMYFUNCTION("""COMPUTED_VALUE"""),1.32264)</f>
        <v>1.32264</v>
      </c>
      <c r="I543" s="4">
        <f>IFERROR(__xludf.DUMMYFUNCTION("""COMPUTED_VALUE"""),0.0)</f>
        <v>0</v>
      </c>
      <c r="J543" s="4">
        <f>IFERROR(__xludf.DUMMYFUNCTION("""COMPUTED_VALUE"""),566.9849999999999)</f>
        <v>566.985</v>
      </c>
      <c r="K543" s="4">
        <f>IFERROR(__xludf.DUMMYFUNCTION("""COMPUTED_VALUE"""),566.9849999999999)</f>
        <v>566.985</v>
      </c>
    </row>
    <row r="544" ht="22.5" customHeight="1">
      <c r="A544" s="2" t="str">
        <f>IFERROR(__xludf.DUMMYFUNCTION("""COMPUTED_VALUE"""),"L2")</f>
        <v>L2</v>
      </c>
      <c r="B544" s="2" t="str">
        <f>IFERROR(__xludf.DUMMYFUNCTION("""COMPUTED_VALUE"""),"2026-03")</f>
        <v>2026-03</v>
      </c>
      <c r="C544" s="2" t="str">
        <f>IFERROR(__xludf.DUMMYFUNCTION("""COMPUTED_VALUE"""),"PIST-SD - LX")</f>
        <v>PIST-SD - LX</v>
      </c>
      <c r="D544" s="2">
        <f>IFERROR(__xludf.DUMMYFUNCTION("""COMPUTED_VALUE"""),0.0)</f>
        <v>0</v>
      </c>
      <c r="E544" s="2">
        <f>IFERROR(__xludf.DUMMYFUNCTION("""COMPUTED_VALUE"""),0.0)</f>
        <v>0</v>
      </c>
      <c r="F544" s="4">
        <f>IFERROR(__xludf.DUMMYFUNCTION("""COMPUTED_VALUE"""),0.0)</f>
        <v>0</v>
      </c>
      <c r="G544" s="4">
        <f>IFERROR(__xludf.DUMMYFUNCTION("""COMPUTED_VALUE"""),0.0)</f>
        <v>0</v>
      </c>
      <c r="H544" s="9">
        <f>IFERROR(__xludf.DUMMYFUNCTION("""COMPUTED_VALUE"""),1.32264)</f>
        <v>1.32264</v>
      </c>
      <c r="I544" s="4">
        <f>IFERROR(__xludf.DUMMYFUNCTION("""COMPUTED_VALUE"""),0.0)</f>
        <v>0</v>
      </c>
      <c r="J544" s="4">
        <f>IFERROR(__xludf.DUMMYFUNCTION("""COMPUTED_VALUE"""),113.39699999999999)</f>
        <v>113.397</v>
      </c>
      <c r="K544" s="4">
        <f>IFERROR(__xludf.DUMMYFUNCTION("""COMPUTED_VALUE"""),113.39699999999999)</f>
        <v>113.397</v>
      </c>
    </row>
    <row r="545" ht="22.5" customHeight="1">
      <c r="A545" s="2" t="str">
        <f>IFERROR(__xludf.DUMMYFUNCTION("""COMPUTED_VALUE"""),"L2")</f>
        <v>L2</v>
      </c>
      <c r="B545" s="2" t="str">
        <f>IFERROR(__xludf.DUMMYFUNCTION("""COMPUTED_VALUE"""),"2026-04")</f>
        <v>2026-04</v>
      </c>
      <c r="C545" s="2" t="str">
        <f>IFERROR(__xludf.DUMMYFUNCTION("""COMPUTED_VALUE"""),"PIST-SD - LX")</f>
        <v>PIST-SD - LX</v>
      </c>
      <c r="D545" s="2">
        <f>IFERROR(__xludf.DUMMYFUNCTION("""COMPUTED_VALUE"""),0.0)</f>
        <v>0</v>
      </c>
      <c r="E545" s="2">
        <f>IFERROR(__xludf.DUMMYFUNCTION("""COMPUTED_VALUE"""),0.0)</f>
        <v>0</v>
      </c>
      <c r="F545" s="4">
        <f>IFERROR(__xludf.DUMMYFUNCTION("""COMPUTED_VALUE"""),0.0)</f>
        <v>0</v>
      </c>
      <c r="G545" s="4">
        <f>IFERROR(__xludf.DUMMYFUNCTION("""COMPUTED_VALUE"""),0.0)</f>
        <v>0</v>
      </c>
      <c r="H545" s="9">
        <f>IFERROR(__xludf.DUMMYFUNCTION("""COMPUTED_VALUE"""),1.32264)</f>
        <v>1.32264</v>
      </c>
      <c r="I545" s="4">
        <f>IFERROR(__xludf.DUMMYFUNCTION("""COMPUTED_VALUE"""),0.0)</f>
        <v>0</v>
      </c>
      <c r="J545" s="4">
        <f>IFERROR(__xludf.DUMMYFUNCTION("""COMPUTED_VALUE"""),113.39699999999999)</f>
        <v>113.397</v>
      </c>
      <c r="K545" s="4">
        <f>IFERROR(__xludf.DUMMYFUNCTION("""COMPUTED_VALUE"""),113.39699999999999)</f>
        <v>113.397</v>
      </c>
    </row>
    <row r="546" ht="22.5" customHeight="1">
      <c r="A546" s="2" t="str">
        <f>IFERROR(__xludf.DUMMYFUNCTION("""COMPUTED_VALUE"""),"L2")</f>
        <v>L2</v>
      </c>
      <c r="B546" s="2" t="str">
        <f>IFERROR(__xludf.DUMMYFUNCTION("""COMPUTED_VALUE"""),"2026-05")</f>
        <v>2026-05</v>
      </c>
      <c r="C546" s="2" t="str">
        <f>IFERROR(__xludf.DUMMYFUNCTION("""COMPUTED_VALUE"""),"PIST-SD - LX")</f>
        <v>PIST-SD - LX</v>
      </c>
      <c r="D546" s="2">
        <f>IFERROR(__xludf.DUMMYFUNCTION("""COMPUTED_VALUE"""),0.0)</f>
        <v>0</v>
      </c>
      <c r="E546" s="2">
        <f>IFERROR(__xludf.DUMMYFUNCTION("""COMPUTED_VALUE"""),0.0)</f>
        <v>0</v>
      </c>
      <c r="F546" s="4">
        <f>IFERROR(__xludf.DUMMYFUNCTION("""COMPUTED_VALUE"""),0.0)</f>
        <v>0</v>
      </c>
      <c r="G546" s="4">
        <f>IFERROR(__xludf.DUMMYFUNCTION("""COMPUTED_VALUE"""),0.0)</f>
        <v>0</v>
      </c>
      <c r="H546" s="9">
        <f>IFERROR(__xludf.DUMMYFUNCTION("""COMPUTED_VALUE"""),1.32264)</f>
        <v>1.32264</v>
      </c>
      <c r="I546" s="4">
        <f>IFERROR(__xludf.DUMMYFUNCTION("""COMPUTED_VALUE"""),0.0)</f>
        <v>0</v>
      </c>
      <c r="J546" s="4">
        <f>IFERROR(__xludf.DUMMYFUNCTION("""COMPUTED_VALUE"""),113.39699999999999)</f>
        <v>113.397</v>
      </c>
      <c r="K546" s="4">
        <f>IFERROR(__xludf.DUMMYFUNCTION("""COMPUTED_VALUE"""),113.39699999999999)</f>
        <v>113.397</v>
      </c>
    </row>
    <row r="547" ht="22.5" customHeight="1">
      <c r="A547" s="2" t="str">
        <f>IFERROR(__xludf.DUMMYFUNCTION("""COMPUTED_VALUE"""),"L2")</f>
        <v>L2</v>
      </c>
      <c r="B547" s="2" t="str">
        <f>IFERROR(__xludf.DUMMYFUNCTION("""COMPUTED_VALUE"""),"2026-06")</f>
        <v>2026-06</v>
      </c>
      <c r="C547" s="2" t="str">
        <f>IFERROR(__xludf.DUMMYFUNCTION("""COMPUTED_VALUE"""),"PIST-SD - LX")</f>
        <v>PIST-SD - LX</v>
      </c>
      <c r="D547" s="2">
        <f>IFERROR(__xludf.DUMMYFUNCTION("""COMPUTED_VALUE"""),0.0)</f>
        <v>0</v>
      </c>
      <c r="E547" s="2">
        <f>IFERROR(__xludf.DUMMYFUNCTION("""COMPUTED_VALUE"""),0.0)</f>
        <v>0</v>
      </c>
      <c r="F547" s="4">
        <f>IFERROR(__xludf.DUMMYFUNCTION("""COMPUTED_VALUE"""),0.0)</f>
        <v>0</v>
      </c>
      <c r="G547" s="4">
        <f>IFERROR(__xludf.DUMMYFUNCTION("""COMPUTED_VALUE"""),0.0)</f>
        <v>0</v>
      </c>
      <c r="H547" s="9">
        <f>IFERROR(__xludf.DUMMYFUNCTION("""COMPUTED_VALUE"""),1.32264)</f>
        <v>1.32264</v>
      </c>
      <c r="I547" s="4">
        <f>IFERROR(__xludf.DUMMYFUNCTION("""COMPUTED_VALUE"""),0.0)</f>
        <v>0</v>
      </c>
      <c r="J547" s="4">
        <f>IFERROR(__xludf.DUMMYFUNCTION("""COMPUTED_VALUE"""),113.39699999999999)</f>
        <v>113.397</v>
      </c>
      <c r="K547" s="4">
        <f>IFERROR(__xludf.DUMMYFUNCTION("""COMPUTED_VALUE"""),113.39699999999999)</f>
        <v>113.397</v>
      </c>
    </row>
    <row r="548" ht="22.5" customHeight="1">
      <c r="A548" s="2" t="str">
        <f>IFERROR(__xludf.DUMMYFUNCTION("""COMPUTED_VALUE"""),"L2")</f>
        <v>L2</v>
      </c>
      <c r="B548" s="2" t="str">
        <f>IFERROR(__xludf.DUMMYFUNCTION("""COMPUTED_VALUE"""),"2026-07")</f>
        <v>2026-07</v>
      </c>
      <c r="C548" s="2" t="str">
        <f>IFERROR(__xludf.DUMMYFUNCTION("""COMPUTED_VALUE"""),"PIST-SD - LX")</f>
        <v>PIST-SD - LX</v>
      </c>
      <c r="D548" s="2">
        <f>IFERROR(__xludf.DUMMYFUNCTION("""COMPUTED_VALUE"""),0.0)</f>
        <v>0</v>
      </c>
      <c r="E548" s="2">
        <f>IFERROR(__xludf.DUMMYFUNCTION("""COMPUTED_VALUE"""),0.0)</f>
        <v>0</v>
      </c>
      <c r="F548" s="4">
        <f>IFERROR(__xludf.DUMMYFUNCTION("""COMPUTED_VALUE"""),0.0)</f>
        <v>0</v>
      </c>
      <c r="G548" s="4">
        <f>IFERROR(__xludf.DUMMYFUNCTION("""COMPUTED_VALUE"""),0.0)</f>
        <v>0</v>
      </c>
      <c r="H548" s="9">
        <f>IFERROR(__xludf.DUMMYFUNCTION("""COMPUTED_VALUE"""),1.32264)</f>
        <v>1.32264</v>
      </c>
      <c r="I548" s="4">
        <f>IFERROR(__xludf.DUMMYFUNCTION("""COMPUTED_VALUE"""),0.0)</f>
        <v>0</v>
      </c>
      <c r="J548" s="4">
        <f>IFERROR(__xludf.DUMMYFUNCTION("""COMPUTED_VALUE"""),113.39699999999999)</f>
        <v>113.397</v>
      </c>
      <c r="K548" s="4">
        <f>IFERROR(__xludf.DUMMYFUNCTION("""COMPUTED_VALUE"""),113.39699999999999)</f>
        <v>113.397</v>
      </c>
    </row>
    <row r="549" ht="22.5" customHeight="1">
      <c r="A549" s="2" t="str">
        <f>IFERROR(__xludf.DUMMYFUNCTION("""COMPUTED_VALUE"""),"L2")</f>
        <v>L2</v>
      </c>
      <c r="B549" s="2" t="str">
        <f>IFERROR(__xludf.DUMMYFUNCTION("""COMPUTED_VALUE"""),"2026-08")</f>
        <v>2026-08</v>
      </c>
      <c r="C549" s="2" t="str">
        <f>IFERROR(__xludf.DUMMYFUNCTION("""COMPUTED_VALUE"""),"PIST-SD - LX")</f>
        <v>PIST-SD - LX</v>
      </c>
      <c r="D549" s="2">
        <f>IFERROR(__xludf.DUMMYFUNCTION("""COMPUTED_VALUE"""),0.0)</f>
        <v>0</v>
      </c>
      <c r="E549" s="2">
        <f>IFERROR(__xludf.DUMMYFUNCTION("""COMPUTED_VALUE"""),0.0)</f>
        <v>0</v>
      </c>
      <c r="F549" s="4">
        <f>IFERROR(__xludf.DUMMYFUNCTION("""COMPUTED_VALUE"""),0.0)</f>
        <v>0</v>
      </c>
      <c r="G549" s="4">
        <f>IFERROR(__xludf.DUMMYFUNCTION("""COMPUTED_VALUE"""),0.0)</f>
        <v>0</v>
      </c>
      <c r="H549" s="9">
        <f>IFERROR(__xludf.DUMMYFUNCTION("""COMPUTED_VALUE"""),1.32264)</f>
        <v>1.32264</v>
      </c>
      <c r="I549" s="4">
        <f>IFERROR(__xludf.DUMMYFUNCTION("""COMPUTED_VALUE"""),0.0)</f>
        <v>0</v>
      </c>
      <c r="J549" s="4">
        <f>IFERROR(__xludf.DUMMYFUNCTION("""COMPUTED_VALUE"""),113.39699999999999)</f>
        <v>113.397</v>
      </c>
      <c r="K549" s="4">
        <f>IFERROR(__xludf.DUMMYFUNCTION("""COMPUTED_VALUE"""),113.39699999999999)</f>
        <v>113.397</v>
      </c>
    </row>
    <row r="550" ht="22.5" customHeight="1">
      <c r="A550" s="2" t="str">
        <f>IFERROR(__xludf.DUMMYFUNCTION("""COMPUTED_VALUE"""),"L2")</f>
        <v>L2</v>
      </c>
      <c r="B550" s="2" t="str">
        <f>IFERROR(__xludf.DUMMYFUNCTION("""COMPUTED_VALUE"""),"2026-09")</f>
        <v>2026-09</v>
      </c>
      <c r="C550" s="2" t="str">
        <f>IFERROR(__xludf.DUMMYFUNCTION("""COMPUTED_VALUE"""),"PIST-SD - LX")</f>
        <v>PIST-SD - LX</v>
      </c>
      <c r="D550" s="2">
        <f>IFERROR(__xludf.DUMMYFUNCTION("""COMPUTED_VALUE"""),0.0)</f>
        <v>0</v>
      </c>
      <c r="E550" s="2">
        <f>IFERROR(__xludf.DUMMYFUNCTION("""COMPUTED_VALUE"""),0.0)</f>
        <v>0</v>
      </c>
      <c r="F550" s="4">
        <f>IFERROR(__xludf.DUMMYFUNCTION("""COMPUTED_VALUE"""),0.0)</f>
        <v>0</v>
      </c>
      <c r="G550" s="4">
        <f>IFERROR(__xludf.DUMMYFUNCTION("""COMPUTED_VALUE"""),0.0)</f>
        <v>0</v>
      </c>
      <c r="H550" s="9">
        <f>IFERROR(__xludf.DUMMYFUNCTION("""COMPUTED_VALUE"""),1.32264)</f>
        <v>1.32264</v>
      </c>
      <c r="I550" s="4">
        <f>IFERROR(__xludf.DUMMYFUNCTION("""COMPUTED_VALUE"""),0.0)</f>
        <v>0</v>
      </c>
      <c r="J550" s="4">
        <f>IFERROR(__xludf.DUMMYFUNCTION("""COMPUTED_VALUE"""),113.39699999999999)</f>
        <v>113.397</v>
      </c>
      <c r="K550" s="4">
        <f>IFERROR(__xludf.DUMMYFUNCTION("""COMPUTED_VALUE"""),113.39699999999999)</f>
        <v>113.397</v>
      </c>
    </row>
    <row r="551" ht="22.5" customHeight="1">
      <c r="A551" s="2" t="str">
        <f>IFERROR(__xludf.DUMMYFUNCTION("""COMPUTED_VALUE"""),"L2")</f>
        <v>L2</v>
      </c>
      <c r="B551" s="2" t="str">
        <f>IFERROR(__xludf.DUMMYFUNCTION("""COMPUTED_VALUE"""),"2026-10")</f>
        <v>2026-10</v>
      </c>
      <c r="C551" s="2" t="str">
        <f>IFERROR(__xludf.DUMMYFUNCTION("""COMPUTED_VALUE"""),"PIST-SD - LX")</f>
        <v>PIST-SD - LX</v>
      </c>
      <c r="D551" s="2">
        <f>IFERROR(__xludf.DUMMYFUNCTION("""COMPUTED_VALUE"""),0.0)</f>
        <v>0</v>
      </c>
      <c r="E551" s="2">
        <f>IFERROR(__xludf.DUMMYFUNCTION("""COMPUTED_VALUE"""),0.0)</f>
        <v>0</v>
      </c>
      <c r="F551" s="4">
        <f>IFERROR(__xludf.DUMMYFUNCTION("""COMPUTED_VALUE"""),0.0)</f>
        <v>0</v>
      </c>
      <c r="G551" s="4">
        <f>IFERROR(__xludf.DUMMYFUNCTION("""COMPUTED_VALUE"""),0.0)</f>
        <v>0</v>
      </c>
      <c r="H551" s="9">
        <f>IFERROR(__xludf.DUMMYFUNCTION("""COMPUTED_VALUE"""),1.32264)</f>
        <v>1.32264</v>
      </c>
      <c r="I551" s="4">
        <f>IFERROR(__xludf.DUMMYFUNCTION("""COMPUTED_VALUE"""),0.0)</f>
        <v>0</v>
      </c>
      <c r="J551" s="4">
        <f>IFERROR(__xludf.DUMMYFUNCTION("""COMPUTED_VALUE"""),113.39699999999999)</f>
        <v>113.397</v>
      </c>
      <c r="K551" s="4">
        <f>IFERROR(__xludf.DUMMYFUNCTION("""COMPUTED_VALUE"""),113.39699999999999)</f>
        <v>113.397</v>
      </c>
    </row>
    <row r="552" ht="22.5" customHeight="1">
      <c r="A552" s="2" t="str">
        <f>IFERROR(__xludf.DUMMYFUNCTION("""COMPUTED_VALUE"""),"L2")</f>
        <v>L2</v>
      </c>
      <c r="B552" s="2" t="str">
        <f>IFERROR(__xludf.DUMMYFUNCTION("""COMPUTED_VALUE"""),"2026-11")</f>
        <v>2026-11</v>
      </c>
      <c r="C552" s="2" t="str">
        <f>IFERROR(__xludf.DUMMYFUNCTION("""COMPUTED_VALUE"""),"PIST-SD - LX")</f>
        <v>PIST-SD - LX</v>
      </c>
      <c r="D552" s="2">
        <f>IFERROR(__xludf.DUMMYFUNCTION("""COMPUTED_VALUE"""),0.0)</f>
        <v>0</v>
      </c>
      <c r="E552" s="2">
        <f>IFERROR(__xludf.DUMMYFUNCTION("""COMPUTED_VALUE"""),0.0)</f>
        <v>0</v>
      </c>
      <c r="F552" s="4">
        <f>IFERROR(__xludf.DUMMYFUNCTION("""COMPUTED_VALUE"""),0.0)</f>
        <v>0</v>
      </c>
      <c r="G552" s="4">
        <f>IFERROR(__xludf.DUMMYFUNCTION("""COMPUTED_VALUE"""),0.0)</f>
        <v>0</v>
      </c>
      <c r="H552" s="9">
        <f>IFERROR(__xludf.DUMMYFUNCTION("""COMPUTED_VALUE"""),1.32264)</f>
        <v>1.32264</v>
      </c>
      <c r="I552" s="4">
        <f>IFERROR(__xludf.DUMMYFUNCTION("""COMPUTED_VALUE"""),0.0)</f>
        <v>0</v>
      </c>
      <c r="J552" s="4">
        <f>IFERROR(__xludf.DUMMYFUNCTION("""COMPUTED_VALUE"""),113.39699999999999)</f>
        <v>113.397</v>
      </c>
      <c r="K552" s="4">
        <f>IFERROR(__xludf.DUMMYFUNCTION("""COMPUTED_VALUE"""),113.39699999999999)</f>
        <v>113.397</v>
      </c>
    </row>
    <row r="553" ht="22.5" customHeight="1">
      <c r="A553" s="2" t="str">
        <f>IFERROR(__xludf.DUMMYFUNCTION("""COMPUTED_VALUE"""),"L2")</f>
        <v>L2</v>
      </c>
      <c r="B553" s="2" t="str">
        <f>IFERROR(__xludf.DUMMYFUNCTION("""COMPUTED_VALUE"""),"2026-12")</f>
        <v>2026-12</v>
      </c>
      <c r="C553" s="2" t="str">
        <f>IFERROR(__xludf.DUMMYFUNCTION("""COMPUTED_VALUE"""),"PIST-SD - LX")</f>
        <v>PIST-SD - LX</v>
      </c>
      <c r="D553" s="2">
        <f>IFERROR(__xludf.DUMMYFUNCTION("""COMPUTED_VALUE"""),0.0)</f>
        <v>0</v>
      </c>
      <c r="E553" s="2">
        <f>IFERROR(__xludf.DUMMYFUNCTION("""COMPUTED_VALUE"""),0.0)</f>
        <v>0</v>
      </c>
      <c r="F553" s="4">
        <f>IFERROR(__xludf.DUMMYFUNCTION("""COMPUTED_VALUE"""),0.0)</f>
        <v>0</v>
      </c>
      <c r="G553" s="4">
        <f>IFERROR(__xludf.DUMMYFUNCTION("""COMPUTED_VALUE"""),0.0)</f>
        <v>0</v>
      </c>
      <c r="H553" s="9">
        <f>IFERROR(__xludf.DUMMYFUNCTION("""COMPUTED_VALUE"""),1.32264)</f>
        <v>1.32264</v>
      </c>
      <c r="I553" s="4">
        <f>IFERROR(__xludf.DUMMYFUNCTION("""COMPUTED_VALUE"""),0.0)</f>
        <v>0</v>
      </c>
      <c r="J553" s="4">
        <f>IFERROR(__xludf.DUMMYFUNCTION("""COMPUTED_VALUE"""),113.39699999999999)</f>
        <v>113.397</v>
      </c>
      <c r="K553" s="4">
        <f>IFERROR(__xludf.DUMMYFUNCTION("""COMPUTED_VALUE"""),113.39699999999999)</f>
        <v>113.397</v>
      </c>
    </row>
    <row r="554" ht="22.5" customHeight="1">
      <c r="A554" s="2" t="str">
        <f>IFERROR(__xludf.DUMMYFUNCTION("""COMPUTED_VALUE"""),"L2")</f>
        <v>L2</v>
      </c>
      <c r="B554" s="2" t="str">
        <f>IFERROR(__xludf.DUMMYFUNCTION("""COMPUTED_VALUE"""),"2026-01")</f>
        <v>2026-01</v>
      </c>
      <c r="C554" s="2" t="str">
        <f>IFERROR(__xludf.DUMMYFUNCTION("""COMPUTED_VALUE"""),"PIST-SUV")</f>
        <v>PIST-SUV</v>
      </c>
      <c r="D554" s="2">
        <f>IFERROR(__xludf.DUMMYFUNCTION("""COMPUTED_VALUE"""),0.0)</f>
        <v>0</v>
      </c>
      <c r="E554" s="2">
        <f>IFERROR(__xludf.DUMMYFUNCTION("""COMPUTED_VALUE"""),0.0)</f>
        <v>0</v>
      </c>
      <c r="F554" s="4">
        <f>IFERROR(__xludf.DUMMYFUNCTION("""COMPUTED_VALUE"""),0.0)</f>
        <v>0</v>
      </c>
      <c r="G554" s="4">
        <f>IFERROR(__xludf.DUMMYFUNCTION("""COMPUTED_VALUE"""),0.0)</f>
        <v>0</v>
      </c>
      <c r="H554" s="9">
        <f>IFERROR(__xludf.DUMMYFUNCTION("""COMPUTED_VALUE"""),1.32264)</f>
        <v>1.32264</v>
      </c>
      <c r="I554" s="4">
        <f>IFERROR(__xludf.DUMMYFUNCTION("""COMPUTED_VALUE"""),0.0)</f>
        <v>0</v>
      </c>
      <c r="J554" s="4">
        <f>IFERROR(__xludf.DUMMYFUNCTION("""COMPUTED_VALUE"""),234.54799999999997)</f>
        <v>234.548</v>
      </c>
      <c r="K554" s="4">
        <f>IFERROR(__xludf.DUMMYFUNCTION("""COMPUTED_VALUE"""),234.54799999999997)</f>
        <v>234.548</v>
      </c>
    </row>
    <row r="555" ht="22.5" customHeight="1">
      <c r="A555" s="2" t="str">
        <f>IFERROR(__xludf.DUMMYFUNCTION("""COMPUTED_VALUE"""),"L2")</f>
        <v>L2</v>
      </c>
      <c r="B555" s="2" t="str">
        <f>IFERROR(__xludf.DUMMYFUNCTION("""COMPUTED_VALUE"""),"2026-02")</f>
        <v>2026-02</v>
      </c>
      <c r="C555" s="2" t="str">
        <f>IFERROR(__xludf.DUMMYFUNCTION("""COMPUTED_VALUE"""),"PIST-SUV")</f>
        <v>PIST-SUV</v>
      </c>
      <c r="D555" s="2">
        <f>IFERROR(__xludf.DUMMYFUNCTION("""COMPUTED_VALUE"""),0.0)</f>
        <v>0</v>
      </c>
      <c r="E555" s="2">
        <f>IFERROR(__xludf.DUMMYFUNCTION("""COMPUTED_VALUE"""),0.0)</f>
        <v>0</v>
      </c>
      <c r="F555" s="4">
        <f>IFERROR(__xludf.DUMMYFUNCTION("""COMPUTED_VALUE"""),0.0)</f>
        <v>0</v>
      </c>
      <c r="G555" s="4">
        <f>IFERROR(__xludf.DUMMYFUNCTION("""COMPUTED_VALUE"""),0.0)</f>
        <v>0</v>
      </c>
      <c r="H555" s="9">
        <f>IFERROR(__xludf.DUMMYFUNCTION("""COMPUTED_VALUE"""),1.32264)</f>
        <v>1.32264</v>
      </c>
      <c r="I555" s="4">
        <f>IFERROR(__xludf.DUMMYFUNCTION("""COMPUTED_VALUE"""),0.0)</f>
        <v>0</v>
      </c>
      <c r="J555" s="4">
        <f>IFERROR(__xludf.DUMMYFUNCTION("""COMPUTED_VALUE"""),58.63699999999999)</f>
        <v>58.637</v>
      </c>
      <c r="K555" s="4">
        <f>IFERROR(__xludf.DUMMYFUNCTION("""COMPUTED_VALUE"""),58.63699999999999)</f>
        <v>58.637</v>
      </c>
    </row>
    <row r="556" ht="22.5" customHeight="1">
      <c r="A556" s="2" t="str">
        <f>IFERROR(__xludf.DUMMYFUNCTION("""COMPUTED_VALUE"""),"L2")</f>
        <v>L2</v>
      </c>
      <c r="B556" s="2" t="str">
        <f>IFERROR(__xludf.DUMMYFUNCTION("""COMPUTED_VALUE"""),"2026-03")</f>
        <v>2026-03</v>
      </c>
      <c r="C556" s="2" t="str">
        <f>IFERROR(__xludf.DUMMYFUNCTION("""COMPUTED_VALUE"""),"PIST-SUV")</f>
        <v>PIST-SUV</v>
      </c>
      <c r="D556" s="2">
        <f>IFERROR(__xludf.DUMMYFUNCTION("""COMPUTED_VALUE"""),0.0)</f>
        <v>0</v>
      </c>
      <c r="E556" s="2">
        <f>IFERROR(__xludf.DUMMYFUNCTION("""COMPUTED_VALUE"""),0.0)</f>
        <v>0</v>
      </c>
      <c r="F556" s="4">
        <f>IFERROR(__xludf.DUMMYFUNCTION("""COMPUTED_VALUE"""),0.0)</f>
        <v>0</v>
      </c>
      <c r="G556" s="4">
        <f>IFERROR(__xludf.DUMMYFUNCTION("""COMPUTED_VALUE"""),0.0)</f>
        <v>0</v>
      </c>
      <c r="H556" s="9">
        <f>IFERROR(__xludf.DUMMYFUNCTION("""COMPUTED_VALUE"""),1.32264)</f>
        <v>1.32264</v>
      </c>
      <c r="I556" s="4">
        <f>IFERROR(__xludf.DUMMYFUNCTION("""COMPUTED_VALUE"""),0.0)</f>
        <v>0</v>
      </c>
      <c r="J556" s="4">
        <f>IFERROR(__xludf.DUMMYFUNCTION("""COMPUTED_VALUE"""),58.63699999999999)</f>
        <v>58.637</v>
      </c>
      <c r="K556" s="4">
        <f>IFERROR(__xludf.DUMMYFUNCTION("""COMPUTED_VALUE"""),58.63699999999999)</f>
        <v>58.637</v>
      </c>
    </row>
    <row r="557" ht="22.5" customHeight="1">
      <c r="A557" s="2" t="str">
        <f>IFERROR(__xludf.DUMMYFUNCTION("""COMPUTED_VALUE"""),"L2")</f>
        <v>L2</v>
      </c>
      <c r="B557" s="2" t="str">
        <f>IFERROR(__xludf.DUMMYFUNCTION("""COMPUTED_VALUE"""),"2026-04")</f>
        <v>2026-04</v>
      </c>
      <c r="C557" s="2" t="str">
        <f>IFERROR(__xludf.DUMMYFUNCTION("""COMPUTED_VALUE"""),"PIST-SUV")</f>
        <v>PIST-SUV</v>
      </c>
      <c r="D557" s="2">
        <f>IFERROR(__xludf.DUMMYFUNCTION("""COMPUTED_VALUE"""),0.0)</f>
        <v>0</v>
      </c>
      <c r="E557" s="2">
        <f>IFERROR(__xludf.DUMMYFUNCTION("""COMPUTED_VALUE"""),0.0)</f>
        <v>0</v>
      </c>
      <c r="F557" s="4">
        <f>IFERROR(__xludf.DUMMYFUNCTION("""COMPUTED_VALUE"""),0.0)</f>
        <v>0</v>
      </c>
      <c r="G557" s="4">
        <f>IFERROR(__xludf.DUMMYFUNCTION("""COMPUTED_VALUE"""),0.0)</f>
        <v>0</v>
      </c>
      <c r="H557" s="9">
        <f>IFERROR(__xludf.DUMMYFUNCTION("""COMPUTED_VALUE"""),1.32264)</f>
        <v>1.32264</v>
      </c>
      <c r="I557" s="4">
        <f>IFERROR(__xludf.DUMMYFUNCTION("""COMPUTED_VALUE"""),0.0)</f>
        <v>0</v>
      </c>
      <c r="J557" s="4">
        <f>IFERROR(__xludf.DUMMYFUNCTION("""COMPUTED_VALUE"""),58.63699999999999)</f>
        <v>58.637</v>
      </c>
      <c r="K557" s="4">
        <f>IFERROR(__xludf.DUMMYFUNCTION("""COMPUTED_VALUE"""),58.63699999999999)</f>
        <v>58.637</v>
      </c>
    </row>
    <row r="558" ht="22.5" customHeight="1">
      <c r="A558" s="2" t="str">
        <f>IFERROR(__xludf.DUMMYFUNCTION("""COMPUTED_VALUE"""),"L2")</f>
        <v>L2</v>
      </c>
      <c r="B558" s="2" t="str">
        <f>IFERROR(__xludf.DUMMYFUNCTION("""COMPUTED_VALUE"""),"2026-05")</f>
        <v>2026-05</v>
      </c>
      <c r="C558" s="2" t="str">
        <f>IFERROR(__xludf.DUMMYFUNCTION("""COMPUTED_VALUE"""),"PIST-SUV")</f>
        <v>PIST-SUV</v>
      </c>
      <c r="D558" s="2">
        <f>IFERROR(__xludf.DUMMYFUNCTION("""COMPUTED_VALUE"""),0.0)</f>
        <v>0</v>
      </c>
      <c r="E558" s="2">
        <f>IFERROR(__xludf.DUMMYFUNCTION("""COMPUTED_VALUE"""),0.0)</f>
        <v>0</v>
      </c>
      <c r="F558" s="4">
        <f>IFERROR(__xludf.DUMMYFUNCTION("""COMPUTED_VALUE"""),0.0)</f>
        <v>0</v>
      </c>
      <c r="G558" s="4">
        <f>IFERROR(__xludf.DUMMYFUNCTION("""COMPUTED_VALUE"""),0.0)</f>
        <v>0</v>
      </c>
      <c r="H558" s="9">
        <f>IFERROR(__xludf.DUMMYFUNCTION("""COMPUTED_VALUE"""),1.32264)</f>
        <v>1.32264</v>
      </c>
      <c r="I558" s="4">
        <f>IFERROR(__xludf.DUMMYFUNCTION("""COMPUTED_VALUE"""),0.0)</f>
        <v>0</v>
      </c>
      <c r="J558" s="4">
        <f>IFERROR(__xludf.DUMMYFUNCTION("""COMPUTED_VALUE"""),58.63699999999999)</f>
        <v>58.637</v>
      </c>
      <c r="K558" s="4">
        <f>IFERROR(__xludf.DUMMYFUNCTION("""COMPUTED_VALUE"""),58.63699999999999)</f>
        <v>58.637</v>
      </c>
    </row>
    <row r="559" ht="22.5" customHeight="1">
      <c r="A559" s="2" t="str">
        <f>IFERROR(__xludf.DUMMYFUNCTION("""COMPUTED_VALUE"""),"L2")</f>
        <v>L2</v>
      </c>
      <c r="B559" s="2" t="str">
        <f>IFERROR(__xludf.DUMMYFUNCTION("""COMPUTED_VALUE"""),"2026-06")</f>
        <v>2026-06</v>
      </c>
      <c r="C559" s="2" t="str">
        <f>IFERROR(__xludf.DUMMYFUNCTION("""COMPUTED_VALUE"""),"PIST-SUV")</f>
        <v>PIST-SUV</v>
      </c>
      <c r="D559" s="2">
        <f>IFERROR(__xludf.DUMMYFUNCTION("""COMPUTED_VALUE"""),0.0)</f>
        <v>0</v>
      </c>
      <c r="E559" s="2">
        <f>IFERROR(__xludf.DUMMYFUNCTION("""COMPUTED_VALUE"""),0.0)</f>
        <v>0</v>
      </c>
      <c r="F559" s="4">
        <f>IFERROR(__xludf.DUMMYFUNCTION("""COMPUTED_VALUE"""),0.0)</f>
        <v>0</v>
      </c>
      <c r="G559" s="4">
        <f>IFERROR(__xludf.DUMMYFUNCTION("""COMPUTED_VALUE"""),0.0)</f>
        <v>0</v>
      </c>
      <c r="H559" s="9">
        <f>IFERROR(__xludf.DUMMYFUNCTION("""COMPUTED_VALUE"""),1.32264)</f>
        <v>1.32264</v>
      </c>
      <c r="I559" s="4">
        <f>IFERROR(__xludf.DUMMYFUNCTION("""COMPUTED_VALUE"""),0.0)</f>
        <v>0</v>
      </c>
      <c r="J559" s="4">
        <f>IFERROR(__xludf.DUMMYFUNCTION("""COMPUTED_VALUE"""),58.63699999999999)</f>
        <v>58.637</v>
      </c>
      <c r="K559" s="4">
        <f>IFERROR(__xludf.DUMMYFUNCTION("""COMPUTED_VALUE"""),58.63699999999999)</f>
        <v>58.637</v>
      </c>
    </row>
    <row r="560" ht="22.5" customHeight="1">
      <c r="A560" s="2" t="str">
        <f>IFERROR(__xludf.DUMMYFUNCTION("""COMPUTED_VALUE"""),"L2")</f>
        <v>L2</v>
      </c>
      <c r="B560" s="2" t="str">
        <f>IFERROR(__xludf.DUMMYFUNCTION("""COMPUTED_VALUE"""),"2026-07")</f>
        <v>2026-07</v>
      </c>
      <c r="C560" s="2" t="str">
        <f>IFERROR(__xludf.DUMMYFUNCTION("""COMPUTED_VALUE"""),"PIST-SUV")</f>
        <v>PIST-SUV</v>
      </c>
      <c r="D560" s="2">
        <f>IFERROR(__xludf.DUMMYFUNCTION("""COMPUTED_VALUE"""),0.0)</f>
        <v>0</v>
      </c>
      <c r="E560" s="2">
        <f>IFERROR(__xludf.DUMMYFUNCTION("""COMPUTED_VALUE"""),0.0)</f>
        <v>0</v>
      </c>
      <c r="F560" s="4">
        <f>IFERROR(__xludf.DUMMYFUNCTION("""COMPUTED_VALUE"""),0.0)</f>
        <v>0</v>
      </c>
      <c r="G560" s="4">
        <f>IFERROR(__xludf.DUMMYFUNCTION("""COMPUTED_VALUE"""),0.0)</f>
        <v>0</v>
      </c>
      <c r="H560" s="9">
        <f>IFERROR(__xludf.DUMMYFUNCTION("""COMPUTED_VALUE"""),1.32264)</f>
        <v>1.32264</v>
      </c>
      <c r="I560" s="4">
        <f>IFERROR(__xludf.DUMMYFUNCTION("""COMPUTED_VALUE"""),0.0)</f>
        <v>0</v>
      </c>
      <c r="J560" s="4">
        <f>IFERROR(__xludf.DUMMYFUNCTION("""COMPUTED_VALUE"""),58.63699999999999)</f>
        <v>58.637</v>
      </c>
      <c r="K560" s="4">
        <f>IFERROR(__xludf.DUMMYFUNCTION("""COMPUTED_VALUE"""),58.63699999999999)</f>
        <v>58.637</v>
      </c>
    </row>
    <row r="561" ht="22.5" customHeight="1">
      <c r="A561" s="2" t="str">
        <f>IFERROR(__xludf.DUMMYFUNCTION("""COMPUTED_VALUE"""),"L2")</f>
        <v>L2</v>
      </c>
      <c r="B561" s="2" t="str">
        <f>IFERROR(__xludf.DUMMYFUNCTION("""COMPUTED_VALUE"""),"2026-08")</f>
        <v>2026-08</v>
      </c>
      <c r="C561" s="2" t="str">
        <f>IFERROR(__xludf.DUMMYFUNCTION("""COMPUTED_VALUE"""),"PIST-SUV")</f>
        <v>PIST-SUV</v>
      </c>
      <c r="D561" s="2">
        <f>IFERROR(__xludf.DUMMYFUNCTION("""COMPUTED_VALUE"""),0.0)</f>
        <v>0</v>
      </c>
      <c r="E561" s="2">
        <f>IFERROR(__xludf.DUMMYFUNCTION("""COMPUTED_VALUE"""),0.0)</f>
        <v>0</v>
      </c>
      <c r="F561" s="4">
        <f>IFERROR(__xludf.DUMMYFUNCTION("""COMPUTED_VALUE"""),0.0)</f>
        <v>0</v>
      </c>
      <c r="G561" s="4">
        <f>IFERROR(__xludf.DUMMYFUNCTION("""COMPUTED_VALUE"""),0.0)</f>
        <v>0</v>
      </c>
      <c r="H561" s="9">
        <f>IFERROR(__xludf.DUMMYFUNCTION("""COMPUTED_VALUE"""),1.32264)</f>
        <v>1.32264</v>
      </c>
      <c r="I561" s="4">
        <f>IFERROR(__xludf.DUMMYFUNCTION("""COMPUTED_VALUE"""),0.0)</f>
        <v>0</v>
      </c>
      <c r="J561" s="4">
        <f>IFERROR(__xludf.DUMMYFUNCTION("""COMPUTED_VALUE"""),58.63699999999999)</f>
        <v>58.637</v>
      </c>
      <c r="K561" s="4">
        <f>IFERROR(__xludf.DUMMYFUNCTION("""COMPUTED_VALUE"""),58.63699999999999)</f>
        <v>58.637</v>
      </c>
    </row>
    <row r="562" ht="22.5" customHeight="1">
      <c r="A562" s="2" t="str">
        <f>IFERROR(__xludf.DUMMYFUNCTION("""COMPUTED_VALUE"""),"L2")</f>
        <v>L2</v>
      </c>
      <c r="B562" s="2" t="str">
        <f>IFERROR(__xludf.DUMMYFUNCTION("""COMPUTED_VALUE"""),"2026-09")</f>
        <v>2026-09</v>
      </c>
      <c r="C562" s="2" t="str">
        <f>IFERROR(__xludf.DUMMYFUNCTION("""COMPUTED_VALUE"""),"PIST-SUV")</f>
        <v>PIST-SUV</v>
      </c>
      <c r="D562" s="2">
        <f>IFERROR(__xludf.DUMMYFUNCTION("""COMPUTED_VALUE"""),0.0)</f>
        <v>0</v>
      </c>
      <c r="E562" s="2">
        <f>IFERROR(__xludf.DUMMYFUNCTION("""COMPUTED_VALUE"""),0.0)</f>
        <v>0</v>
      </c>
      <c r="F562" s="4">
        <f>IFERROR(__xludf.DUMMYFUNCTION("""COMPUTED_VALUE"""),0.0)</f>
        <v>0</v>
      </c>
      <c r="G562" s="4">
        <f>IFERROR(__xludf.DUMMYFUNCTION("""COMPUTED_VALUE"""),0.0)</f>
        <v>0</v>
      </c>
      <c r="H562" s="9">
        <f>IFERROR(__xludf.DUMMYFUNCTION("""COMPUTED_VALUE"""),1.32264)</f>
        <v>1.32264</v>
      </c>
      <c r="I562" s="4">
        <f>IFERROR(__xludf.DUMMYFUNCTION("""COMPUTED_VALUE"""),0.0)</f>
        <v>0</v>
      </c>
      <c r="J562" s="4">
        <f>IFERROR(__xludf.DUMMYFUNCTION("""COMPUTED_VALUE"""),58.63699999999999)</f>
        <v>58.637</v>
      </c>
      <c r="K562" s="4">
        <f>IFERROR(__xludf.DUMMYFUNCTION("""COMPUTED_VALUE"""),58.63699999999999)</f>
        <v>58.637</v>
      </c>
    </row>
    <row r="563" ht="22.5" customHeight="1">
      <c r="A563" s="2" t="str">
        <f>IFERROR(__xludf.DUMMYFUNCTION("""COMPUTED_VALUE"""),"L2")</f>
        <v>L2</v>
      </c>
      <c r="B563" s="2" t="str">
        <f>IFERROR(__xludf.DUMMYFUNCTION("""COMPUTED_VALUE"""),"2026-10")</f>
        <v>2026-10</v>
      </c>
      <c r="C563" s="2" t="str">
        <f>IFERROR(__xludf.DUMMYFUNCTION("""COMPUTED_VALUE"""),"PIST-SUV")</f>
        <v>PIST-SUV</v>
      </c>
      <c r="D563" s="2">
        <f>IFERROR(__xludf.DUMMYFUNCTION("""COMPUTED_VALUE"""),0.0)</f>
        <v>0</v>
      </c>
      <c r="E563" s="2">
        <f>IFERROR(__xludf.DUMMYFUNCTION("""COMPUTED_VALUE"""),0.0)</f>
        <v>0</v>
      </c>
      <c r="F563" s="4">
        <f>IFERROR(__xludf.DUMMYFUNCTION("""COMPUTED_VALUE"""),0.0)</f>
        <v>0</v>
      </c>
      <c r="G563" s="4">
        <f>IFERROR(__xludf.DUMMYFUNCTION("""COMPUTED_VALUE"""),0.0)</f>
        <v>0</v>
      </c>
      <c r="H563" s="9">
        <f>IFERROR(__xludf.DUMMYFUNCTION("""COMPUTED_VALUE"""),1.32264)</f>
        <v>1.32264</v>
      </c>
      <c r="I563" s="4">
        <f>IFERROR(__xludf.DUMMYFUNCTION("""COMPUTED_VALUE"""),0.0)</f>
        <v>0</v>
      </c>
      <c r="J563" s="4">
        <f>IFERROR(__xludf.DUMMYFUNCTION("""COMPUTED_VALUE"""),58.63699999999999)</f>
        <v>58.637</v>
      </c>
      <c r="K563" s="4">
        <f>IFERROR(__xludf.DUMMYFUNCTION("""COMPUTED_VALUE"""),58.63699999999999)</f>
        <v>58.637</v>
      </c>
    </row>
    <row r="564" ht="22.5" customHeight="1">
      <c r="A564" s="2" t="str">
        <f>IFERROR(__xludf.DUMMYFUNCTION("""COMPUTED_VALUE"""),"L2")</f>
        <v>L2</v>
      </c>
      <c r="B564" s="2" t="str">
        <f>IFERROR(__xludf.DUMMYFUNCTION("""COMPUTED_VALUE"""),"2026-11")</f>
        <v>2026-11</v>
      </c>
      <c r="C564" s="2" t="str">
        <f>IFERROR(__xludf.DUMMYFUNCTION("""COMPUTED_VALUE"""),"PIST-SUV")</f>
        <v>PIST-SUV</v>
      </c>
      <c r="D564" s="2">
        <f>IFERROR(__xludf.DUMMYFUNCTION("""COMPUTED_VALUE"""),0.0)</f>
        <v>0</v>
      </c>
      <c r="E564" s="2">
        <f>IFERROR(__xludf.DUMMYFUNCTION("""COMPUTED_VALUE"""),0.0)</f>
        <v>0</v>
      </c>
      <c r="F564" s="4">
        <f>IFERROR(__xludf.DUMMYFUNCTION("""COMPUTED_VALUE"""),0.0)</f>
        <v>0</v>
      </c>
      <c r="G564" s="4">
        <f>IFERROR(__xludf.DUMMYFUNCTION("""COMPUTED_VALUE"""),0.0)</f>
        <v>0</v>
      </c>
      <c r="H564" s="9">
        <f>IFERROR(__xludf.DUMMYFUNCTION("""COMPUTED_VALUE"""),1.32264)</f>
        <v>1.32264</v>
      </c>
      <c r="I564" s="4">
        <f>IFERROR(__xludf.DUMMYFUNCTION("""COMPUTED_VALUE"""),0.0)</f>
        <v>0</v>
      </c>
      <c r="J564" s="4">
        <f>IFERROR(__xludf.DUMMYFUNCTION("""COMPUTED_VALUE"""),58.63699999999999)</f>
        <v>58.637</v>
      </c>
      <c r="K564" s="4">
        <f>IFERROR(__xludf.DUMMYFUNCTION("""COMPUTED_VALUE"""),58.63699999999999)</f>
        <v>58.637</v>
      </c>
    </row>
    <row r="565" ht="22.5" customHeight="1">
      <c r="A565" s="2" t="str">
        <f>IFERROR(__xludf.DUMMYFUNCTION("""COMPUTED_VALUE"""),"L2")</f>
        <v>L2</v>
      </c>
      <c r="B565" s="2" t="str">
        <f>IFERROR(__xludf.DUMMYFUNCTION("""COMPUTED_VALUE"""),"2026-12")</f>
        <v>2026-12</v>
      </c>
      <c r="C565" s="2" t="str">
        <f>IFERROR(__xludf.DUMMYFUNCTION("""COMPUTED_VALUE"""),"PIST-SUV")</f>
        <v>PIST-SUV</v>
      </c>
      <c r="D565" s="2">
        <f>IFERROR(__xludf.DUMMYFUNCTION("""COMPUTED_VALUE"""),0.0)</f>
        <v>0</v>
      </c>
      <c r="E565" s="2">
        <f>IFERROR(__xludf.DUMMYFUNCTION("""COMPUTED_VALUE"""),0.0)</f>
        <v>0</v>
      </c>
      <c r="F565" s="4">
        <f>IFERROR(__xludf.DUMMYFUNCTION("""COMPUTED_VALUE"""),0.0)</f>
        <v>0</v>
      </c>
      <c r="G565" s="4">
        <f>IFERROR(__xludf.DUMMYFUNCTION("""COMPUTED_VALUE"""),0.0)</f>
        <v>0</v>
      </c>
      <c r="H565" s="9">
        <f>IFERROR(__xludf.DUMMYFUNCTION("""COMPUTED_VALUE"""),1.32264)</f>
        <v>1.32264</v>
      </c>
      <c r="I565" s="4">
        <f>IFERROR(__xludf.DUMMYFUNCTION("""COMPUTED_VALUE"""),0.0)</f>
        <v>0</v>
      </c>
      <c r="J565" s="4">
        <f>IFERROR(__xludf.DUMMYFUNCTION("""COMPUTED_VALUE"""),58.63699999999999)</f>
        <v>58.637</v>
      </c>
      <c r="K565" s="4">
        <f>IFERROR(__xludf.DUMMYFUNCTION("""COMPUTED_VALUE"""),58.63699999999999)</f>
        <v>58.637</v>
      </c>
    </row>
    <row r="566" ht="22.5" customHeight="1">
      <c r="A566" s="2" t="str">
        <f>IFERROR(__xludf.DUMMYFUNCTION("""COMPUTED_VALUE"""),"L2")</f>
        <v>L2</v>
      </c>
      <c r="B566" s="2" t="str">
        <f>IFERROR(__xludf.DUMMYFUNCTION("""COMPUTED_VALUE"""),"2026-01")</f>
        <v>2026-01</v>
      </c>
      <c r="C566" s="2" t="str">
        <f>IFERROR(__xludf.DUMMYFUNCTION("""COMPUTED_VALUE"""),"PIST-SUV - LX")</f>
        <v>PIST-SUV - LX</v>
      </c>
      <c r="D566" s="2">
        <f>IFERROR(__xludf.DUMMYFUNCTION("""COMPUTED_VALUE"""),0.0)</f>
        <v>0</v>
      </c>
      <c r="E566" s="2">
        <f>IFERROR(__xludf.DUMMYFUNCTION("""COMPUTED_VALUE"""),0.0)</f>
        <v>0</v>
      </c>
      <c r="F566" s="4">
        <f>IFERROR(__xludf.DUMMYFUNCTION("""COMPUTED_VALUE"""),0.0)</f>
        <v>0</v>
      </c>
      <c r="G566" s="4">
        <f>IFERROR(__xludf.DUMMYFUNCTION("""COMPUTED_VALUE"""),0.0)</f>
        <v>0</v>
      </c>
      <c r="H566" s="9">
        <f>IFERROR(__xludf.DUMMYFUNCTION("""COMPUTED_VALUE"""),1.32264)</f>
        <v>1.32264</v>
      </c>
      <c r="I566" s="4">
        <f>IFERROR(__xludf.DUMMYFUNCTION("""COMPUTED_VALUE"""),0.0)</f>
        <v>0</v>
      </c>
      <c r="J566" s="4">
        <f>IFERROR(__xludf.DUMMYFUNCTION("""COMPUTED_VALUE"""),1334.8613333333333)</f>
        <v>1334.861333</v>
      </c>
      <c r="K566" s="4">
        <f>IFERROR(__xludf.DUMMYFUNCTION("""COMPUTED_VALUE"""),1334.8613333333333)</f>
        <v>1334.861333</v>
      </c>
    </row>
    <row r="567" ht="22.5" customHeight="1">
      <c r="A567" s="2" t="str">
        <f>IFERROR(__xludf.DUMMYFUNCTION("""COMPUTED_VALUE"""),"L2")</f>
        <v>L2</v>
      </c>
      <c r="B567" s="2" t="str">
        <f>IFERROR(__xludf.DUMMYFUNCTION("""COMPUTED_VALUE"""),"2026-02")</f>
        <v>2026-02</v>
      </c>
      <c r="C567" s="2" t="str">
        <f>IFERROR(__xludf.DUMMYFUNCTION("""COMPUTED_VALUE"""),"PIST-SUV - LX")</f>
        <v>PIST-SUV - LX</v>
      </c>
      <c r="D567" s="2">
        <f>IFERROR(__xludf.DUMMYFUNCTION("""COMPUTED_VALUE"""),0.0)</f>
        <v>0</v>
      </c>
      <c r="E567" s="2">
        <f>IFERROR(__xludf.DUMMYFUNCTION("""COMPUTED_VALUE"""),0.0)</f>
        <v>0</v>
      </c>
      <c r="F567" s="4">
        <f>IFERROR(__xludf.DUMMYFUNCTION("""COMPUTED_VALUE"""),0.0)</f>
        <v>0</v>
      </c>
      <c r="G567" s="4">
        <f>IFERROR(__xludf.DUMMYFUNCTION("""COMPUTED_VALUE"""),0.0)</f>
        <v>0</v>
      </c>
      <c r="H567" s="9">
        <f>IFERROR(__xludf.DUMMYFUNCTION("""COMPUTED_VALUE"""),1.32264)</f>
        <v>1.32264</v>
      </c>
      <c r="I567" s="4">
        <f>IFERROR(__xludf.DUMMYFUNCTION("""COMPUTED_VALUE"""),0.0)</f>
        <v>0</v>
      </c>
      <c r="J567" s="4">
        <f>IFERROR(__xludf.DUMMYFUNCTION("""COMPUTED_VALUE"""),333.7153333333333)</f>
        <v>333.7153333</v>
      </c>
      <c r="K567" s="4">
        <f>IFERROR(__xludf.DUMMYFUNCTION("""COMPUTED_VALUE"""),333.7153333333333)</f>
        <v>333.7153333</v>
      </c>
    </row>
    <row r="568" ht="22.5" customHeight="1">
      <c r="A568" s="2" t="str">
        <f>IFERROR(__xludf.DUMMYFUNCTION("""COMPUTED_VALUE"""),"L2")</f>
        <v>L2</v>
      </c>
      <c r="B568" s="2" t="str">
        <f>IFERROR(__xludf.DUMMYFUNCTION("""COMPUTED_VALUE"""),"2026-03")</f>
        <v>2026-03</v>
      </c>
      <c r="C568" s="2" t="str">
        <f>IFERROR(__xludf.DUMMYFUNCTION("""COMPUTED_VALUE"""),"PIST-SUV - LX")</f>
        <v>PIST-SUV - LX</v>
      </c>
      <c r="D568" s="2">
        <f>IFERROR(__xludf.DUMMYFUNCTION("""COMPUTED_VALUE"""),0.0)</f>
        <v>0</v>
      </c>
      <c r="E568" s="2">
        <f>IFERROR(__xludf.DUMMYFUNCTION("""COMPUTED_VALUE"""),0.0)</f>
        <v>0</v>
      </c>
      <c r="F568" s="4">
        <f>IFERROR(__xludf.DUMMYFUNCTION("""COMPUTED_VALUE"""),0.0)</f>
        <v>0</v>
      </c>
      <c r="G568" s="4">
        <f>IFERROR(__xludf.DUMMYFUNCTION("""COMPUTED_VALUE"""),0.0)</f>
        <v>0</v>
      </c>
      <c r="H568" s="9">
        <f>IFERROR(__xludf.DUMMYFUNCTION("""COMPUTED_VALUE"""),1.32264)</f>
        <v>1.32264</v>
      </c>
      <c r="I568" s="4">
        <f>IFERROR(__xludf.DUMMYFUNCTION("""COMPUTED_VALUE"""),0.0)</f>
        <v>0</v>
      </c>
      <c r="J568" s="4">
        <f>IFERROR(__xludf.DUMMYFUNCTION("""COMPUTED_VALUE"""),333.7153333333333)</f>
        <v>333.7153333</v>
      </c>
      <c r="K568" s="4">
        <f>IFERROR(__xludf.DUMMYFUNCTION("""COMPUTED_VALUE"""),333.7153333333333)</f>
        <v>333.7153333</v>
      </c>
    </row>
    <row r="569" ht="22.5" customHeight="1">
      <c r="A569" s="2" t="str">
        <f>IFERROR(__xludf.DUMMYFUNCTION("""COMPUTED_VALUE"""),"L2")</f>
        <v>L2</v>
      </c>
      <c r="B569" s="2" t="str">
        <f>IFERROR(__xludf.DUMMYFUNCTION("""COMPUTED_VALUE"""),"2026-04")</f>
        <v>2026-04</v>
      </c>
      <c r="C569" s="2" t="str">
        <f>IFERROR(__xludf.DUMMYFUNCTION("""COMPUTED_VALUE"""),"PIST-SUV - LX")</f>
        <v>PIST-SUV - LX</v>
      </c>
      <c r="D569" s="2">
        <f>IFERROR(__xludf.DUMMYFUNCTION("""COMPUTED_VALUE"""),0.0)</f>
        <v>0</v>
      </c>
      <c r="E569" s="2">
        <f>IFERROR(__xludf.DUMMYFUNCTION("""COMPUTED_VALUE"""),0.0)</f>
        <v>0</v>
      </c>
      <c r="F569" s="4">
        <f>IFERROR(__xludf.DUMMYFUNCTION("""COMPUTED_VALUE"""),0.0)</f>
        <v>0</v>
      </c>
      <c r="G569" s="4">
        <f>IFERROR(__xludf.DUMMYFUNCTION("""COMPUTED_VALUE"""),0.0)</f>
        <v>0</v>
      </c>
      <c r="H569" s="9">
        <f>IFERROR(__xludf.DUMMYFUNCTION("""COMPUTED_VALUE"""),1.32264)</f>
        <v>1.32264</v>
      </c>
      <c r="I569" s="4">
        <f>IFERROR(__xludf.DUMMYFUNCTION("""COMPUTED_VALUE"""),0.0)</f>
        <v>0</v>
      </c>
      <c r="J569" s="4">
        <f>IFERROR(__xludf.DUMMYFUNCTION("""COMPUTED_VALUE"""),333.7153333333333)</f>
        <v>333.7153333</v>
      </c>
      <c r="K569" s="4">
        <f>IFERROR(__xludf.DUMMYFUNCTION("""COMPUTED_VALUE"""),333.7153333333333)</f>
        <v>333.7153333</v>
      </c>
    </row>
    <row r="570" ht="22.5" customHeight="1">
      <c r="A570" s="2" t="str">
        <f>IFERROR(__xludf.DUMMYFUNCTION("""COMPUTED_VALUE"""),"L2")</f>
        <v>L2</v>
      </c>
      <c r="B570" s="2" t="str">
        <f>IFERROR(__xludf.DUMMYFUNCTION("""COMPUTED_VALUE"""),"2026-05")</f>
        <v>2026-05</v>
      </c>
      <c r="C570" s="2" t="str">
        <f>IFERROR(__xludf.DUMMYFUNCTION("""COMPUTED_VALUE"""),"PIST-SUV - LX")</f>
        <v>PIST-SUV - LX</v>
      </c>
      <c r="D570" s="2">
        <f>IFERROR(__xludf.DUMMYFUNCTION("""COMPUTED_VALUE"""),0.0)</f>
        <v>0</v>
      </c>
      <c r="E570" s="2">
        <f>IFERROR(__xludf.DUMMYFUNCTION("""COMPUTED_VALUE"""),0.0)</f>
        <v>0</v>
      </c>
      <c r="F570" s="4">
        <f>IFERROR(__xludf.DUMMYFUNCTION("""COMPUTED_VALUE"""),0.0)</f>
        <v>0</v>
      </c>
      <c r="G570" s="4">
        <f>IFERROR(__xludf.DUMMYFUNCTION("""COMPUTED_VALUE"""),0.0)</f>
        <v>0</v>
      </c>
      <c r="H570" s="9">
        <f>IFERROR(__xludf.DUMMYFUNCTION("""COMPUTED_VALUE"""),1.32264)</f>
        <v>1.32264</v>
      </c>
      <c r="I570" s="4">
        <f>IFERROR(__xludf.DUMMYFUNCTION("""COMPUTED_VALUE"""),0.0)</f>
        <v>0</v>
      </c>
      <c r="J570" s="4">
        <f>IFERROR(__xludf.DUMMYFUNCTION("""COMPUTED_VALUE"""),333.7153333333333)</f>
        <v>333.7153333</v>
      </c>
      <c r="K570" s="4">
        <f>IFERROR(__xludf.DUMMYFUNCTION("""COMPUTED_VALUE"""),333.7153333333333)</f>
        <v>333.7153333</v>
      </c>
    </row>
    <row r="571" ht="22.5" customHeight="1">
      <c r="A571" s="2" t="str">
        <f>IFERROR(__xludf.DUMMYFUNCTION("""COMPUTED_VALUE"""),"L2")</f>
        <v>L2</v>
      </c>
      <c r="B571" s="2" t="str">
        <f>IFERROR(__xludf.DUMMYFUNCTION("""COMPUTED_VALUE"""),"2026-06")</f>
        <v>2026-06</v>
      </c>
      <c r="C571" s="2" t="str">
        <f>IFERROR(__xludf.DUMMYFUNCTION("""COMPUTED_VALUE"""),"PIST-SUV - LX")</f>
        <v>PIST-SUV - LX</v>
      </c>
      <c r="D571" s="2">
        <f>IFERROR(__xludf.DUMMYFUNCTION("""COMPUTED_VALUE"""),0.0)</f>
        <v>0</v>
      </c>
      <c r="E571" s="2">
        <f>IFERROR(__xludf.DUMMYFUNCTION("""COMPUTED_VALUE"""),0.0)</f>
        <v>0</v>
      </c>
      <c r="F571" s="4">
        <f>IFERROR(__xludf.DUMMYFUNCTION("""COMPUTED_VALUE"""),0.0)</f>
        <v>0</v>
      </c>
      <c r="G571" s="4">
        <f>IFERROR(__xludf.DUMMYFUNCTION("""COMPUTED_VALUE"""),0.0)</f>
        <v>0</v>
      </c>
      <c r="H571" s="9">
        <f>IFERROR(__xludf.DUMMYFUNCTION("""COMPUTED_VALUE"""),1.32264)</f>
        <v>1.32264</v>
      </c>
      <c r="I571" s="4">
        <f>IFERROR(__xludf.DUMMYFUNCTION("""COMPUTED_VALUE"""),0.0)</f>
        <v>0</v>
      </c>
      <c r="J571" s="4">
        <f>IFERROR(__xludf.DUMMYFUNCTION("""COMPUTED_VALUE"""),333.7153333333333)</f>
        <v>333.7153333</v>
      </c>
      <c r="K571" s="4">
        <f>IFERROR(__xludf.DUMMYFUNCTION("""COMPUTED_VALUE"""),333.7153333333333)</f>
        <v>333.7153333</v>
      </c>
    </row>
    <row r="572" ht="22.5" customHeight="1">
      <c r="A572" s="2" t="str">
        <f>IFERROR(__xludf.DUMMYFUNCTION("""COMPUTED_VALUE"""),"L2")</f>
        <v>L2</v>
      </c>
      <c r="B572" s="2" t="str">
        <f>IFERROR(__xludf.DUMMYFUNCTION("""COMPUTED_VALUE"""),"2026-07")</f>
        <v>2026-07</v>
      </c>
      <c r="C572" s="2" t="str">
        <f>IFERROR(__xludf.DUMMYFUNCTION("""COMPUTED_VALUE"""),"PIST-SUV - LX")</f>
        <v>PIST-SUV - LX</v>
      </c>
      <c r="D572" s="2">
        <f>IFERROR(__xludf.DUMMYFUNCTION("""COMPUTED_VALUE"""),0.0)</f>
        <v>0</v>
      </c>
      <c r="E572" s="2">
        <f>IFERROR(__xludf.DUMMYFUNCTION("""COMPUTED_VALUE"""),0.0)</f>
        <v>0</v>
      </c>
      <c r="F572" s="4">
        <f>IFERROR(__xludf.DUMMYFUNCTION("""COMPUTED_VALUE"""),0.0)</f>
        <v>0</v>
      </c>
      <c r="G572" s="4">
        <f>IFERROR(__xludf.DUMMYFUNCTION("""COMPUTED_VALUE"""),0.0)</f>
        <v>0</v>
      </c>
      <c r="H572" s="9">
        <f>IFERROR(__xludf.DUMMYFUNCTION("""COMPUTED_VALUE"""),1.32264)</f>
        <v>1.32264</v>
      </c>
      <c r="I572" s="4">
        <f>IFERROR(__xludf.DUMMYFUNCTION("""COMPUTED_VALUE"""),0.0)</f>
        <v>0</v>
      </c>
      <c r="J572" s="4">
        <f>IFERROR(__xludf.DUMMYFUNCTION("""COMPUTED_VALUE"""),333.7153333333333)</f>
        <v>333.7153333</v>
      </c>
      <c r="K572" s="4">
        <f>IFERROR(__xludf.DUMMYFUNCTION("""COMPUTED_VALUE"""),333.7153333333333)</f>
        <v>333.7153333</v>
      </c>
    </row>
    <row r="573" ht="22.5" customHeight="1">
      <c r="A573" s="2" t="str">
        <f>IFERROR(__xludf.DUMMYFUNCTION("""COMPUTED_VALUE"""),"L2")</f>
        <v>L2</v>
      </c>
      <c r="B573" s="2" t="str">
        <f>IFERROR(__xludf.DUMMYFUNCTION("""COMPUTED_VALUE"""),"2026-08")</f>
        <v>2026-08</v>
      </c>
      <c r="C573" s="2" t="str">
        <f>IFERROR(__xludf.DUMMYFUNCTION("""COMPUTED_VALUE"""),"PIST-SUV - LX")</f>
        <v>PIST-SUV - LX</v>
      </c>
      <c r="D573" s="2">
        <f>IFERROR(__xludf.DUMMYFUNCTION("""COMPUTED_VALUE"""),0.0)</f>
        <v>0</v>
      </c>
      <c r="E573" s="2">
        <f>IFERROR(__xludf.DUMMYFUNCTION("""COMPUTED_VALUE"""),0.0)</f>
        <v>0</v>
      </c>
      <c r="F573" s="4">
        <f>IFERROR(__xludf.DUMMYFUNCTION("""COMPUTED_VALUE"""),0.0)</f>
        <v>0</v>
      </c>
      <c r="G573" s="4">
        <f>IFERROR(__xludf.DUMMYFUNCTION("""COMPUTED_VALUE"""),0.0)</f>
        <v>0</v>
      </c>
      <c r="H573" s="9">
        <f>IFERROR(__xludf.DUMMYFUNCTION("""COMPUTED_VALUE"""),1.32264)</f>
        <v>1.32264</v>
      </c>
      <c r="I573" s="4">
        <f>IFERROR(__xludf.DUMMYFUNCTION("""COMPUTED_VALUE"""),0.0)</f>
        <v>0</v>
      </c>
      <c r="J573" s="4">
        <f>IFERROR(__xludf.DUMMYFUNCTION("""COMPUTED_VALUE"""),333.7153333333333)</f>
        <v>333.7153333</v>
      </c>
      <c r="K573" s="4">
        <f>IFERROR(__xludf.DUMMYFUNCTION("""COMPUTED_VALUE"""),333.7153333333333)</f>
        <v>333.7153333</v>
      </c>
    </row>
    <row r="574" ht="22.5" customHeight="1">
      <c r="A574" s="2" t="str">
        <f>IFERROR(__xludf.DUMMYFUNCTION("""COMPUTED_VALUE"""),"L2")</f>
        <v>L2</v>
      </c>
      <c r="B574" s="2" t="str">
        <f>IFERROR(__xludf.DUMMYFUNCTION("""COMPUTED_VALUE"""),"2026-09")</f>
        <v>2026-09</v>
      </c>
      <c r="C574" s="2" t="str">
        <f>IFERROR(__xludf.DUMMYFUNCTION("""COMPUTED_VALUE"""),"PIST-SUV - LX")</f>
        <v>PIST-SUV - LX</v>
      </c>
      <c r="D574" s="2">
        <f>IFERROR(__xludf.DUMMYFUNCTION("""COMPUTED_VALUE"""),0.0)</f>
        <v>0</v>
      </c>
      <c r="E574" s="2">
        <f>IFERROR(__xludf.DUMMYFUNCTION("""COMPUTED_VALUE"""),0.0)</f>
        <v>0</v>
      </c>
      <c r="F574" s="4">
        <f>IFERROR(__xludf.DUMMYFUNCTION("""COMPUTED_VALUE"""),0.0)</f>
        <v>0</v>
      </c>
      <c r="G574" s="4">
        <f>IFERROR(__xludf.DUMMYFUNCTION("""COMPUTED_VALUE"""),0.0)</f>
        <v>0</v>
      </c>
      <c r="H574" s="9">
        <f>IFERROR(__xludf.DUMMYFUNCTION("""COMPUTED_VALUE"""),1.32264)</f>
        <v>1.32264</v>
      </c>
      <c r="I574" s="4">
        <f>IFERROR(__xludf.DUMMYFUNCTION("""COMPUTED_VALUE"""),0.0)</f>
        <v>0</v>
      </c>
      <c r="J574" s="4">
        <f>IFERROR(__xludf.DUMMYFUNCTION("""COMPUTED_VALUE"""),333.7153333333333)</f>
        <v>333.7153333</v>
      </c>
      <c r="K574" s="4">
        <f>IFERROR(__xludf.DUMMYFUNCTION("""COMPUTED_VALUE"""),333.7153333333333)</f>
        <v>333.7153333</v>
      </c>
    </row>
    <row r="575" ht="22.5" customHeight="1">
      <c r="A575" s="2" t="str">
        <f>IFERROR(__xludf.DUMMYFUNCTION("""COMPUTED_VALUE"""),"L2")</f>
        <v>L2</v>
      </c>
      <c r="B575" s="2" t="str">
        <f>IFERROR(__xludf.DUMMYFUNCTION("""COMPUTED_VALUE"""),"2026-10")</f>
        <v>2026-10</v>
      </c>
      <c r="C575" s="2" t="str">
        <f>IFERROR(__xludf.DUMMYFUNCTION("""COMPUTED_VALUE"""),"PIST-SUV - LX")</f>
        <v>PIST-SUV - LX</v>
      </c>
      <c r="D575" s="2">
        <f>IFERROR(__xludf.DUMMYFUNCTION("""COMPUTED_VALUE"""),0.0)</f>
        <v>0</v>
      </c>
      <c r="E575" s="2">
        <f>IFERROR(__xludf.DUMMYFUNCTION("""COMPUTED_VALUE"""),0.0)</f>
        <v>0</v>
      </c>
      <c r="F575" s="4">
        <f>IFERROR(__xludf.DUMMYFUNCTION("""COMPUTED_VALUE"""),0.0)</f>
        <v>0</v>
      </c>
      <c r="G575" s="4">
        <f>IFERROR(__xludf.DUMMYFUNCTION("""COMPUTED_VALUE"""),0.0)</f>
        <v>0</v>
      </c>
      <c r="H575" s="9">
        <f>IFERROR(__xludf.DUMMYFUNCTION("""COMPUTED_VALUE"""),1.32264)</f>
        <v>1.32264</v>
      </c>
      <c r="I575" s="4">
        <f>IFERROR(__xludf.DUMMYFUNCTION("""COMPUTED_VALUE"""),0.0)</f>
        <v>0</v>
      </c>
      <c r="J575" s="4">
        <f>IFERROR(__xludf.DUMMYFUNCTION("""COMPUTED_VALUE"""),333.7153333333333)</f>
        <v>333.7153333</v>
      </c>
      <c r="K575" s="4">
        <f>IFERROR(__xludf.DUMMYFUNCTION("""COMPUTED_VALUE"""),333.7153333333333)</f>
        <v>333.7153333</v>
      </c>
    </row>
    <row r="576" ht="22.5" customHeight="1">
      <c r="A576" s="2" t="str">
        <f>IFERROR(__xludf.DUMMYFUNCTION("""COMPUTED_VALUE"""),"L2")</f>
        <v>L2</v>
      </c>
      <c r="B576" s="2" t="str">
        <f>IFERROR(__xludf.DUMMYFUNCTION("""COMPUTED_VALUE"""),"2026-11")</f>
        <v>2026-11</v>
      </c>
      <c r="C576" s="2" t="str">
        <f>IFERROR(__xludf.DUMMYFUNCTION("""COMPUTED_VALUE"""),"PIST-SUV - LX")</f>
        <v>PIST-SUV - LX</v>
      </c>
      <c r="D576" s="2">
        <f>IFERROR(__xludf.DUMMYFUNCTION("""COMPUTED_VALUE"""),0.0)</f>
        <v>0</v>
      </c>
      <c r="E576" s="2">
        <f>IFERROR(__xludf.DUMMYFUNCTION("""COMPUTED_VALUE"""),0.0)</f>
        <v>0</v>
      </c>
      <c r="F576" s="4">
        <f>IFERROR(__xludf.DUMMYFUNCTION("""COMPUTED_VALUE"""),0.0)</f>
        <v>0</v>
      </c>
      <c r="G576" s="4">
        <f>IFERROR(__xludf.DUMMYFUNCTION("""COMPUTED_VALUE"""),0.0)</f>
        <v>0</v>
      </c>
      <c r="H576" s="9">
        <f>IFERROR(__xludf.DUMMYFUNCTION("""COMPUTED_VALUE"""),1.32264)</f>
        <v>1.32264</v>
      </c>
      <c r="I576" s="4">
        <f>IFERROR(__xludf.DUMMYFUNCTION("""COMPUTED_VALUE"""),0.0)</f>
        <v>0</v>
      </c>
      <c r="J576" s="4">
        <f>IFERROR(__xludf.DUMMYFUNCTION("""COMPUTED_VALUE"""),333.7153333333333)</f>
        <v>333.7153333</v>
      </c>
      <c r="K576" s="4">
        <f>IFERROR(__xludf.DUMMYFUNCTION("""COMPUTED_VALUE"""),333.7153333333333)</f>
        <v>333.7153333</v>
      </c>
    </row>
    <row r="577" ht="22.5" customHeight="1">
      <c r="A577" s="2" t="str">
        <f>IFERROR(__xludf.DUMMYFUNCTION("""COMPUTED_VALUE"""),"L2")</f>
        <v>L2</v>
      </c>
      <c r="B577" s="2" t="str">
        <f>IFERROR(__xludf.DUMMYFUNCTION("""COMPUTED_VALUE"""),"2026-12")</f>
        <v>2026-12</v>
      </c>
      <c r="C577" s="2" t="str">
        <f>IFERROR(__xludf.DUMMYFUNCTION("""COMPUTED_VALUE"""),"PIST-SUV - LX")</f>
        <v>PIST-SUV - LX</v>
      </c>
      <c r="D577" s="2">
        <f>IFERROR(__xludf.DUMMYFUNCTION("""COMPUTED_VALUE"""),0.0)</f>
        <v>0</v>
      </c>
      <c r="E577" s="2">
        <f>IFERROR(__xludf.DUMMYFUNCTION("""COMPUTED_VALUE"""),0.0)</f>
        <v>0</v>
      </c>
      <c r="F577" s="4">
        <f>IFERROR(__xludf.DUMMYFUNCTION("""COMPUTED_VALUE"""),0.0)</f>
        <v>0</v>
      </c>
      <c r="G577" s="4">
        <f>IFERROR(__xludf.DUMMYFUNCTION("""COMPUTED_VALUE"""),0.0)</f>
        <v>0</v>
      </c>
      <c r="H577" s="9">
        <f>IFERROR(__xludf.DUMMYFUNCTION("""COMPUTED_VALUE"""),1.32264)</f>
        <v>1.32264</v>
      </c>
      <c r="I577" s="4">
        <f>IFERROR(__xludf.DUMMYFUNCTION("""COMPUTED_VALUE"""),0.0)</f>
        <v>0</v>
      </c>
      <c r="J577" s="4">
        <f>IFERROR(__xludf.DUMMYFUNCTION("""COMPUTED_VALUE"""),333.7153333333333)</f>
        <v>333.7153333</v>
      </c>
      <c r="K577" s="4">
        <f>IFERROR(__xludf.DUMMYFUNCTION("""COMPUTED_VALUE"""),333.7153333333333)</f>
        <v>333.7153333</v>
      </c>
    </row>
    <row r="578" ht="22.5" customHeight="1">
      <c r="A578" s="2" t="str">
        <f>IFERROR(__xludf.DUMMYFUNCTION("""COMPUTED_VALUE"""),"L2")</f>
        <v>L2</v>
      </c>
      <c r="B578" s="2" t="str">
        <f>IFERROR(__xludf.DUMMYFUNCTION("""COMPUTED_VALUE"""),"2026-01")</f>
        <v>2026-01</v>
      </c>
      <c r="C578" s="2" t="str">
        <f>IFERROR(__xludf.DUMMYFUNCTION("""COMPUTED_VALUE"""),"SEAT-SD")</f>
        <v>SEAT-SD</v>
      </c>
      <c r="D578" s="2">
        <f>IFERROR(__xludf.DUMMYFUNCTION("""COMPUTED_VALUE"""),0.0)</f>
        <v>0</v>
      </c>
      <c r="E578" s="2">
        <f>IFERROR(__xludf.DUMMYFUNCTION("""COMPUTED_VALUE"""),0.0)</f>
        <v>0</v>
      </c>
      <c r="F578" s="4">
        <f>IFERROR(__xludf.DUMMYFUNCTION("""COMPUTED_VALUE"""),0.0)</f>
        <v>0</v>
      </c>
      <c r="G578" s="4">
        <f>IFERROR(__xludf.DUMMYFUNCTION("""COMPUTED_VALUE"""),0.0)</f>
        <v>0</v>
      </c>
      <c r="H578" s="9">
        <f>IFERROR(__xludf.DUMMYFUNCTION("""COMPUTED_VALUE"""),1.1)</f>
        <v>1.1</v>
      </c>
      <c r="I578" s="4">
        <f>IFERROR(__xludf.DUMMYFUNCTION("""COMPUTED_VALUE"""),0.0)</f>
        <v>0</v>
      </c>
      <c r="J578" s="4">
        <f>IFERROR(__xludf.DUMMYFUNCTION("""COMPUTED_VALUE"""),0.0)</f>
        <v>0</v>
      </c>
      <c r="K578" s="4">
        <f>IFERROR(__xludf.DUMMYFUNCTION("""COMPUTED_VALUE"""),0.0)</f>
        <v>0</v>
      </c>
    </row>
    <row r="579" ht="22.5" customHeight="1">
      <c r="A579" s="2" t="str">
        <f>IFERROR(__xludf.DUMMYFUNCTION("""COMPUTED_VALUE"""),"L2")</f>
        <v>L2</v>
      </c>
      <c r="B579" s="2" t="str">
        <f>IFERROR(__xludf.DUMMYFUNCTION("""COMPUTED_VALUE"""),"2026-02")</f>
        <v>2026-02</v>
      </c>
      <c r="C579" s="2" t="str">
        <f>IFERROR(__xludf.DUMMYFUNCTION("""COMPUTED_VALUE"""),"SEAT-SD")</f>
        <v>SEAT-SD</v>
      </c>
      <c r="D579" s="2">
        <f>IFERROR(__xludf.DUMMYFUNCTION("""COMPUTED_VALUE"""),0.0)</f>
        <v>0</v>
      </c>
      <c r="E579" s="2">
        <f>IFERROR(__xludf.DUMMYFUNCTION("""COMPUTED_VALUE"""),0.0)</f>
        <v>0</v>
      </c>
      <c r="F579" s="4">
        <f>IFERROR(__xludf.DUMMYFUNCTION("""COMPUTED_VALUE"""),0.0)</f>
        <v>0</v>
      </c>
      <c r="G579" s="4">
        <f>IFERROR(__xludf.DUMMYFUNCTION("""COMPUTED_VALUE"""),0.0)</f>
        <v>0</v>
      </c>
      <c r="H579" s="9">
        <f>IFERROR(__xludf.DUMMYFUNCTION("""COMPUTED_VALUE"""),1.1)</f>
        <v>1.1</v>
      </c>
      <c r="I579" s="4">
        <f>IFERROR(__xludf.DUMMYFUNCTION("""COMPUTED_VALUE"""),0.0)</f>
        <v>0</v>
      </c>
      <c r="J579" s="4">
        <f>IFERROR(__xludf.DUMMYFUNCTION("""COMPUTED_VALUE"""),0.0)</f>
        <v>0</v>
      </c>
      <c r="K579" s="4">
        <f>IFERROR(__xludf.DUMMYFUNCTION("""COMPUTED_VALUE"""),0.0)</f>
        <v>0</v>
      </c>
    </row>
    <row r="580" ht="22.5" customHeight="1">
      <c r="A580" s="2" t="str">
        <f>IFERROR(__xludf.DUMMYFUNCTION("""COMPUTED_VALUE"""),"L2")</f>
        <v>L2</v>
      </c>
      <c r="B580" s="2" t="str">
        <f>IFERROR(__xludf.DUMMYFUNCTION("""COMPUTED_VALUE"""),"2026-03")</f>
        <v>2026-03</v>
      </c>
      <c r="C580" s="2" t="str">
        <f>IFERROR(__xludf.DUMMYFUNCTION("""COMPUTED_VALUE"""),"SEAT-SD")</f>
        <v>SEAT-SD</v>
      </c>
      <c r="D580" s="2">
        <f>IFERROR(__xludf.DUMMYFUNCTION("""COMPUTED_VALUE"""),0.0)</f>
        <v>0</v>
      </c>
      <c r="E580" s="2">
        <f>IFERROR(__xludf.DUMMYFUNCTION("""COMPUTED_VALUE"""),0.0)</f>
        <v>0</v>
      </c>
      <c r="F580" s="4">
        <f>IFERROR(__xludf.DUMMYFUNCTION("""COMPUTED_VALUE"""),0.0)</f>
        <v>0</v>
      </c>
      <c r="G580" s="4">
        <f>IFERROR(__xludf.DUMMYFUNCTION("""COMPUTED_VALUE"""),0.0)</f>
        <v>0</v>
      </c>
      <c r="H580" s="9">
        <f>IFERROR(__xludf.DUMMYFUNCTION("""COMPUTED_VALUE"""),1.1)</f>
        <v>1.1</v>
      </c>
      <c r="I580" s="4">
        <f>IFERROR(__xludf.DUMMYFUNCTION("""COMPUTED_VALUE"""),0.0)</f>
        <v>0</v>
      </c>
      <c r="J580" s="4">
        <f>IFERROR(__xludf.DUMMYFUNCTION("""COMPUTED_VALUE"""),0.0)</f>
        <v>0</v>
      </c>
      <c r="K580" s="4">
        <f>IFERROR(__xludf.DUMMYFUNCTION("""COMPUTED_VALUE"""),0.0)</f>
        <v>0</v>
      </c>
    </row>
    <row r="581" ht="22.5" customHeight="1">
      <c r="A581" s="2" t="str">
        <f>IFERROR(__xludf.DUMMYFUNCTION("""COMPUTED_VALUE"""),"L2")</f>
        <v>L2</v>
      </c>
      <c r="B581" s="2" t="str">
        <f>IFERROR(__xludf.DUMMYFUNCTION("""COMPUTED_VALUE"""),"2026-04")</f>
        <v>2026-04</v>
      </c>
      <c r="C581" s="2" t="str">
        <f>IFERROR(__xludf.DUMMYFUNCTION("""COMPUTED_VALUE"""),"SEAT-SD")</f>
        <v>SEAT-SD</v>
      </c>
      <c r="D581" s="2">
        <f>IFERROR(__xludf.DUMMYFUNCTION("""COMPUTED_VALUE"""),0.0)</f>
        <v>0</v>
      </c>
      <c r="E581" s="2">
        <f>IFERROR(__xludf.DUMMYFUNCTION("""COMPUTED_VALUE"""),0.0)</f>
        <v>0</v>
      </c>
      <c r="F581" s="4">
        <f>IFERROR(__xludf.DUMMYFUNCTION("""COMPUTED_VALUE"""),0.0)</f>
        <v>0</v>
      </c>
      <c r="G581" s="4">
        <f>IFERROR(__xludf.DUMMYFUNCTION("""COMPUTED_VALUE"""),0.0)</f>
        <v>0</v>
      </c>
      <c r="H581" s="9">
        <f>IFERROR(__xludf.DUMMYFUNCTION("""COMPUTED_VALUE"""),1.1)</f>
        <v>1.1</v>
      </c>
      <c r="I581" s="4">
        <f>IFERROR(__xludf.DUMMYFUNCTION("""COMPUTED_VALUE"""),0.0)</f>
        <v>0</v>
      </c>
      <c r="J581" s="4">
        <f>IFERROR(__xludf.DUMMYFUNCTION("""COMPUTED_VALUE"""),0.0)</f>
        <v>0</v>
      </c>
      <c r="K581" s="4">
        <f>IFERROR(__xludf.DUMMYFUNCTION("""COMPUTED_VALUE"""),0.0)</f>
        <v>0</v>
      </c>
    </row>
    <row r="582" ht="22.5" customHeight="1">
      <c r="A582" s="2" t="str">
        <f>IFERROR(__xludf.DUMMYFUNCTION("""COMPUTED_VALUE"""),"L2")</f>
        <v>L2</v>
      </c>
      <c r="B582" s="2" t="str">
        <f>IFERROR(__xludf.DUMMYFUNCTION("""COMPUTED_VALUE"""),"2026-05")</f>
        <v>2026-05</v>
      </c>
      <c r="C582" s="2" t="str">
        <f>IFERROR(__xludf.DUMMYFUNCTION("""COMPUTED_VALUE"""),"SEAT-SD")</f>
        <v>SEAT-SD</v>
      </c>
      <c r="D582" s="2">
        <f>IFERROR(__xludf.DUMMYFUNCTION("""COMPUTED_VALUE"""),0.0)</f>
        <v>0</v>
      </c>
      <c r="E582" s="2">
        <f>IFERROR(__xludf.DUMMYFUNCTION("""COMPUTED_VALUE"""),0.0)</f>
        <v>0</v>
      </c>
      <c r="F582" s="4">
        <f>IFERROR(__xludf.DUMMYFUNCTION("""COMPUTED_VALUE"""),0.0)</f>
        <v>0</v>
      </c>
      <c r="G582" s="4">
        <f>IFERROR(__xludf.DUMMYFUNCTION("""COMPUTED_VALUE"""),0.0)</f>
        <v>0</v>
      </c>
      <c r="H582" s="9">
        <f>IFERROR(__xludf.DUMMYFUNCTION("""COMPUTED_VALUE"""),1.1)</f>
        <v>1.1</v>
      </c>
      <c r="I582" s="4">
        <f>IFERROR(__xludf.DUMMYFUNCTION("""COMPUTED_VALUE"""),0.0)</f>
        <v>0</v>
      </c>
      <c r="J582" s="4">
        <f>IFERROR(__xludf.DUMMYFUNCTION("""COMPUTED_VALUE"""),0.0)</f>
        <v>0</v>
      </c>
      <c r="K582" s="4">
        <f>IFERROR(__xludf.DUMMYFUNCTION("""COMPUTED_VALUE"""),0.0)</f>
        <v>0</v>
      </c>
    </row>
    <row r="583" ht="22.5" customHeight="1">
      <c r="A583" s="2" t="str">
        <f>IFERROR(__xludf.DUMMYFUNCTION("""COMPUTED_VALUE"""),"L2")</f>
        <v>L2</v>
      </c>
      <c r="B583" s="2" t="str">
        <f>IFERROR(__xludf.DUMMYFUNCTION("""COMPUTED_VALUE"""),"2026-06")</f>
        <v>2026-06</v>
      </c>
      <c r="C583" s="2" t="str">
        <f>IFERROR(__xludf.DUMMYFUNCTION("""COMPUTED_VALUE"""),"SEAT-SD")</f>
        <v>SEAT-SD</v>
      </c>
      <c r="D583" s="2">
        <f>IFERROR(__xludf.DUMMYFUNCTION("""COMPUTED_VALUE"""),0.0)</f>
        <v>0</v>
      </c>
      <c r="E583" s="2">
        <f>IFERROR(__xludf.DUMMYFUNCTION("""COMPUTED_VALUE"""),0.0)</f>
        <v>0</v>
      </c>
      <c r="F583" s="4">
        <f>IFERROR(__xludf.DUMMYFUNCTION("""COMPUTED_VALUE"""),0.0)</f>
        <v>0</v>
      </c>
      <c r="G583" s="4">
        <f>IFERROR(__xludf.DUMMYFUNCTION("""COMPUTED_VALUE"""),0.0)</f>
        <v>0</v>
      </c>
      <c r="H583" s="9">
        <f>IFERROR(__xludf.DUMMYFUNCTION("""COMPUTED_VALUE"""),1.1)</f>
        <v>1.1</v>
      </c>
      <c r="I583" s="4">
        <f>IFERROR(__xludf.DUMMYFUNCTION("""COMPUTED_VALUE"""),0.0)</f>
        <v>0</v>
      </c>
      <c r="J583" s="4">
        <f>IFERROR(__xludf.DUMMYFUNCTION("""COMPUTED_VALUE"""),0.0)</f>
        <v>0</v>
      </c>
      <c r="K583" s="4">
        <f>IFERROR(__xludf.DUMMYFUNCTION("""COMPUTED_VALUE"""),0.0)</f>
        <v>0</v>
      </c>
    </row>
    <row r="584" ht="22.5" customHeight="1">
      <c r="A584" s="2" t="str">
        <f>IFERROR(__xludf.DUMMYFUNCTION("""COMPUTED_VALUE"""),"L2")</f>
        <v>L2</v>
      </c>
      <c r="B584" s="2" t="str">
        <f>IFERROR(__xludf.DUMMYFUNCTION("""COMPUTED_VALUE"""),"2026-07")</f>
        <v>2026-07</v>
      </c>
      <c r="C584" s="2" t="str">
        <f>IFERROR(__xludf.DUMMYFUNCTION("""COMPUTED_VALUE"""),"SEAT-SD")</f>
        <v>SEAT-SD</v>
      </c>
      <c r="D584" s="2">
        <f>IFERROR(__xludf.DUMMYFUNCTION("""COMPUTED_VALUE"""),0.0)</f>
        <v>0</v>
      </c>
      <c r="E584" s="2">
        <f>IFERROR(__xludf.DUMMYFUNCTION("""COMPUTED_VALUE"""),0.0)</f>
        <v>0</v>
      </c>
      <c r="F584" s="4">
        <f>IFERROR(__xludf.DUMMYFUNCTION("""COMPUTED_VALUE"""),0.0)</f>
        <v>0</v>
      </c>
      <c r="G584" s="4">
        <f>IFERROR(__xludf.DUMMYFUNCTION("""COMPUTED_VALUE"""),0.0)</f>
        <v>0</v>
      </c>
      <c r="H584" s="9">
        <f>IFERROR(__xludf.DUMMYFUNCTION("""COMPUTED_VALUE"""),1.1)</f>
        <v>1.1</v>
      </c>
      <c r="I584" s="4">
        <f>IFERROR(__xludf.DUMMYFUNCTION("""COMPUTED_VALUE"""),0.0)</f>
        <v>0</v>
      </c>
      <c r="J584" s="4">
        <f>IFERROR(__xludf.DUMMYFUNCTION("""COMPUTED_VALUE"""),0.0)</f>
        <v>0</v>
      </c>
      <c r="K584" s="4">
        <f>IFERROR(__xludf.DUMMYFUNCTION("""COMPUTED_VALUE"""),0.0)</f>
        <v>0</v>
      </c>
    </row>
    <row r="585" ht="22.5" customHeight="1">
      <c r="A585" s="2" t="str">
        <f>IFERROR(__xludf.DUMMYFUNCTION("""COMPUTED_VALUE"""),"L2")</f>
        <v>L2</v>
      </c>
      <c r="B585" s="2" t="str">
        <f>IFERROR(__xludf.DUMMYFUNCTION("""COMPUTED_VALUE"""),"2026-08")</f>
        <v>2026-08</v>
      </c>
      <c r="C585" s="2" t="str">
        <f>IFERROR(__xludf.DUMMYFUNCTION("""COMPUTED_VALUE"""),"SEAT-SD")</f>
        <v>SEAT-SD</v>
      </c>
      <c r="D585" s="2">
        <f>IFERROR(__xludf.DUMMYFUNCTION("""COMPUTED_VALUE"""),0.0)</f>
        <v>0</v>
      </c>
      <c r="E585" s="2">
        <f>IFERROR(__xludf.DUMMYFUNCTION("""COMPUTED_VALUE"""),0.0)</f>
        <v>0</v>
      </c>
      <c r="F585" s="4">
        <f>IFERROR(__xludf.DUMMYFUNCTION("""COMPUTED_VALUE"""),0.0)</f>
        <v>0</v>
      </c>
      <c r="G585" s="4">
        <f>IFERROR(__xludf.DUMMYFUNCTION("""COMPUTED_VALUE"""),0.0)</f>
        <v>0</v>
      </c>
      <c r="H585" s="9">
        <f>IFERROR(__xludf.DUMMYFUNCTION("""COMPUTED_VALUE"""),1.1)</f>
        <v>1.1</v>
      </c>
      <c r="I585" s="4">
        <f>IFERROR(__xludf.DUMMYFUNCTION("""COMPUTED_VALUE"""),0.0)</f>
        <v>0</v>
      </c>
      <c r="J585" s="4">
        <f>IFERROR(__xludf.DUMMYFUNCTION("""COMPUTED_VALUE"""),0.0)</f>
        <v>0</v>
      </c>
      <c r="K585" s="4">
        <f>IFERROR(__xludf.DUMMYFUNCTION("""COMPUTED_VALUE"""),0.0)</f>
        <v>0</v>
      </c>
    </row>
    <row r="586" ht="22.5" customHeight="1">
      <c r="A586" s="2" t="str">
        <f>IFERROR(__xludf.DUMMYFUNCTION("""COMPUTED_VALUE"""),"L2")</f>
        <v>L2</v>
      </c>
      <c r="B586" s="2" t="str">
        <f>IFERROR(__xludf.DUMMYFUNCTION("""COMPUTED_VALUE"""),"2026-09")</f>
        <v>2026-09</v>
      </c>
      <c r="C586" s="2" t="str">
        <f>IFERROR(__xludf.DUMMYFUNCTION("""COMPUTED_VALUE"""),"SEAT-SD")</f>
        <v>SEAT-SD</v>
      </c>
      <c r="D586" s="2">
        <f>IFERROR(__xludf.DUMMYFUNCTION("""COMPUTED_VALUE"""),0.0)</f>
        <v>0</v>
      </c>
      <c r="E586" s="2">
        <f>IFERROR(__xludf.DUMMYFUNCTION("""COMPUTED_VALUE"""),0.0)</f>
        <v>0</v>
      </c>
      <c r="F586" s="4">
        <f>IFERROR(__xludf.DUMMYFUNCTION("""COMPUTED_VALUE"""),0.0)</f>
        <v>0</v>
      </c>
      <c r="G586" s="4">
        <f>IFERROR(__xludf.DUMMYFUNCTION("""COMPUTED_VALUE"""),0.0)</f>
        <v>0</v>
      </c>
      <c r="H586" s="9">
        <f>IFERROR(__xludf.DUMMYFUNCTION("""COMPUTED_VALUE"""),1.1)</f>
        <v>1.1</v>
      </c>
      <c r="I586" s="4">
        <f>IFERROR(__xludf.DUMMYFUNCTION("""COMPUTED_VALUE"""),0.0)</f>
        <v>0</v>
      </c>
      <c r="J586" s="4">
        <f>IFERROR(__xludf.DUMMYFUNCTION("""COMPUTED_VALUE"""),0.0)</f>
        <v>0</v>
      </c>
      <c r="K586" s="4">
        <f>IFERROR(__xludf.DUMMYFUNCTION("""COMPUTED_VALUE"""),0.0)</f>
        <v>0</v>
      </c>
    </row>
    <row r="587" ht="22.5" customHeight="1">
      <c r="A587" s="2" t="str">
        <f>IFERROR(__xludf.DUMMYFUNCTION("""COMPUTED_VALUE"""),"L2")</f>
        <v>L2</v>
      </c>
      <c r="B587" s="2" t="str">
        <f>IFERROR(__xludf.DUMMYFUNCTION("""COMPUTED_VALUE"""),"2026-10")</f>
        <v>2026-10</v>
      </c>
      <c r="C587" s="2" t="str">
        <f>IFERROR(__xludf.DUMMYFUNCTION("""COMPUTED_VALUE"""),"SEAT-SD")</f>
        <v>SEAT-SD</v>
      </c>
      <c r="D587" s="2">
        <f>IFERROR(__xludf.DUMMYFUNCTION("""COMPUTED_VALUE"""),0.0)</f>
        <v>0</v>
      </c>
      <c r="E587" s="2">
        <f>IFERROR(__xludf.DUMMYFUNCTION("""COMPUTED_VALUE"""),0.0)</f>
        <v>0</v>
      </c>
      <c r="F587" s="4">
        <f>IFERROR(__xludf.DUMMYFUNCTION("""COMPUTED_VALUE"""),0.0)</f>
        <v>0</v>
      </c>
      <c r="G587" s="4">
        <f>IFERROR(__xludf.DUMMYFUNCTION("""COMPUTED_VALUE"""),0.0)</f>
        <v>0</v>
      </c>
      <c r="H587" s="9">
        <f>IFERROR(__xludf.DUMMYFUNCTION("""COMPUTED_VALUE"""),1.1)</f>
        <v>1.1</v>
      </c>
      <c r="I587" s="4">
        <f>IFERROR(__xludf.DUMMYFUNCTION("""COMPUTED_VALUE"""),0.0)</f>
        <v>0</v>
      </c>
      <c r="J587" s="4">
        <f>IFERROR(__xludf.DUMMYFUNCTION("""COMPUTED_VALUE"""),0.0)</f>
        <v>0</v>
      </c>
      <c r="K587" s="4">
        <f>IFERROR(__xludf.DUMMYFUNCTION("""COMPUTED_VALUE"""),0.0)</f>
        <v>0</v>
      </c>
    </row>
    <row r="588" ht="22.5" customHeight="1">
      <c r="A588" s="2" t="str">
        <f>IFERROR(__xludf.DUMMYFUNCTION("""COMPUTED_VALUE"""),"L2")</f>
        <v>L2</v>
      </c>
      <c r="B588" s="2" t="str">
        <f>IFERROR(__xludf.DUMMYFUNCTION("""COMPUTED_VALUE"""),"2026-11")</f>
        <v>2026-11</v>
      </c>
      <c r="C588" s="2" t="str">
        <f>IFERROR(__xludf.DUMMYFUNCTION("""COMPUTED_VALUE"""),"SEAT-SD")</f>
        <v>SEAT-SD</v>
      </c>
      <c r="D588" s="2">
        <f>IFERROR(__xludf.DUMMYFUNCTION("""COMPUTED_VALUE"""),0.0)</f>
        <v>0</v>
      </c>
      <c r="E588" s="2">
        <f>IFERROR(__xludf.DUMMYFUNCTION("""COMPUTED_VALUE"""),0.0)</f>
        <v>0</v>
      </c>
      <c r="F588" s="4">
        <f>IFERROR(__xludf.DUMMYFUNCTION("""COMPUTED_VALUE"""),0.0)</f>
        <v>0</v>
      </c>
      <c r="G588" s="4">
        <f>IFERROR(__xludf.DUMMYFUNCTION("""COMPUTED_VALUE"""),0.0)</f>
        <v>0</v>
      </c>
      <c r="H588" s="9">
        <f>IFERROR(__xludf.DUMMYFUNCTION("""COMPUTED_VALUE"""),1.1)</f>
        <v>1.1</v>
      </c>
      <c r="I588" s="4">
        <f>IFERROR(__xludf.DUMMYFUNCTION("""COMPUTED_VALUE"""),0.0)</f>
        <v>0</v>
      </c>
      <c r="J588" s="4">
        <f>IFERROR(__xludf.DUMMYFUNCTION("""COMPUTED_VALUE"""),0.0)</f>
        <v>0</v>
      </c>
      <c r="K588" s="4">
        <f>IFERROR(__xludf.DUMMYFUNCTION("""COMPUTED_VALUE"""),0.0)</f>
        <v>0</v>
      </c>
    </row>
    <row r="589" ht="22.5" customHeight="1">
      <c r="A589" s="2" t="str">
        <f>IFERROR(__xludf.DUMMYFUNCTION("""COMPUTED_VALUE"""),"L2")</f>
        <v>L2</v>
      </c>
      <c r="B589" s="2" t="str">
        <f>IFERROR(__xludf.DUMMYFUNCTION("""COMPUTED_VALUE"""),"2026-12")</f>
        <v>2026-12</v>
      </c>
      <c r="C589" s="2" t="str">
        <f>IFERROR(__xludf.DUMMYFUNCTION("""COMPUTED_VALUE"""),"SEAT-SD")</f>
        <v>SEAT-SD</v>
      </c>
      <c r="D589" s="2">
        <f>IFERROR(__xludf.DUMMYFUNCTION("""COMPUTED_VALUE"""),0.0)</f>
        <v>0</v>
      </c>
      <c r="E589" s="2">
        <f>IFERROR(__xludf.DUMMYFUNCTION("""COMPUTED_VALUE"""),0.0)</f>
        <v>0</v>
      </c>
      <c r="F589" s="4">
        <f>IFERROR(__xludf.DUMMYFUNCTION("""COMPUTED_VALUE"""),0.0)</f>
        <v>0</v>
      </c>
      <c r="G589" s="4">
        <f>IFERROR(__xludf.DUMMYFUNCTION("""COMPUTED_VALUE"""),0.0)</f>
        <v>0</v>
      </c>
      <c r="H589" s="9">
        <f>IFERROR(__xludf.DUMMYFUNCTION("""COMPUTED_VALUE"""),1.1)</f>
        <v>1.1</v>
      </c>
      <c r="I589" s="4">
        <f>IFERROR(__xludf.DUMMYFUNCTION("""COMPUTED_VALUE"""),0.0)</f>
        <v>0</v>
      </c>
      <c r="J589" s="4">
        <f>IFERROR(__xludf.DUMMYFUNCTION("""COMPUTED_VALUE"""),0.0)</f>
        <v>0</v>
      </c>
      <c r="K589" s="4">
        <f>IFERROR(__xludf.DUMMYFUNCTION("""COMPUTED_VALUE"""),0.0)</f>
        <v>0</v>
      </c>
    </row>
    <row r="590" ht="22.5" customHeight="1">
      <c r="A590" s="2" t="str">
        <f>IFERROR(__xludf.DUMMYFUNCTION("""COMPUTED_VALUE"""),"L2")</f>
        <v>L2</v>
      </c>
      <c r="B590" s="2" t="str">
        <f>IFERROR(__xludf.DUMMYFUNCTION("""COMPUTED_VALUE"""),"2026-01")</f>
        <v>2026-01</v>
      </c>
      <c r="C590" s="2" t="str">
        <f>IFERROR(__xludf.DUMMYFUNCTION("""COMPUTED_VALUE"""),"SEAT-SD - LX")</f>
        <v>SEAT-SD - LX</v>
      </c>
      <c r="D590" s="2">
        <f>IFERROR(__xludf.DUMMYFUNCTION("""COMPUTED_VALUE"""),0.0)</f>
        <v>0</v>
      </c>
      <c r="E590" s="2">
        <f>IFERROR(__xludf.DUMMYFUNCTION("""COMPUTED_VALUE"""),0.0)</f>
        <v>0</v>
      </c>
      <c r="F590" s="4">
        <f>IFERROR(__xludf.DUMMYFUNCTION("""COMPUTED_VALUE"""),0.0)</f>
        <v>0</v>
      </c>
      <c r="G590" s="4">
        <f>IFERROR(__xludf.DUMMYFUNCTION("""COMPUTED_VALUE"""),0.0)</f>
        <v>0</v>
      </c>
      <c r="H590" s="9">
        <f>IFERROR(__xludf.DUMMYFUNCTION("""COMPUTED_VALUE"""),1.1)</f>
        <v>1.1</v>
      </c>
      <c r="I590" s="4">
        <f>IFERROR(__xludf.DUMMYFUNCTION("""COMPUTED_VALUE"""),0.0)</f>
        <v>0</v>
      </c>
      <c r="J590" s="4">
        <f>IFERROR(__xludf.DUMMYFUNCTION("""COMPUTED_VALUE"""),0.0)</f>
        <v>0</v>
      </c>
      <c r="K590" s="4">
        <f>IFERROR(__xludf.DUMMYFUNCTION("""COMPUTED_VALUE"""),0.0)</f>
        <v>0</v>
      </c>
    </row>
    <row r="591" ht="22.5" customHeight="1">
      <c r="A591" s="2" t="str">
        <f>IFERROR(__xludf.DUMMYFUNCTION("""COMPUTED_VALUE"""),"L2")</f>
        <v>L2</v>
      </c>
      <c r="B591" s="2" t="str">
        <f>IFERROR(__xludf.DUMMYFUNCTION("""COMPUTED_VALUE"""),"2026-02")</f>
        <v>2026-02</v>
      </c>
      <c r="C591" s="2" t="str">
        <f>IFERROR(__xludf.DUMMYFUNCTION("""COMPUTED_VALUE"""),"SEAT-SD - LX")</f>
        <v>SEAT-SD - LX</v>
      </c>
      <c r="D591" s="2">
        <f>IFERROR(__xludf.DUMMYFUNCTION("""COMPUTED_VALUE"""),0.0)</f>
        <v>0</v>
      </c>
      <c r="E591" s="2">
        <f>IFERROR(__xludf.DUMMYFUNCTION("""COMPUTED_VALUE"""),0.0)</f>
        <v>0</v>
      </c>
      <c r="F591" s="4">
        <f>IFERROR(__xludf.DUMMYFUNCTION("""COMPUTED_VALUE"""),0.0)</f>
        <v>0</v>
      </c>
      <c r="G591" s="4">
        <f>IFERROR(__xludf.DUMMYFUNCTION("""COMPUTED_VALUE"""),0.0)</f>
        <v>0</v>
      </c>
      <c r="H591" s="9">
        <f>IFERROR(__xludf.DUMMYFUNCTION("""COMPUTED_VALUE"""),1.1)</f>
        <v>1.1</v>
      </c>
      <c r="I591" s="4">
        <f>IFERROR(__xludf.DUMMYFUNCTION("""COMPUTED_VALUE"""),0.0)</f>
        <v>0</v>
      </c>
      <c r="J591" s="4">
        <f>IFERROR(__xludf.DUMMYFUNCTION("""COMPUTED_VALUE"""),0.0)</f>
        <v>0</v>
      </c>
      <c r="K591" s="4">
        <f>IFERROR(__xludf.DUMMYFUNCTION("""COMPUTED_VALUE"""),0.0)</f>
        <v>0</v>
      </c>
    </row>
    <row r="592" ht="22.5" customHeight="1">
      <c r="A592" s="2" t="str">
        <f>IFERROR(__xludf.DUMMYFUNCTION("""COMPUTED_VALUE"""),"L2")</f>
        <v>L2</v>
      </c>
      <c r="B592" s="2" t="str">
        <f>IFERROR(__xludf.DUMMYFUNCTION("""COMPUTED_VALUE"""),"2026-03")</f>
        <v>2026-03</v>
      </c>
      <c r="C592" s="2" t="str">
        <f>IFERROR(__xludf.DUMMYFUNCTION("""COMPUTED_VALUE"""),"SEAT-SD - LX")</f>
        <v>SEAT-SD - LX</v>
      </c>
      <c r="D592" s="2">
        <f>IFERROR(__xludf.DUMMYFUNCTION("""COMPUTED_VALUE"""),0.0)</f>
        <v>0</v>
      </c>
      <c r="E592" s="2">
        <f>IFERROR(__xludf.DUMMYFUNCTION("""COMPUTED_VALUE"""),0.0)</f>
        <v>0</v>
      </c>
      <c r="F592" s="4">
        <f>IFERROR(__xludf.DUMMYFUNCTION("""COMPUTED_VALUE"""),0.0)</f>
        <v>0</v>
      </c>
      <c r="G592" s="4">
        <f>IFERROR(__xludf.DUMMYFUNCTION("""COMPUTED_VALUE"""),0.0)</f>
        <v>0</v>
      </c>
      <c r="H592" s="9">
        <f>IFERROR(__xludf.DUMMYFUNCTION("""COMPUTED_VALUE"""),1.1)</f>
        <v>1.1</v>
      </c>
      <c r="I592" s="4">
        <f>IFERROR(__xludf.DUMMYFUNCTION("""COMPUTED_VALUE"""),0.0)</f>
        <v>0</v>
      </c>
      <c r="J592" s="4">
        <f>IFERROR(__xludf.DUMMYFUNCTION("""COMPUTED_VALUE"""),0.0)</f>
        <v>0</v>
      </c>
      <c r="K592" s="4">
        <f>IFERROR(__xludf.DUMMYFUNCTION("""COMPUTED_VALUE"""),0.0)</f>
        <v>0</v>
      </c>
    </row>
    <row r="593" ht="22.5" customHeight="1">
      <c r="A593" s="2" t="str">
        <f>IFERROR(__xludf.DUMMYFUNCTION("""COMPUTED_VALUE"""),"L2")</f>
        <v>L2</v>
      </c>
      <c r="B593" s="2" t="str">
        <f>IFERROR(__xludf.DUMMYFUNCTION("""COMPUTED_VALUE"""),"2026-04")</f>
        <v>2026-04</v>
      </c>
      <c r="C593" s="2" t="str">
        <f>IFERROR(__xludf.DUMMYFUNCTION("""COMPUTED_VALUE"""),"SEAT-SD - LX")</f>
        <v>SEAT-SD - LX</v>
      </c>
      <c r="D593" s="2">
        <f>IFERROR(__xludf.DUMMYFUNCTION("""COMPUTED_VALUE"""),0.0)</f>
        <v>0</v>
      </c>
      <c r="E593" s="2">
        <f>IFERROR(__xludf.DUMMYFUNCTION("""COMPUTED_VALUE"""),0.0)</f>
        <v>0</v>
      </c>
      <c r="F593" s="4">
        <f>IFERROR(__xludf.DUMMYFUNCTION("""COMPUTED_VALUE"""),0.0)</f>
        <v>0</v>
      </c>
      <c r="G593" s="4">
        <f>IFERROR(__xludf.DUMMYFUNCTION("""COMPUTED_VALUE"""),0.0)</f>
        <v>0</v>
      </c>
      <c r="H593" s="9">
        <f>IFERROR(__xludf.DUMMYFUNCTION("""COMPUTED_VALUE"""),1.1)</f>
        <v>1.1</v>
      </c>
      <c r="I593" s="4">
        <f>IFERROR(__xludf.DUMMYFUNCTION("""COMPUTED_VALUE"""),0.0)</f>
        <v>0</v>
      </c>
      <c r="J593" s="4">
        <f>IFERROR(__xludf.DUMMYFUNCTION("""COMPUTED_VALUE"""),0.0)</f>
        <v>0</v>
      </c>
      <c r="K593" s="4">
        <f>IFERROR(__xludf.DUMMYFUNCTION("""COMPUTED_VALUE"""),0.0)</f>
        <v>0</v>
      </c>
    </row>
    <row r="594" ht="22.5" customHeight="1">
      <c r="A594" s="2" t="str">
        <f>IFERROR(__xludf.DUMMYFUNCTION("""COMPUTED_VALUE"""),"L2")</f>
        <v>L2</v>
      </c>
      <c r="B594" s="2" t="str">
        <f>IFERROR(__xludf.DUMMYFUNCTION("""COMPUTED_VALUE"""),"2026-05")</f>
        <v>2026-05</v>
      </c>
      <c r="C594" s="2" t="str">
        <f>IFERROR(__xludf.DUMMYFUNCTION("""COMPUTED_VALUE"""),"SEAT-SD - LX")</f>
        <v>SEAT-SD - LX</v>
      </c>
      <c r="D594" s="2">
        <f>IFERROR(__xludf.DUMMYFUNCTION("""COMPUTED_VALUE"""),0.0)</f>
        <v>0</v>
      </c>
      <c r="E594" s="2">
        <f>IFERROR(__xludf.DUMMYFUNCTION("""COMPUTED_VALUE"""),0.0)</f>
        <v>0</v>
      </c>
      <c r="F594" s="4">
        <f>IFERROR(__xludf.DUMMYFUNCTION("""COMPUTED_VALUE"""),0.0)</f>
        <v>0</v>
      </c>
      <c r="G594" s="4">
        <f>IFERROR(__xludf.DUMMYFUNCTION("""COMPUTED_VALUE"""),0.0)</f>
        <v>0</v>
      </c>
      <c r="H594" s="9">
        <f>IFERROR(__xludf.DUMMYFUNCTION("""COMPUTED_VALUE"""),1.1)</f>
        <v>1.1</v>
      </c>
      <c r="I594" s="4">
        <f>IFERROR(__xludf.DUMMYFUNCTION("""COMPUTED_VALUE"""),0.0)</f>
        <v>0</v>
      </c>
      <c r="J594" s="4">
        <f>IFERROR(__xludf.DUMMYFUNCTION("""COMPUTED_VALUE"""),0.0)</f>
        <v>0</v>
      </c>
      <c r="K594" s="4">
        <f>IFERROR(__xludf.DUMMYFUNCTION("""COMPUTED_VALUE"""),0.0)</f>
        <v>0</v>
      </c>
    </row>
    <row r="595" ht="22.5" customHeight="1">
      <c r="A595" s="2" t="str">
        <f>IFERROR(__xludf.DUMMYFUNCTION("""COMPUTED_VALUE"""),"L2")</f>
        <v>L2</v>
      </c>
      <c r="B595" s="2" t="str">
        <f>IFERROR(__xludf.DUMMYFUNCTION("""COMPUTED_VALUE"""),"2026-06")</f>
        <v>2026-06</v>
      </c>
      <c r="C595" s="2" t="str">
        <f>IFERROR(__xludf.DUMMYFUNCTION("""COMPUTED_VALUE"""),"SEAT-SD - LX")</f>
        <v>SEAT-SD - LX</v>
      </c>
      <c r="D595" s="2">
        <f>IFERROR(__xludf.DUMMYFUNCTION("""COMPUTED_VALUE"""),0.0)</f>
        <v>0</v>
      </c>
      <c r="E595" s="2">
        <f>IFERROR(__xludf.DUMMYFUNCTION("""COMPUTED_VALUE"""),0.0)</f>
        <v>0</v>
      </c>
      <c r="F595" s="4">
        <f>IFERROR(__xludf.DUMMYFUNCTION("""COMPUTED_VALUE"""),0.0)</f>
        <v>0</v>
      </c>
      <c r="G595" s="4">
        <f>IFERROR(__xludf.DUMMYFUNCTION("""COMPUTED_VALUE"""),0.0)</f>
        <v>0</v>
      </c>
      <c r="H595" s="9">
        <f>IFERROR(__xludf.DUMMYFUNCTION("""COMPUTED_VALUE"""),1.1)</f>
        <v>1.1</v>
      </c>
      <c r="I595" s="4">
        <f>IFERROR(__xludf.DUMMYFUNCTION("""COMPUTED_VALUE"""),0.0)</f>
        <v>0</v>
      </c>
      <c r="J595" s="4">
        <f>IFERROR(__xludf.DUMMYFUNCTION("""COMPUTED_VALUE"""),0.0)</f>
        <v>0</v>
      </c>
      <c r="K595" s="4">
        <f>IFERROR(__xludf.DUMMYFUNCTION("""COMPUTED_VALUE"""),0.0)</f>
        <v>0</v>
      </c>
    </row>
    <row r="596" ht="22.5" customHeight="1">
      <c r="A596" s="2" t="str">
        <f>IFERROR(__xludf.DUMMYFUNCTION("""COMPUTED_VALUE"""),"L2")</f>
        <v>L2</v>
      </c>
      <c r="B596" s="2" t="str">
        <f>IFERROR(__xludf.DUMMYFUNCTION("""COMPUTED_VALUE"""),"2026-07")</f>
        <v>2026-07</v>
      </c>
      <c r="C596" s="2" t="str">
        <f>IFERROR(__xludf.DUMMYFUNCTION("""COMPUTED_VALUE"""),"SEAT-SD - LX")</f>
        <v>SEAT-SD - LX</v>
      </c>
      <c r="D596" s="2">
        <f>IFERROR(__xludf.DUMMYFUNCTION("""COMPUTED_VALUE"""),0.0)</f>
        <v>0</v>
      </c>
      <c r="E596" s="2">
        <f>IFERROR(__xludf.DUMMYFUNCTION("""COMPUTED_VALUE"""),0.0)</f>
        <v>0</v>
      </c>
      <c r="F596" s="4">
        <f>IFERROR(__xludf.DUMMYFUNCTION("""COMPUTED_VALUE"""),0.0)</f>
        <v>0</v>
      </c>
      <c r="G596" s="4">
        <f>IFERROR(__xludf.DUMMYFUNCTION("""COMPUTED_VALUE"""),0.0)</f>
        <v>0</v>
      </c>
      <c r="H596" s="9">
        <f>IFERROR(__xludf.DUMMYFUNCTION("""COMPUTED_VALUE"""),1.1)</f>
        <v>1.1</v>
      </c>
      <c r="I596" s="4">
        <f>IFERROR(__xludf.DUMMYFUNCTION("""COMPUTED_VALUE"""),0.0)</f>
        <v>0</v>
      </c>
      <c r="J596" s="4">
        <f>IFERROR(__xludf.DUMMYFUNCTION("""COMPUTED_VALUE"""),0.0)</f>
        <v>0</v>
      </c>
      <c r="K596" s="4">
        <f>IFERROR(__xludf.DUMMYFUNCTION("""COMPUTED_VALUE"""),0.0)</f>
        <v>0</v>
      </c>
    </row>
    <row r="597" ht="22.5" customHeight="1">
      <c r="A597" s="2" t="str">
        <f>IFERROR(__xludf.DUMMYFUNCTION("""COMPUTED_VALUE"""),"L2")</f>
        <v>L2</v>
      </c>
      <c r="B597" s="2" t="str">
        <f>IFERROR(__xludf.DUMMYFUNCTION("""COMPUTED_VALUE"""),"2026-08")</f>
        <v>2026-08</v>
      </c>
      <c r="C597" s="2" t="str">
        <f>IFERROR(__xludf.DUMMYFUNCTION("""COMPUTED_VALUE"""),"SEAT-SD - LX")</f>
        <v>SEAT-SD - LX</v>
      </c>
      <c r="D597" s="2">
        <f>IFERROR(__xludf.DUMMYFUNCTION("""COMPUTED_VALUE"""),0.0)</f>
        <v>0</v>
      </c>
      <c r="E597" s="2">
        <f>IFERROR(__xludf.DUMMYFUNCTION("""COMPUTED_VALUE"""),0.0)</f>
        <v>0</v>
      </c>
      <c r="F597" s="4">
        <f>IFERROR(__xludf.DUMMYFUNCTION("""COMPUTED_VALUE"""),0.0)</f>
        <v>0</v>
      </c>
      <c r="G597" s="4">
        <f>IFERROR(__xludf.DUMMYFUNCTION("""COMPUTED_VALUE"""),0.0)</f>
        <v>0</v>
      </c>
      <c r="H597" s="9">
        <f>IFERROR(__xludf.DUMMYFUNCTION("""COMPUTED_VALUE"""),1.1)</f>
        <v>1.1</v>
      </c>
      <c r="I597" s="4">
        <f>IFERROR(__xludf.DUMMYFUNCTION("""COMPUTED_VALUE"""),0.0)</f>
        <v>0</v>
      </c>
      <c r="J597" s="4">
        <f>IFERROR(__xludf.DUMMYFUNCTION("""COMPUTED_VALUE"""),0.0)</f>
        <v>0</v>
      </c>
      <c r="K597" s="4">
        <f>IFERROR(__xludf.DUMMYFUNCTION("""COMPUTED_VALUE"""),0.0)</f>
        <v>0</v>
      </c>
    </row>
    <row r="598" ht="22.5" customHeight="1">
      <c r="A598" s="2" t="str">
        <f>IFERROR(__xludf.DUMMYFUNCTION("""COMPUTED_VALUE"""),"L2")</f>
        <v>L2</v>
      </c>
      <c r="B598" s="2" t="str">
        <f>IFERROR(__xludf.DUMMYFUNCTION("""COMPUTED_VALUE"""),"2026-09")</f>
        <v>2026-09</v>
      </c>
      <c r="C598" s="2" t="str">
        <f>IFERROR(__xludf.DUMMYFUNCTION("""COMPUTED_VALUE"""),"SEAT-SD - LX")</f>
        <v>SEAT-SD - LX</v>
      </c>
      <c r="D598" s="2">
        <f>IFERROR(__xludf.DUMMYFUNCTION("""COMPUTED_VALUE"""),0.0)</f>
        <v>0</v>
      </c>
      <c r="E598" s="2">
        <f>IFERROR(__xludf.DUMMYFUNCTION("""COMPUTED_VALUE"""),0.0)</f>
        <v>0</v>
      </c>
      <c r="F598" s="4">
        <f>IFERROR(__xludf.DUMMYFUNCTION("""COMPUTED_VALUE"""),0.0)</f>
        <v>0</v>
      </c>
      <c r="G598" s="4">
        <f>IFERROR(__xludf.DUMMYFUNCTION("""COMPUTED_VALUE"""),0.0)</f>
        <v>0</v>
      </c>
      <c r="H598" s="9">
        <f>IFERROR(__xludf.DUMMYFUNCTION("""COMPUTED_VALUE"""),1.1)</f>
        <v>1.1</v>
      </c>
      <c r="I598" s="4">
        <f>IFERROR(__xludf.DUMMYFUNCTION("""COMPUTED_VALUE"""),0.0)</f>
        <v>0</v>
      </c>
      <c r="J598" s="4">
        <f>IFERROR(__xludf.DUMMYFUNCTION("""COMPUTED_VALUE"""),0.0)</f>
        <v>0</v>
      </c>
      <c r="K598" s="4">
        <f>IFERROR(__xludf.DUMMYFUNCTION("""COMPUTED_VALUE"""),0.0)</f>
        <v>0</v>
      </c>
    </row>
    <row r="599" ht="22.5" customHeight="1">
      <c r="A599" s="2" t="str">
        <f>IFERROR(__xludf.DUMMYFUNCTION("""COMPUTED_VALUE"""),"L2")</f>
        <v>L2</v>
      </c>
      <c r="B599" s="2" t="str">
        <f>IFERROR(__xludf.DUMMYFUNCTION("""COMPUTED_VALUE"""),"2026-10")</f>
        <v>2026-10</v>
      </c>
      <c r="C599" s="2" t="str">
        <f>IFERROR(__xludf.DUMMYFUNCTION("""COMPUTED_VALUE"""),"SEAT-SD - LX")</f>
        <v>SEAT-SD - LX</v>
      </c>
      <c r="D599" s="2">
        <f>IFERROR(__xludf.DUMMYFUNCTION("""COMPUTED_VALUE"""),0.0)</f>
        <v>0</v>
      </c>
      <c r="E599" s="2">
        <f>IFERROR(__xludf.DUMMYFUNCTION("""COMPUTED_VALUE"""),0.0)</f>
        <v>0</v>
      </c>
      <c r="F599" s="4">
        <f>IFERROR(__xludf.DUMMYFUNCTION("""COMPUTED_VALUE"""),0.0)</f>
        <v>0</v>
      </c>
      <c r="G599" s="4">
        <f>IFERROR(__xludf.DUMMYFUNCTION("""COMPUTED_VALUE"""),0.0)</f>
        <v>0</v>
      </c>
      <c r="H599" s="9">
        <f>IFERROR(__xludf.DUMMYFUNCTION("""COMPUTED_VALUE"""),1.1)</f>
        <v>1.1</v>
      </c>
      <c r="I599" s="4">
        <f>IFERROR(__xludf.DUMMYFUNCTION("""COMPUTED_VALUE"""),0.0)</f>
        <v>0</v>
      </c>
      <c r="J599" s="4">
        <f>IFERROR(__xludf.DUMMYFUNCTION("""COMPUTED_VALUE"""),0.0)</f>
        <v>0</v>
      </c>
      <c r="K599" s="4">
        <f>IFERROR(__xludf.DUMMYFUNCTION("""COMPUTED_VALUE"""),0.0)</f>
        <v>0</v>
      </c>
    </row>
    <row r="600" ht="22.5" customHeight="1">
      <c r="A600" s="2" t="str">
        <f>IFERROR(__xludf.DUMMYFUNCTION("""COMPUTED_VALUE"""),"L2")</f>
        <v>L2</v>
      </c>
      <c r="B600" s="2" t="str">
        <f>IFERROR(__xludf.DUMMYFUNCTION("""COMPUTED_VALUE"""),"2026-11")</f>
        <v>2026-11</v>
      </c>
      <c r="C600" s="2" t="str">
        <f>IFERROR(__xludf.DUMMYFUNCTION("""COMPUTED_VALUE"""),"SEAT-SD - LX")</f>
        <v>SEAT-SD - LX</v>
      </c>
      <c r="D600" s="2">
        <f>IFERROR(__xludf.DUMMYFUNCTION("""COMPUTED_VALUE"""),0.0)</f>
        <v>0</v>
      </c>
      <c r="E600" s="2">
        <f>IFERROR(__xludf.DUMMYFUNCTION("""COMPUTED_VALUE"""),0.0)</f>
        <v>0</v>
      </c>
      <c r="F600" s="4">
        <f>IFERROR(__xludf.DUMMYFUNCTION("""COMPUTED_VALUE"""),0.0)</f>
        <v>0</v>
      </c>
      <c r="G600" s="4">
        <f>IFERROR(__xludf.DUMMYFUNCTION("""COMPUTED_VALUE"""),0.0)</f>
        <v>0</v>
      </c>
      <c r="H600" s="9">
        <f>IFERROR(__xludf.DUMMYFUNCTION("""COMPUTED_VALUE"""),1.1)</f>
        <v>1.1</v>
      </c>
      <c r="I600" s="4">
        <f>IFERROR(__xludf.DUMMYFUNCTION("""COMPUTED_VALUE"""),0.0)</f>
        <v>0</v>
      </c>
      <c r="J600" s="4">
        <f>IFERROR(__xludf.DUMMYFUNCTION("""COMPUTED_VALUE"""),0.0)</f>
        <v>0</v>
      </c>
      <c r="K600" s="4">
        <f>IFERROR(__xludf.DUMMYFUNCTION("""COMPUTED_VALUE"""),0.0)</f>
        <v>0</v>
      </c>
    </row>
    <row r="601" ht="22.5" customHeight="1">
      <c r="A601" s="2" t="str">
        <f>IFERROR(__xludf.DUMMYFUNCTION("""COMPUTED_VALUE"""),"L2")</f>
        <v>L2</v>
      </c>
      <c r="B601" s="2" t="str">
        <f>IFERROR(__xludf.DUMMYFUNCTION("""COMPUTED_VALUE"""),"2026-12")</f>
        <v>2026-12</v>
      </c>
      <c r="C601" s="2" t="str">
        <f>IFERROR(__xludf.DUMMYFUNCTION("""COMPUTED_VALUE"""),"SEAT-SD - LX")</f>
        <v>SEAT-SD - LX</v>
      </c>
      <c r="D601" s="2">
        <f>IFERROR(__xludf.DUMMYFUNCTION("""COMPUTED_VALUE"""),0.0)</f>
        <v>0</v>
      </c>
      <c r="E601" s="2">
        <f>IFERROR(__xludf.DUMMYFUNCTION("""COMPUTED_VALUE"""),0.0)</f>
        <v>0</v>
      </c>
      <c r="F601" s="4">
        <f>IFERROR(__xludf.DUMMYFUNCTION("""COMPUTED_VALUE"""),0.0)</f>
        <v>0</v>
      </c>
      <c r="G601" s="4">
        <f>IFERROR(__xludf.DUMMYFUNCTION("""COMPUTED_VALUE"""),0.0)</f>
        <v>0</v>
      </c>
      <c r="H601" s="9">
        <f>IFERROR(__xludf.DUMMYFUNCTION("""COMPUTED_VALUE"""),1.1)</f>
        <v>1.1</v>
      </c>
      <c r="I601" s="4">
        <f>IFERROR(__xludf.DUMMYFUNCTION("""COMPUTED_VALUE"""),0.0)</f>
        <v>0</v>
      </c>
      <c r="J601" s="4">
        <f>IFERROR(__xludf.DUMMYFUNCTION("""COMPUTED_VALUE"""),0.0)</f>
        <v>0</v>
      </c>
      <c r="K601" s="4">
        <f>IFERROR(__xludf.DUMMYFUNCTION("""COMPUTED_VALUE"""),0.0)</f>
        <v>0</v>
      </c>
    </row>
    <row r="602" ht="22.5" customHeight="1">
      <c r="A602" s="2" t="str">
        <f>IFERROR(__xludf.DUMMYFUNCTION("""COMPUTED_VALUE"""),"L2")</f>
        <v>L2</v>
      </c>
      <c r="B602" s="2" t="str">
        <f>IFERROR(__xludf.DUMMYFUNCTION("""COMPUTED_VALUE"""),"2026-01")</f>
        <v>2026-01</v>
      </c>
      <c r="C602" s="2" t="str">
        <f>IFERROR(__xludf.DUMMYFUNCTION("""COMPUTED_VALUE"""),"SEAT-SUV")</f>
        <v>SEAT-SUV</v>
      </c>
      <c r="D602" s="2">
        <f>IFERROR(__xludf.DUMMYFUNCTION("""COMPUTED_VALUE"""),104.0)</f>
        <v>104</v>
      </c>
      <c r="E602" s="2">
        <f>IFERROR(__xludf.DUMMYFUNCTION("""COMPUTED_VALUE"""),3.0)</f>
        <v>3</v>
      </c>
      <c r="F602" s="4">
        <f>IFERROR(__xludf.DUMMYFUNCTION("""COMPUTED_VALUE"""),67295.28)</f>
        <v>67295.28</v>
      </c>
      <c r="G602" s="4">
        <f>IFERROR(__xludf.DUMMYFUNCTION("""COMPUTED_VALUE"""),855.0)</f>
        <v>855</v>
      </c>
      <c r="H602" s="9">
        <f>IFERROR(__xludf.DUMMYFUNCTION("""COMPUTED_VALUE"""),1.1)</f>
        <v>1.1</v>
      </c>
      <c r="I602" s="4">
        <f>IFERROR(__xludf.DUMMYFUNCTION("""COMPUTED_VALUE"""),74965.308)</f>
        <v>74965.308</v>
      </c>
      <c r="J602" s="4">
        <f>IFERROR(__xludf.DUMMYFUNCTION("""COMPUTED_VALUE"""),10.784500000000001)</f>
        <v>10.7845</v>
      </c>
      <c r="K602" s="4">
        <f>IFERROR(__xludf.DUMMYFUNCTION("""COMPUTED_VALUE"""),74976.0925)</f>
        <v>74976.0925</v>
      </c>
    </row>
    <row r="603" ht="22.5" customHeight="1">
      <c r="A603" s="2" t="str">
        <f>IFERROR(__xludf.DUMMYFUNCTION("""COMPUTED_VALUE"""),"L2")</f>
        <v>L2</v>
      </c>
      <c r="B603" s="2" t="str">
        <f>IFERROR(__xludf.DUMMYFUNCTION("""COMPUTED_VALUE"""),"2026-02")</f>
        <v>2026-02</v>
      </c>
      <c r="C603" s="2" t="str">
        <f>IFERROR(__xludf.DUMMYFUNCTION("""COMPUTED_VALUE"""),"SEAT-SUV")</f>
        <v>SEAT-SUV</v>
      </c>
      <c r="D603" s="2">
        <f>IFERROR(__xludf.DUMMYFUNCTION("""COMPUTED_VALUE"""),0.0)</f>
        <v>0</v>
      </c>
      <c r="E603" s="2">
        <f>IFERROR(__xludf.DUMMYFUNCTION("""COMPUTED_VALUE"""),0.0)</f>
        <v>0</v>
      </c>
      <c r="F603" s="4">
        <f>IFERROR(__xludf.DUMMYFUNCTION("""COMPUTED_VALUE"""),0.0)</f>
        <v>0</v>
      </c>
      <c r="G603" s="4">
        <f>IFERROR(__xludf.DUMMYFUNCTION("""COMPUTED_VALUE"""),0.0)</f>
        <v>0</v>
      </c>
      <c r="H603" s="9">
        <f>IFERROR(__xludf.DUMMYFUNCTION("""COMPUTED_VALUE"""),1.1)</f>
        <v>1.1</v>
      </c>
      <c r="I603" s="4">
        <f>IFERROR(__xludf.DUMMYFUNCTION("""COMPUTED_VALUE"""),0.0)</f>
        <v>0</v>
      </c>
      <c r="J603" s="4">
        <f>IFERROR(__xludf.DUMMYFUNCTION("""COMPUTED_VALUE"""),10.784500000000001)</f>
        <v>10.7845</v>
      </c>
      <c r="K603" s="4">
        <f>IFERROR(__xludf.DUMMYFUNCTION("""COMPUTED_VALUE"""),10.784500000000001)</f>
        <v>10.7845</v>
      </c>
    </row>
    <row r="604" ht="22.5" customHeight="1">
      <c r="A604" s="2" t="str">
        <f>IFERROR(__xludf.DUMMYFUNCTION("""COMPUTED_VALUE"""),"L2")</f>
        <v>L2</v>
      </c>
      <c r="B604" s="2" t="str">
        <f>IFERROR(__xludf.DUMMYFUNCTION("""COMPUTED_VALUE"""),"2026-03")</f>
        <v>2026-03</v>
      </c>
      <c r="C604" s="2" t="str">
        <f>IFERROR(__xludf.DUMMYFUNCTION("""COMPUTED_VALUE"""),"SEAT-SUV")</f>
        <v>SEAT-SUV</v>
      </c>
      <c r="D604" s="2">
        <f>IFERROR(__xludf.DUMMYFUNCTION("""COMPUTED_VALUE"""),0.0)</f>
        <v>0</v>
      </c>
      <c r="E604" s="2">
        <f>IFERROR(__xludf.DUMMYFUNCTION("""COMPUTED_VALUE"""),0.0)</f>
        <v>0</v>
      </c>
      <c r="F604" s="4">
        <f>IFERROR(__xludf.DUMMYFUNCTION("""COMPUTED_VALUE"""),0.0)</f>
        <v>0</v>
      </c>
      <c r="G604" s="4">
        <f>IFERROR(__xludf.DUMMYFUNCTION("""COMPUTED_VALUE"""),0.0)</f>
        <v>0</v>
      </c>
      <c r="H604" s="9">
        <f>IFERROR(__xludf.DUMMYFUNCTION("""COMPUTED_VALUE"""),1.1)</f>
        <v>1.1</v>
      </c>
      <c r="I604" s="4">
        <f>IFERROR(__xludf.DUMMYFUNCTION("""COMPUTED_VALUE"""),0.0)</f>
        <v>0</v>
      </c>
      <c r="J604" s="4">
        <f>IFERROR(__xludf.DUMMYFUNCTION("""COMPUTED_VALUE"""),10.784500000000001)</f>
        <v>10.7845</v>
      </c>
      <c r="K604" s="4">
        <f>IFERROR(__xludf.DUMMYFUNCTION("""COMPUTED_VALUE"""),10.784500000000001)</f>
        <v>10.7845</v>
      </c>
    </row>
    <row r="605" ht="22.5" customHeight="1">
      <c r="A605" s="2" t="str">
        <f>IFERROR(__xludf.DUMMYFUNCTION("""COMPUTED_VALUE"""),"L2")</f>
        <v>L2</v>
      </c>
      <c r="B605" s="2" t="str">
        <f>IFERROR(__xludf.DUMMYFUNCTION("""COMPUTED_VALUE"""),"2026-04")</f>
        <v>2026-04</v>
      </c>
      <c r="C605" s="2" t="str">
        <f>IFERROR(__xludf.DUMMYFUNCTION("""COMPUTED_VALUE"""),"SEAT-SUV")</f>
        <v>SEAT-SUV</v>
      </c>
      <c r="D605" s="2">
        <f>IFERROR(__xludf.DUMMYFUNCTION("""COMPUTED_VALUE"""),0.0)</f>
        <v>0</v>
      </c>
      <c r="E605" s="2">
        <f>IFERROR(__xludf.DUMMYFUNCTION("""COMPUTED_VALUE"""),0.0)</f>
        <v>0</v>
      </c>
      <c r="F605" s="4">
        <f>IFERROR(__xludf.DUMMYFUNCTION("""COMPUTED_VALUE"""),0.0)</f>
        <v>0</v>
      </c>
      <c r="G605" s="4">
        <f>IFERROR(__xludf.DUMMYFUNCTION("""COMPUTED_VALUE"""),0.0)</f>
        <v>0</v>
      </c>
      <c r="H605" s="9">
        <f>IFERROR(__xludf.DUMMYFUNCTION("""COMPUTED_VALUE"""),1.1)</f>
        <v>1.1</v>
      </c>
      <c r="I605" s="4">
        <f>IFERROR(__xludf.DUMMYFUNCTION("""COMPUTED_VALUE"""),0.0)</f>
        <v>0</v>
      </c>
      <c r="J605" s="4">
        <f>IFERROR(__xludf.DUMMYFUNCTION("""COMPUTED_VALUE"""),10.784500000000001)</f>
        <v>10.7845</v>
      </c>
      <c r="K605" s="4">
        <f>IFERROR(__xludf.DUMMYFUNCTION("""COMPUTED_VALUE"""),10.784500000000001)</f>
        <v>10.7845</v>
      </c>
    </row>
    <row r="606" ht="22.5" customHeight="1">
      <c r="A606" s="2" t="str">
        <f>IFERROR(__xludf.DUMMYFUNCTION("""COMPUTED_VALUE"""),"L2")</f>
        <v>L2</v>
      </c>
      <c r="B606" s="2" t="str">
        <f>IFERROR(__xludf.DUMMYFUNCTION("""COMPUTED_VALUE"""),"2026-05")</f>
        <v>2026-05</v>
      </c>
      <c r="C606" s="2" t="str">
        <f>IFERROR(__xludf.DUMMYFUNCTION("""COMPUTED_VALUE"""),"SEAT-SUV")</f>
        <v>SEAT-SUV</v>
      </c>
      <c r="D606" s="2">
        <f>IFERROR(__xludf.DUMMYFUNCTION("""COMPUTED_VALUE"""),0.0)</f>
        <v>0</v>
      </c>
      <c r="E606" s="2">
        <f>IFERROR(__xludf.DUMMYFUNCTION("""COMPUTED_VALUE"""),0.0)</f>
        <v>0</v>
      </c>
      <c r="F606" s="4">
        <f>IFERROR(__xludf.DUMMYFUNCTION("""COMPUTED_VALUE"""),0.0)</f>
        <v>0</v>
      </c>
      <c r="G606" s="4">
        <f>IFERROR(__xludf.DUMMYFUNCTION("""COMPUTED_VALUE"""),0.0)</f>
        <v>0</v>
      </c>
      <c r="H606" s="9">
        <f>IFERROR(__xludf.DUMMYFUNCTION("""COMPUTED_VALUE"""),1.1)</f>
        <v>1.1</v>
      </c>
      <c r="I606" s="4">
        <f>IFERROR(__xludf.DUMMYFUNCTION("""COMPUTED_VALUE"""),0.0)</f>
        <v>0</v>
      </c>
      <c r="J606" s="4">
        <f>IFERROR(__xludf.DUMMYFUNCTION("""COMPUTED_VALUE"""),10.784500000000001)</f>
        <v>10.7845</v>
      </c>
      <c r="K606" s="4">
        <f>IFERROR(__xludf.DUMMYFUNCTION("""COMPUTED_VALUE"""),10.784500000000001)</f>
        <v>10.7845</v>
      </c>
    </row>
    <row r="607" ht="22.5" customHeight="1">
      <c r="A607" s="2" t="str">
        <f>IFERROR(__xludf.DUMMYFUNCTION("""COMPUTED_VALUE"""),"L2")</f>
        <v>L2</v>
      </c>
      <c r="B607" s="2" t="str">
        <f>IFERROR(__xludf.DUMMYFUNCTION("""COMPUTED_VALUE"""),"2026-06")</f>
        <v>2026-06</v>
      </c>
      <c r="C607" s="2" t="str">
        <f>IFERROR(__xludf.DUMMYFUNCTION("""COMPUTED_VALUE"""),"SEAT-SUV")</f>
        <v>SEAT-SUV</v>
      </c>
      <c r="D607" s="2">
        <f>IFERROR(__xludf.DUMMYFUNCTION("""COMPUTED_VALUE"""),0.0)</f>
        <v>0</v>
      </c>
      <c r="E607" s="2">
        <f>IFERROR(__xludf.DUMMYFUNCTION("""COMPUTED_VALUE"""),0.0)</f>
        <v>0</v>
      </c>
      <c r="F607" s="4">
        <f>IFERROR(__xludf.DUMMYFUNCTION("""COMPUTED_VALUE"""),0.0)</f>
        <v>0</v>
      </c>
      <c r="G607" s="4">
        <f>IFERROR(__xludf.DUMMYFUNCTION("""COMPUTED_VALUE"""),0.0)</f>
        <v>0</v>
      </c>
      <c r="H607" s="9">
        <f>IFERROR(__xludf.DUMMYFUNCTION("""COMPUTED_VALUE"""),1.1)</f>
        <v>1.1</v>
      </c>
      <c r="I607" s="4">
        <f>IFERROR(__xludf.DUMMYFUNCTION("""COMPUTED_VALUE"""),0.0)</f>
        <v>0</v>
      </c>
      <c r="J607" s="4">
        <f>IFERROR(__xludf.DUMMYFUNCTION("""COMPUTED_VALUE"""),10.784500000000001)</f>
        <v>10.7845</v>
      </c>
      <c r="K607" s="4">
        <f>IFERROR(__xludf.DUMMYFUNCTION("""COMPUTED_VALUE"""),10.784500000000001)</f>
        <v>10.7845</v>
      </c>
    </row>
    <row r="608" ht="22.5" customHeight="1">
      <c r="A608" s="2" t="str">
        <f>IFERROR(__xludf.DUMMYFUNCTION("""COMPUTED_VALUE"""),"L2")</f>
        <v>L2</v>
      </c>
      <c r="B608" s="2" t="str">
        <f>IFERROR(__xludf.DUMMYFUNCTION("""COMPUTED_VALUE"""),"2026-07")</f>
        <v>2026-07</v>
      </c>
      <c r="C608" s="2" t="str">
        <f>IFERROR(__xludf.DUMMYFUNCTION("""COMPUTED_VALUE"""),"SEAT-SUV")</f>
        <v>SEAT-SUV</v>
      </c>
      <c r="D608" s="2">
        <f>IFERROR(__xludf.DUMMYFUNCTION("""COMPUTED_VALUE"""),0.0)</f>
        <v>0</v>
      </c>
      <c r="E608" s="2">
        <f>IFERROR(__xludf.DUMMYFUNCTION("""COMPUTED_VALUE"""),0.0)</f>
        <v>0</v>
      </c>
      <c r="F608" s="4">
        <f>IFERROR(__xludf.DUMMYFUNCTION("""COMPUTED_VALUE"""),0.0)</f>
        <v>0</v>
      </c>
      <c r="G608" s="4">
        <f>IFERROR(__xludf.DUMMYFUNCTION("""COMPUTED_VALUE"""),0.0)</f>
        <v>0</v>
      </c>
      <c r="H608" s="9">
        <f>IFERROR(__xludf.DUMMYFUNCTION("""COMPUTED_VALUE"""),1.1)</f>
        <v>1.1</v>
      </c>
      <c r="I608" s="4">
        <f>IFERROR(__xludf.DUMMYFUNCTION("""COMPUTED_VALUE"""),0.0)</f>
        <v>0</v>
      </c>
      <c r="J608" s="4">
        <f>IFERROR(__xludf.DUMMYFUNCTION("""COMPUTED_VALUE"""),10.784500000000001)</f>
        <v>10.7845</v>
      </c>
      <c r="K608" s="4">
        <f>IFERROR(__xludf.DUMMYFUNCTION("""COMPUTED_VALUE"""),10.784500000000001)</f>
        <v>10.7845</v>
      </c>
    </row>
    <row r="609" ht="22.5" customHeight="1">
      <c r="A609" s="2" t="str">
        <f>IFERROR(__xludf.DUMMYFUNCTION("""COMPUTED_VALUE"""),"L2")</f>
        <v>L2</v>
      </c>
      <c r="B609" s="2" t="str">
        <f>IFERROR(__xludf.DUMMYFUNCTION("""COMPUTED_VALUE"""),"2026-08")</f>
        <v>2026-08</v>
      </c>
      <c r="C609" s="2" t="str">
        <f>IFERROR(__xludf.DUMMYFUNCTION("""COMPUTED_VALUE"""),"SEAT-SUV")</f>
        <v>SEAT-SUV</v>
      </c>
      <c r="D609" s="2">
        <f>IFERROR(__xludf.DUMMYFUNCTION("""COMPUTED_VALUE"""),0.0)</f>
        <v>0</v>
      </c>
      <c r="E609" s="2">
        <f>IFERROR(__xludf.DUMMYFUNCTION("""COMPUTED_VALUE"""),0.0)</f>
        <v>0</v>
      </c>
      <c r="F609" s="4">
        <f>IFERROR(__xludf.DUMMYFUNCTION("""COMPUTED_VALUE"""),0.0)</f>
        <v>0</v>
      </c>
      <c r="G609" s="4">
        <f>IFERROR(__xludf.DUMMYFUNCTION("""COMPUTED_VALUE"""),0.0)</f>
        <v>0</v>
      </c>
      <c r="H609" s="9">
        <f>IFERROR(__xludf.DUMMYFUNCTION("""COMPUTED_VALUE"""),1.1)</f>
        <v>1.1</v>
      </c>
      <c r="I609" s="4">
        <f>IFERROR(__xludf.DUMMYFUNCTION("""COMPUTED_VALUE"""),0.0)</f>
        <v>0</v>
      </c>
      <c r="J609" s="4">
        <f>IFERROR(__xludf.DUMMYFUNCTION("""COMPUTED_VALUE"""),10.784500000000001)</f>
        <v>10.7845</v>
      </c>
      <c r="K609" s="4">
        <f>IFERROR(__xludf.DUMMYFUNCTION("""COMPUTED_VALUE"""),10.784500000000001)</f>
        <v>10.7845</v>
      </c>
    </row>
    <row r="610" ht="22.5" customHeight="1">
      <c r="A610" s="2" t="str">
        <f>IFERROR(__xludf.DUMMYFUNCTION("""COMPUTED_VALUE"""),"L2")</f>
        <v>L2</v>
      </c>
      <c r="B610" s="2" t="str">
        <f>IFERROR(__xludf.DUMMYFUNCTION("""COMPUTED_VALUE"""),"2026-09")</f>
        <v>2026-09</v>
      </c>
      <c r="C610" s="2" t="str">
        <f>IFERROR(__xludf.DUMMYFUNCTION("""COMPUTED_VALUE"""),"SEAT-SUV")</f>
        <v>SEAT-SUV</v>
      </c>
      <c r="D610" s="2">
        <f>IFERROR(__xludf.DUMMYFUNCTION("""COMPUTED_VALUE"""),0.0)</f>
        <v>0</v>
      </c>
      <c r="E610" s="2">
        <f>IFERROR(__xludf.DUMMYFUNCTION("""COMPUTED_VALUE"""),0.0)</f>
        <v>0</v>
      </c>
      <c r="F610" s="4">
        <f>IFERROR(__xludf.DUMMYFUNCTION("""COMPUTED_VALUE"""),0.0)</f>
        <v>0</v>
      </c>
      <c r="G610" s="4">
        <f>IFERROR(__xludf.DUMMYFUNCTION("""COMPUTED_VALUE"""),0.0)</f>
        <v>0</v>
      </c>
      <c r="H610" s="9">
        <f>IFERROR(__xludf.DUMMYFUNCTION("""COMPUTED_VALUE"""),1.1)</f>
        <v>1.1</v>
      </c>
      <c r="I610" s="4">
        <f>IFERROR(__xludf.DUMMYFUNCTION("""COMPUTED_VALUE"""),0.0)</f>
        <v>0</v>
      </c>
      <c r="J610" s="4">
        <f>IFERROR(__xludf.DUMMYFUNCTION("""COMPUTED_VALUE"""),10.784500000000001)</f>
        <v>10.7845</v>
      </c>
      <c r="K610" s="4">
        <f>IFERROR(__xludf.DUMMYFUNCTION("""COMPUTED_VALUE"""),10.784500000000001)</f>
        <v>10.7845</v>
      </c>
    </row>
    <row r="611" ht="22.5" customHeight="1">
      <c r="A611" s="2" t="str">
        <f>IFERROR(__xludf.DUMMYFUNCTION("""COMPUTED_VALUE"""),"L2")</f>
        <v>L2</v>
      </c>
      <c r="B611" s="2" t="str">
        <f>IFERROR(__xludf.DUMMYFUNCTION("""COMPUTED_VALUE"""),"2026-10")</f>
        <v>2026-10</v>
      </c>
      <c r="C611" s="2" t="str">
        <f>IFERROR(__xludf.DUMMYFUNCTION("""COMPUTED_VALUE"""),"SEAT-SUV")</f>
        <v>SEAT-SUV</v>
      </c>
      <c r="D611" s="2">
        <f>IFERROR(__xludf.DUMMYFUNCTION("""COMPUTED_VALUE"""),0.0)</f>
        <v>0</v>
      </c>
      <c r="E611" s="2">
        <f>IFERROR(__xludf.DUMMYFUNCTION("""COMPUTED_VALUE"""),0.0)</f>
        <v>0</v>
      </c>
      <c r="F611" s="4">
        <f>IFERROR(__xludf.DUMMYFUNCTION("""COMPUTED_VALUE"""),0.0)</f>
        <v>0</v>
      </c>
      <c r="G611" s="4">
        <f>IFERROR(__xludf.DUMMYFUNCTION("""COMPUTED_VALUE"""),0.0)</f>
        <v>0</v>
      </c>
      <c r="H611" s="9">
        <f>IFERROR(__xludf.DUMMYFUNCTION("""COMPUTED_VALUE"""),1.1)</f>
        <v>1.1</v>
      </c>
      <c r="I611" s="4">
        <f>IFERROR(__xludf.DUMMYFUNCTION("""COMPUTED_VALUE"""),0.0)</f>
        <v>0</v>
      </c>
      <c r="J611" s="4">
        <f>IFERROR(__xludf.DUMMYFUNCTION("""COMPUTED_VALUE"""),10.784500000000001)</f>
        <v>10.7845</v>
      </c>
      <c r="K611" s="4">
        <f>IFERROR(__xludf.DUMMYFUNCTION("""COMPUTED_VALUE"""),10.784500000000001)</f>
        <v>10.7845</v>
      </c>
    </row>
    <row r="612" ht="22.5" customHeight="1">
      <c r="A612" s="2" t="str">
        <f>IFERROR(__xludf.DUMMYFUNCTION("""COMPUTED_VALUE"""),"L2")</f>
        <v>L2</v>
      </c>
      <c r="B612" s="2" t="str">
        <f>IFERROR(__xludf.DUMMYFUNCTION("""COMPUTED_VALUE"""),"2026-11")</f>
        <v>2026-11</v>
      </c>
      <c r="C612" s="2" t="str">
        <f>IFERROR(__xludf.DUMMYFUNCTION("""COMPUTED_VALUE"""),"SEAT-SUV")</f>
        <v>SEAT-SUV</v>
      </c>
      <c r="D612" s="2">
        <f>IFERROR(__xludf.DUMMYFUNCTION("""COMPUTED_VALUE"""),0.0)</f>
        <v>0</v>
      </c>
      <c r="E612" s="2">
        <f>IFERROR(__xludf.DUMMYFUNCTION("""COMPUTED_VALUE"""),0.0)</f>
        <v>0</v>
      </c>
      <c r="F612" s="4">
        <f>IFERROR(__xludf.DUMMYFUNCTION("""COMPUTED_VALUE"""),0.0)</f>
        <v>0</v>
      </c>
      <c r="G612" s="4">
        <f>IFERROR(__xludf.DUMMYFUNCTION("""COMPUTED_VALUE"""),0.0)</f>
        <v>0</v>
      </c>
      <c r="H612" s="9">
        <f>IFERROR(__xludf.DUMMYFUNCTION("""COMPUTED_VALUE"""),1.1)</f>
        <v>1.1</v>
      </c>
      <c r="I612" s="4">
        <f>IFERROR(__xludf.DUMMYFUNCTION("""COMPUTED_VALUE"""),0.0)</f>
        <v>0</v>
      </c>
      <c r="J612" s="4">
        <f>IFERROR(__xludf.DUMMYFUNCTION("""COMPUTED_VALUE"""),10.784500000000001)</f>
        <v>10.7845</v>
      </c>
      <c r="K612" s="4">
        <f>IFERROR(__xludf.DUMMYFUNCTION("""COMPUTED_VALUE"""),10.784500000000001)</f>
        <v>10.7845</v>
      </c>
    </row>
    <row r="613" ht="22.5" customHeight="1">
      <c r="A613" s="2" t="str">
        <f>IFERROR(__xludf.DUMMYFUNCTION("""COMPUTED_VALUE"""),"L2")</f>
        <v>L2</v>
      </c>
      <c r="B613" s="2" t="str">
        <f>IFERROR(__xludf.DUMMYFUNCTION("""COMPUTED_VALUE"""),"2026-12")</f>
        <v>2026-12</v>
      </c>
      <c r="C613" s="2" t="str">
        <f>IFERROR(__xludf.DUMMYFUNCTION("""COMPUTED_VALUE"""),"SEAT-SUV")</f>
        <v>SEAT-SUV</v>
      </c>
      <c r="D613" s="2">
        <f>IFERROR(__xludf.DUMMYFUNCTION("""COMPUTED_VALUE"""),0.0)</f>
        <v>0</v>
      </c>
      <c r="E613" s="2">
        <f>IFERROR(__xludf.DUMMYFUNCTION("""COMPUTED_VALUE"""),0.0)</f>
        <v>0</v>
      </c>
      <c r="F613" s="4">
        <f>IFERROR(__xludf.DUMMYFUNCTION("""COMPUTED_VALUE"""),0.0)</f>
        <v>0</v>
      </c>
      <c r="G613" s="4">
        <f>IFERROR(__xludf.DUMMYFUNCTION("""COMPUTED_VALUE"""),0.0)</f>
        <v>0</v>
      </c>
      <c r="H613" s="9">
        <f>IFERROR(__xludf.DUMMYFUNCTION("""COMPUTED_VALUE"""),1.1)</f>
        <v>1.1</v>
      </c>
      <c r="I613" s="4">
        <f>IFERROR(__xludf.DUMMYFUNCTION("""COMPUTED_VALUE"""),0.0)</f>
        <v>0</v>
      </c>
      <c r="J613" s="4">
        <f>IFERROR(__xludf.DUMMYFUNCTION("""COMPUTED_VALUE"""),10.784500000000001)</f>
        <v>10.7845</v>
      </c>
      <c r="K613" s="4">
        <f>IFERROR(__xludf.DUMMYFUNCTION("""COMPUTED_VALUE"""),10.784500000000001)</f>
        <v>10.7845</v>
      </c>
    </row>
    <row r="614" ht="22.5" customHeight="1">
      <c r="A614" s="2" t="str">
        <f>IFERROR(__xludf.DUMMYFUNCTION("""COMPUTED_VALUE"""),"L2")</f>
        <v>L2</v>
      </c>
      <c r="B614" s="2" t="str">
        <f>IFERROR(__xludf.DUMMYFUNCTION("""COMPUTED_VALUE"""),"2026-01")</f>
        <v>2026-01</v>
      </c>
      <c r="C614" s="2" t="str">
        <f>IFERROR(__xludf.DUMMYFUNCTION("""COMPUTED_VALUE"""),"SEAT-SUV - LX")</f>
        <v>SEAT-SUV - LX</v>
      </c>
      <c r="D614" s="2">
        <f>IFERROR(__xludf.DUMMYFUNCTION("""COMPUTED_VALUE"""),0.0)</f>
        <v>0</v>
      </c>
      <c r="E614" s="2">
        <f>IFERROR(__xludf.DUMMYFUNCTION("""COMPUTED_VALUE"""),0.0)</f>
        <v>0</v>
      </c>
      <c r="F614" s="4">
        <f>IFERROR(__xludf.DUMMYFUNCTION("""COMPUTED_VALUE"""),0.0)</f>
        <v>0</v>
      </c>
      <c r="G614" s="4">
        <f>IFERROR(__xludf.DUMMYFUNCTION("""COMPUTED_VALUE"""),0.0)</f>
        <v>0</v>
      </c>
      <c r="H614" s="9">
        <f>IFERROR(__xludf.DUMMYFUNCTION("""COMPUTED_VALUE"""),1.1)</f>
        <v>1.1</v>
      </c>
      <c r="I614" s="4">
        <f>IFERROR(__xludf.DUMMYFUNCTION("""COMPUTED_VALUE"""),0.0)</f>
        <v>0</v>
      </c>
      <c r="J614" s="4">
        <f>IFERROR(__xludf.DUMMYFUNCTION("""COMPUTED_VALUE"""),75.48)</f>
        <v>75.48</v>
      </c>
      <c r="K614" s="4">
        <f>IFERROR(__xludf.DUMMYFUNCTION("""COMPUTED_VALUE"""),75.48)</f>
        <v>75.48</v>
      </c>
    </row>
    <row r="615" ht="22.5" customHeight="1">
      <c r="A615" s="2" t="str">
        <f>IFERROR(__xludf.DUMMYFUNCTION("""COMPUTED_VALUE"""),"L2")</f>
        <v>L2</v>
      </c>
      <c r="B615" s="2" t="str">
        <f>IFERROR(__xludf.DUMMYFUNCTION("""COMPUTED_VALUE"""),"2026-02")</f>
        <v>2026-02</v>
      </c>
      <c r="C615" s="2" t="str">
        <f>IFERROR(__xludf.DUMMYFUNCTION("""COMPUTED_VALUE"""),"SEAT-SUV - LX")</f>
        <v>SEAT-SUV - LX</v>
      </c>
      <c r="D615" s="2">
        <f>IFERROR(__xludf.DUMMYFUNCTION("""COMPUTED_VALUE"""),0.0)</f>
        <v>0</v>
      </c>
      <c r="E615" s="2">
        <f>IFERROR(__xludf.DUMMYFUNCTION("""COMPUTED_VALUE"""),0.0)</f>
        <v>0</v>
      </c>
      <c r="F615" s="4">
        <f>IFERROR(__xludf.DUMMYFUNCTION("""COMPUTED_VALUE"""),0.0)</f>
        <v>0</v>
      </c>
      <c r="G615" s="4">
        <f>IFERROR(__xludf.DUMMYFUNCTION("""COMPUTED_VALUE"""),0.0)</f>
        <v>0</v>
      </c>
      <c r="H615" s="9">
        <f>IFERROR(__xludf.DUMMYFUNCTION("""COMPUTED_VALUE"""),1.1)</f>
        <v>1.1</v>
      </c>
      <c r="I615" s="4">
        <f>IFERROR(__xludf.DUMMYFUNCTION("""COMPUTED_VALUE"""),0.0)</f>
        <v>0</v>
      </c>
      <c r="J615" s="4">
        <f>IFERROR(__xludf.DUMMYFUNCTION("""COMPUTED_VALUE"""),75.48)</f>
        <v>75.48</v>
      </c>
      <c r="K615" s="4">
        <f>IFERROR(__xludf.DUMMYFUNCTION("""COMPUTED_VALUE"""),75.48)</f>
        <v>75.48</v>
      </c>
    </row>
    <row r="616" ht="22.5" customHeight="1">
      <c r="A616" s="2" t="str">
        <f>IFERROR(__xludf.DUMMYFUNCTION("""COMPUTED_VALUE"""),"L2")</f>
        <v>L2</v>
      </c>
      <c r="B616" s="2" t="str">
        <f>IFERROR(__xludf.DUMMYFUNCTION("""COMPUTED_VALUE"""),"2026-03")</f>
        <v>2026-03</v>
      </c>
      <c r="C616" s="2" t="str">
        <f>IFERROR(__xludf.DUMMYFUNCTION("""COMPUTED_VALUE"""),"SEAT-SUV - LX")</f>
        <v>SEAT-SUV - LX</v>
      </c>
      <c r="D616" s="2">
        <f>IFERROR(__xludf.DUMMYFUNCTION("""COMPUTED_VALUE"""),0.0)</f>
        <v>0</v>
      </c>
      <c r="E616" s="2">
        <f>IFERROR(__xludf.DUMMYFUNCTION("""COMPUTED_VALUE"""),0.0)</f>
        <v>0</v>
      </c>
      <c r="F616" s="4">
        <f>IFERROR(__xludf.DUMMYFUNCTION("""COMPUTED_VALUE"""),0.0)</f>
        <v>0</v>
      </c>
      <c r="G616" s="4">
        <f>IFERROR(__xludf.DUMMYFUNCTION("""COMPUTED_VALUE"""),0.0)</f>
        <v>0</v>
      </c>
      <c r="H616" s="9">
        <f>IFERROR(__xludf.DUMMYFUNCTION("""COMPUTED_VALUE"""),1.1)</f>
        <v>1.1</v>
      </c>
      <c r="I616" s="4">
        <f>IFERROR(__xludf.DUMMYFUNCTION("""COMPUTED_VALUE"""),0.0)</f>
        <v>0</v>
      </c>
      <c r="J616" s="4">
        <f>IFERROR(__xludf.DUMMYFUNCTION("""COMPUTED_VALUE"""),75.48)</f>
        <v>75.48</v>
      </c>
      <c r="K616" s="4">
        <f>IFERROR(__xludf.DUMMYFUNCTION("""COMPUTED_VALUE"""),75.48)</f>
        <v>75.48</v>
      </c>
    </row>
    <row r="617" ht="22.5" customHeight="1">
      <c r="A617" s="2" t="str">
        <f>IFERROR(__xludf.DUMMYFUNCTION("""COMPUTED_VALUE"""),"L2")</f>
        <v>L2</v>
      </c>
      <c r="B617" s="2" t="str">
        <f>IFERROR(__xludf.DUMMYFUNCTION("""COMPUTED_VALUE"""),"2026-04")</f>
        <v>2026-04</v>
      </c>
      <c r="C617" s="2" t="str">
        <f>IFERROR(__xludf.DUMMYFUNCTION("""COMPUTED_VALUE"""),"SEAT-SUV - LX")</f>
        <v>SEAT-SUV - LX</v>
      </c>
      <c r="D617" s="2">
        <f>IFERROR(__xludf.DUMMYFUNCTION("""COMPUTED_VALUE"""),0.0)</f>
        <v>0</v>
      </c>
      <c r="E617" s="2">
        <f>IFERROR(__xludf.DUMMYFUNCTION("""COMPUTED_VALUE"""),0.0)</f>
        <v>0</v>
      </c>
      <c r="F617" s="4">
        <f>IFERROR(__xludf.DUMMYFUNCTION("""COMPUTED_VALUE"""),0.0)</f>
        <v>0</v>
      </c>
      <c r="G617" s="4">
        <f>IFERROR(__xludf.DUMMYFUNCTION("""COMPUTED_VALUE"""),0.0)</f>
        <v>0</v>
      </c>
      <c r="H617" s="9">
        <f>IFERROR(__xludf.DUMMYFUNCTION("""COMPUTED_VALUE"""),1.1)</f>
        <v>1.1</v>
      </c>
      <c r="I617" s="4">
        <f>IFERROR(__xludf.DUMMYFUNCTION("""COMPUTED_VALUE"""),0.0)</f>
        <v>0</v>
      </c>
      <c r="J617" s="4">
        <f>IFERROR(__xludf.DUMMYFUNCTION("""COMPUTED_VALUE"""),75.48)</f>
        <v>75.48</v>
      </c>
      <c r="K617" s="4">
        <f>IFERROR(__xludf.DUMMYFUNCTION("""COMPUTED_VALUE"""),75.48)</f>
        <v>75.48</v>
      </c>
    </row>
    <row r="618" ht="22.5" customHeight="1">
      <c r="A618" s="2" t="str">
        <f>IFERROR(__xludf.DUMMYFUNCTION("""COMPUTED_VALUE"""),"L2")</f>
        <v>L2</v>
      </c>
      <c r="B618" s="2" t="str">
        <f>IFERROR(__xludf.DUMMYFUNCTION("""COMPUTED_VALUE"""),"2026-05")</f>
        <v>2026-05</v>
      </c>
      <c r="C618" s="2" t="str">
        <f>IFERROR(__xludf.DUMMYFUNCTION("""COMPUTED_VALUE"""),"SEAT-SUV - LX")</f>
        <v>SEAT-SUV - LX</v>
      </c>
      <c r="D618" s="2">
        <f>IFERROR(__xludf.DUMMYFUNCTION("""COMPUTED_VALUE"""),0.0)</f>
        <v>0</v>
      </c>
      <c r="E618" s="2">
        <f>IFERROR(__xludf.DUMMYFUNCTION("""COMPUTED_VALUE"""),0.0)</f>
        <v>0</v>
      </c>
      <c r="F618" s="4">
        <f>IFERROR(__xludf.DUMMYFUNCTION("""COMPUTED_VALUE"""),0.0)</f>
        <v>0</v>
      </c>
      <c r="G618" s="4">
        <f>IFERROR(__xludf.DUMMYFUNCTION("""COMPUTED_VALUE"""),0.0)</f>
        <v>0</v>
      </c>
      <c r="H618" s="9">
        <f>IFERROR(__xludf.DUMMYFUNCTION("""COMPUTED_VALUE"""),1.1)</f>
        <v>1.1</v>
      </c>
      <c r="I618" s="4">
        <f>IFERROR(__xludf.DUMMYFUNCTION("""COMPUTED_VALUE"""),0.0)</f>
        <v>0</v>
      </c>
      <c r="J618" s="4">
        <f>IFERROR(__xludf.DUMMYFUNCTION("""COMPUTED_VALUE"""),75.48)</f>
        <v>75.48</v>
      </c>
      <c r="K618" s="4">
        <f>IFERROR(__xludf.DUMMYFUNCTION("""COMPUTED_VALUE"""),75.48)</f>
        <v>75.48</v>
      </c>
    </row>
    <row r="619" ht="22.5" customHeight="1">
      <c r="A619" s="2" t="str">
        <f>IFERROR(__xludf.DUMMYFUNCTION("""COMPUTED_VALUE"""),"L2")</f>
        <v>L2</v>
      </c>
      <c r="B619" s="2" t="str">
        <f>IFERROR(__xludf.DUMMYFUNCTION("""COMPUTED_VALUE"""),"2026-06")</f>
        <v>2026-06</v>
      </c>
      <c r="C619" s="2" t="str">
        <f>IFERROR(__xludf.DUMMYFUNCTION("""COMPUTED_VALUE"""),"SEAT-SUV - LX")</f>
        <v>SEAT-SUV - LX</v>
      </c>
      <c r="D619" s="2">
        <f>IFERROR(__xludf.DUMMYFUNCTION("""COMPUTED_VALUE"""),0.0)</f>
        <v>0</v>
      </c>
      <c r="E619" s="2">
        <f>IFERROR(__xludf.DUMMYFUNCTION("""COMPUTED_VALUE"""),0.0)</f>
        <v>0</v>
      </c>
      <c r="F619" s="4">
        <f>IFERROR(__xludf.DUMMYFUNCTION("""COMPUTED_VALUE"""),0.0)</f>
        <v>0</v>
      </c>
      <c r="G619" s="4">
        <f>IFERROR(__xludf.DUMMYFUNCTION("""COMPUTED_VALUE"""),0.0)</f>
        <v>0</v>
      </c>
      <c r="H619" s="9">
        <f>IFERROR(__xludf.DUMMYFUNCTION("""COMPUTED_VALUE"""),1.1)</f>
        <v>1.1</v>
      </c>
      <c r="I619" s="4">
        <f>IFERROR(__xludf.DUMMYFUNCTION("""COMPUTED_VALUE"""),0.0)</f>
        <v>0</v>
      </c>
      <c r="J619" s="4">
        <f>IFERROR(__xludf.DUMMYFUNCTION("""COMPUTED_VALUE"""),75.48)</f>
        <v>75.48</v>
      </c>
      <c r="K619" s="4">
        <f>IFERROR(__xludf.DUMMYFUNCTION("""COMPUTED_VALUE"""),75.48)</f>
        <v>75.48</v>
      </c>
    </row>
    <row r="620" ht="22.5" customHeight="1">
      <c r="A620" s="2" t="str">
        <f>IFERROR(__xludf.DUMMYFUNCTION("""COMPUTED_VALUE"""),"L2")</f>
        <v>L2</v>
      </c>
      <c r="B620" s="2" t="str">
        <f>IFERROR(__xludf.DUMMYFUNCTION("""COMPUTED_VALUE"""),"2026-07")</f>
        <v>2026-07</v>
      </c>
      <c r="C620" s="2" t="str">
        <f>IFERROR(__xludf.DUMMYFUNCTION("""COMPUTED_VALUE"""),"SEAT-SUV - LX")</f>
        <v>SEAT-SUV - LX</v>
      </c>
      <c r="D620" s="2">
        <f>IFERROR(__xludf.DUMMYFUNCTION("""COMPUTED_VALUE"""),0.0)</f>
        <v>0</v>
      </c>
      <c r="E620" s="2">
        <f>IFERROR(__xludf.DUMMYFUNCTION("""COMPUTED_VALUE"""),0.0)</f>
        <v>0</v>
      </c>
      <c r="F620" s="4">
        <f>IFERROR(__xludf.DUMMYFUNCTION("""COMPUTED_VALUE"""),0.0)</f>
        <v>0</v>
      </c>
      <c r="G620" s="4">
        <f>IFERROR(__xludf.DUMMYFUNCTION("""COMPUTED_VALUE"""),0.0)</f>
        <v>0</v>
      </c>
      <c r="H620" s="9">
        <f>IFERROR(__xludf.DUMMYFUNCTION("""COMPUTED_VALUE"""),1.1)</f>
        <v>1.1</v>
      </c>
      <c r="I620" s="4">
        <f>IFERROR(__xludf.DUMMYFUNCTION("""COMPUTED_VALUE"""),0.0)</f>
        <v>0</v>
      </c>
      <c r="J620" s="4">
        <f>IFERROR(__xludf.DUMMYFUNCTION("""COMPUTED_VALUE"""),75.48)</f>
        <v>75.48</v>
      </c>
      <c r="K620" s="4">
        <f>IFERROR(__xludf.DUMMYFUNCTION("""COMPUTED_VALUE"""),75.48)</f>
        <v>75.48</v>
      </c>
    </row>
    <row r="621" ht="22.5" customHeight="1">
      <c r="A621" s="2" t="str">
        <f>IFERROR(__xludf.DUMMYFUNCTION("""COMPUTED_VALUE"""),"L2")</f>
        <v>L2</v>
      </c>
      <c r="B621" s="2" t="str">
        <f>IFERROR(__xludf.DUMMYFUNCTION("""COMPUTED_VALUE"""),"2026-08")</f>
        <v>2026-08</v>
      </c>
      <c r="C621" s="2" t="str">
        <f>IFERROR(__xludf.DUMMYFUNCTION("""COMPUTED_VALUE"""),"SEAT-SUV - LX")</f>
        <v>SEAT-SUV - LX</v>
      </c>
      <c r="D621" s="2">
        <f>IFERROR(__xludf.DUMMYFUNCTION("""COMPUTED_VALUE"""),0.0)</f>
        <v>0</v>
      </c>
      <c r="E621" s="2">
        <f>IFERROR(__xludf.DUMMYFUNCTION("""COMPUTED_VALUE"""),0.0)</f>
        <v>0</v>
      </c>
      <c r="F621" s="4">
        <f>IFERROR(__xludf.DUMMYFUNCTION("""COMPUTED_VALUE"""),0.0)</f>
        <v>0</v>
      </c>
      <c r="G621" s="4">
        <f>IFERROR(__xludf.DUMMYFUNCTION("""COMPUTED_VALUE"""),0.0)</f>
        <v>0</v>
      </c>
      <c r="H621" s="9">
        <f>IFERROR(__xludf.DUMMYFUNCTION("""COMPUTED_VALUE"""),1.1)</f>
        <v>1.1</v>
      </c>
      <c r="I621" s="4">
        <f>IFERROR(__xludf.DUMMYFUNCTION("""COMPUTED_VALUE"""),0.0)</f>
        <v>0</v>
      </c>
      <c r="J621" s="4">
        <f>IFERROR(__xludf.DUMMYFUNCTION("""COMPUTED_VALUE"""),75.48)</f>
        <v>75.48</v>
      </c>
      <c r="K621" s="4">
        <f>IFERROR(__xludf.DUMMYFUNCTION("""COMPUTED_VALUE"""),75.48)</f>
        <v>75.48</v>
      </c>
    </row>
    <row r="622" ht="22.5" customHeight="1">
      <c r="A622" s="2" t="str">
        <f>IFERROR(__xludf.DUMMYFUNCTION("""COMPUTED_VALUE"""),"L2")</f>
        <v>L2</v>
      </c>
      <c r="B622" s="2" t="str">
        <f>IFERROR(__xludf.DUMMYFUNCTION("""COMPUTED_VALUE"""),"2026-09")</f>
        <v>2026-09</v>
      </c>
      <c r="C622" s="2" t="str">
        <f>IFERROR(__xludf.DUMMYFUNCTION("""COMPUTED_VALUE"""),"SEAT-SUV - LX")</f>
        <v>SEAT-SUV - LX</v>
      </c>
      <c r="D622" s="2">
        <f>IFERROR(__xludf.DUMMYFUNCTION("""COMPUTED_VALUE"""),0.0)</f>
        <v>0</v>
      </c>
      <c r="E622" s="2">
        <f>IFERROR(__xludf.DUMMYFUNCTION("""COMPUTED_VALUE"""),0.0)</f>
        <v>0</v>
      </c>
      <c r="F622" s="4">
        <f>IFERROR(__xludf.DUMMYFUNCTION("""COMPUTED_VALUE"""),0.0)</f>
        <v>0</v>
      </c>
      <c r="G622" s="4">
        <f>IFERROR(__xludf.DUMMYFUNCTION("""COMPUTED_VALUE"""),0.0)</f>
        <v>0</v>
      </c>
      <c r="H622" s="9">
        <f>IFERROR(__xludf.DUMMYFUNCTION("""COMPUTED_VALUE"""),1.1)</f>
        <v>1.1</v>
      </c>
      <c r="I622" s="4">
        <f>IFERROR(__xludf.DUMMYFUNCTION("""COMPUTED_VALUE"""),0.0)</f>
        <v>0</v>
      </c>
      <c r="J622" s="4">
        <f>IFERROR(__xludf.DUMMYFUNCTION("""COMPUTED_VALUE"""),75.48)</f>
        <v>75.48</v>
      </c>
      <c r="K622" s="4">
        <f>IFERROR(__xludf.DUMMYFUNCTION("""COMPUTED_VALUE"""),75.48)</f>
        <v>75.48</v>
      </c>
    </row>
    <row r="623" ht="22.5" customHeight="1">
      <c r="A623" s="2" t="str">
        <f>IFERROR(__xludf.DUMMYFUNCTION("""COMPUTED_VALUE"""),"L2")</f>
        <v>L2</v>
      </c>
      <c r="B623" s="2" t="str">
        <f>IFERROR(__xludf.DUMMYFUNCTION("""COMPUTED_VALUE"""),"2026-10")</f>
        <v>2026-10</v>
      </c>
      <c r="C623" s="2" t="str">
        <f>IFERROR(__xludf.DUMMYFUNCTION("""COMPUTED_VALUE"""),"SEAT-SUV - LX")</f>
        <v>SEAT-SUV - LX</v>
      </c>
      <c r="D623" s="2">
        <f>IFERROR(__xludf.DUMMYFUNCTION("""COMPUTED_VALUE"""),0.0)</f>
        <v>0</v>
      </c>
      <c r="E623" s="2">
        <f>IFERROR(__xludf.DUMMYFUNCTION("""COMPUTED_VALUE"""),0.0)</f>
        <v>0</v>
      </c>
      <c r="F623" s="4">
        <f>IFERROR(__xludf.DUMMYFUNCTION("""COMPUTED_VALUE"""),0.0)</f>
        <v>0</v>
      </c>
      <c r="G623" s="4">
        <f>IFERROR(__xludf.DUMMYFUNCTION("""COMPUTED_VALUE"""),0.0)</f>
        <v>0</v>
      </c>
      <c r="H623" s="9">
        <f>IFERROR(__xludf.DUMMYFUNCTION("""COMPUTED_VALUE"""),1.1)</f>
        <v>1.1</v>
      </c>
      <c r="I623" s="4">
        <f>IFERROR(__xludf.DUMMYFUNCTION("""COMPUTED_VALUE"""),0.0)</f>
        <v>0</v>
      </c>
      <c r="J623" s="4">
        <f>IFERROR(__xludf.DUMMYFUNCTION("""COMPUTED_VALUE"""),75.48)</f>
        <v>75.48</v>
      </c>
      <c r="K623" s="4">
        <f>IFERROR(__xludf.DUMMYFUNCTION("""COMPUTED_VALUE"""),75.48)</f>
        <v>75.48</v>
      </c>
    </row>
    <row r="624" ht="22.5" customHeight="1">
      <c r="A624" s="2" t="str">
        <f>IFERROR(__xludf.DUMMYFUNCTION("""COMPUTED_VALUE"""),"L2")</f>
        <v>L2</v>
      </c>
      <c r="B624" s="2" t="str">
        <f>IFERROR(__xludf.DUMMYFUNCTION("""COMPUTED_VALUE"""),"2026-11")</f>
        <v>2026-11</v>
      </c>
      <c r="C624" s="2" t="str">
        <f>IFERROR(__xludf.DUMMYFUNCTION("""COMPUTED_VALUE"""),"SEAT-SUV - LX")</f>
        <v>SEAT-SUV - LX</v>
      </c>
      <c r="D624" s="2">
        <f>IFERROR(__xludf.DUMMYFUNCTION("""COMPUTED_VALUE"""),0.0)</f>
        <v>0</v>
      </c>
      <c r="E624" s="2">
        <f>IFERROR(__xludf.DUMMYFUNCTION("""COMPUTED_VALUE"""),0.0)</f>
        <v>0</v>
      </c>
      <c r="F624" s="4">
        <f>IFERROR(__xludf.DUMMYFUNCTION("""COMPUTED_VALUE"""),0.0)</f>
        <v>0</v>
      </c>
      <c r="G624" s="4">
        <f>IFERROR(__xludf.DUMMYFUNCTION("""COMPUTED_VALUE"""),0.0)</f>
        <v>0</v>
      </c>
      <c r="H624" s="9">
        <f>IFERROR(__xludf.DUMMYFUNCTION("""COMPUTED_VALUE"""),1.1)</f>
        <v>1.1</v>
      </c>
      <c r="I624" s="4">
        <f>IFERROR(__xludf.DUMMYFUNCTION("""COMPUTED_VALUE"""),0.0)</f>
        <v>0</v>
      </c>
      <c r="J624" s="4">
        <f>IFERROR(__xludf.DUMMYFUNCTION("""COMPUTED_VALUE"""),75.48)</f>
        <v>75.48</v>
      </c>
      <c r="K624" s="4">
        <f>IFERROR(__xludf.DUMMYFUNCTION("""COMPUTED_VALUE"""),75.48)</f>
        <v>75.48</v>
      </c>
    </row>
    <row r="625" ht="22.5" customHeight="1">
      <c r="A625" s="2" t="str">
        <f>IFERROR(__xludf.DUMMYFUNCTION("""COMPUTED_VALUE"""),"L2")</f>
        <v>L2</v>
      </c>
      <c r="B625" s="2" t="str">
        <f>IFERROR(__xludf.DUMMYFUNCTION("""COMPUTED_VALUE"""),"2026-12")</f>
        <v>2026-12</v>
      </c>
      <c r="C625" s="2" t="str">
        <f>IFERROR(__xludf.DUMMYFUNCTION("""COMPUTED_VALUE"""),"SEAT-SUV - LX")</f>
        <v>SEAT-SUV - LX</v>
      </c>
      <c r="D625" s="2">
        <f>IFERROR(__xludf.DUMMYFUNCTION("""COMPUTED_VALUE"""),0.0)</f>
        <v>0</v>
      </c>
      <c r="E625" s="2">
        <f>IFERROR(__xludf.DUMMYFUNCTION("""COMPUTED_VALUE"""),0.0)</f>
        <v>0</v>
      </c>
      <c r="F625" s="4">
        <f>IFERROR(__xludf.DUMMYFUNCTION("""COMPUTED_VALUE"""),0.0)</f>
        <v>0</v>
      </c>
      <c r="G625" s="4">
        <f>IFERROR(__xludf.DUMMYFUNCTION("""COMPUTED_VALUE"""),0.0)</f>
        <v>0</v>
      </c>
      <c r="H625" s="9">
        <f>IFERROR(__xludf.DUMMYFUNCTION("""COMPUTED_VALUE"""),1.1)</f>
        <v>1.1</v>
      </c>
      <c r="I625" s="4">
        <f>IFERROR(__xludf.DUMMYFUNCTION("""COMPUTED_VALUE"""),0.0)</f>
        <v>0</v>
      </c>
      <c r="J625" s="4">
        <f>IFERROR(__xludf.DUMMYFUNCTION("""COMPUTED_VALUE"""),75.48)</f>
        <v>75.48</v>
      </c>
      <c r="K625" s="4">
        <f>IFERROR(__xludf.DUMMYFUNCTION("""COMPUTED_VALUE"""),75.48)</f>
        <v>75.48</v>
      </c>
    </row>
    <row r="626" ht="22.5" customHeight="1">
      <c r="A626" s="2" t="str">
        <f>IFERROR(__xludf.DUMMYFUNCTION("""COMPUTED_VALUE"""),"L2")</f>
        <v>L2</v>
      </c>
      <c r="B626" s="2" t="str">
        <f>IFERROR(__xludf.DUMMYFUNCTION("""COMPUTED_VALUE"""),"2026-01")</f>
        <v>2026-01</v>
      </c>
      <c r="C626" s="2" t="str">
        <f>IFERROR(__xludf.DUMMYFUNCTION("""COMPUTED_VALUE"""),"SYNC-SD")</f>
        <v>SYNC-SD</v>
      </c>
      <c r="D626" s="2">
        <f>IFERROR(__xludf.DUMMYFUNCTION("""COMPUTED_VALUE"""),0.0)</f>
        <v>0</v>
      </c>
      <c r="E626" s="2">
        <f>IFERROR(__xludf.DUMMYFUNCTION("""COMPUTED_VALUE"""),0.0)</f>
        <v>0</v>
      </c>
      <c r="F626" s="4">
        <f>IFERROR(__xludf.DUMMYFUNCTION("""COMPUTED_VALUE"""),0.0)</f>
        <v>0</v>
      </c>
      <c r="G626" s="4">
        <f>IFERROR(__xludf.DUMMYFUNCTION("""COMPUTED_VALUE"""),0.0)</f>
        <v>0</v>
      </c>
      <c r="H626" s="9">
        <f>IFERROR(__xludf.DUMMYFUNCTION("""COMPUTED_VALUE"""),1.1)</f>
        <v>1.1</v>
      </c>
      <c r="I626" s="4">
        <f>IFERROR(__xludf.DUMMYFUNCTION("""COMPUTED_VALUE"""),0.0)</f>
        <v>0</v>
      </c>
      <c r="J626" s="4">
        <f>IFERROR(__xludf.DUMMYFUNCTION("""COMPUTED_VALUE"""),14964.4)</f>
        <v>14964.4</v>
      </c>
      <c r="K626" s="4">
        <f>IFERROR(__xludf.DUMMYFUNCTION("""COMPUTED_VALUE"""),14964.4)</f>
        <v>14964.4</v>
      </c>
    </row>
    <row r="627" ht="22.5" customHeight="1">
      <c r="A627" s="2" t="str">
        <f>IFERROR(__xludf.DUMMYFUNCTION("""COMPUTED_VALUE"""),"L2")</f>
        <v>L2</v>
      </c>
      <c r="B627" s="2" t="str">
        <f>IFERROR(__xludf.DUMMYFUNCTION("""COMPUTED_VALUE"""),"2026-02")</f>
        <v>2026-02</v>
      </c>
      <c r="C627" s="2" t="str">
        <f>IFERROR(__xludf.DUMMYFUNCTION("""COMPUTED_VALUE"""),"SYNC-SD")</f>
        <v>SYNC-SD</v>
      </c>
      <c r="D627" s="2">
        <f>IFERROR(__xludf.DUMMYFUNCTION("""COMPUTED_VALUE"""),0.0)</f>
        <v>0</v>
      </c>
      <c r="E627" s="2">
        <f>IFERROR(__xludf.DUMMYFUNCTION("""COMPUTED_VALUE"""),0.0)</f>
        <v>0</v>
      </c>
      <c r="F627" s="4">
        <f>IFERROR(__xludf.DUMMYFUNCTION("""COMPUTED_VALUE"""),0.0)</f>
        <v>0</v>
      </c>
      <c r="G627" s="4">
        <f>IFERROR(__xludf.DUMMYFUNCTION("""COMPUTED_VALUE"""),0.0)</f>
        <v>0</v>
      </c>
      <c r="H627" s="9">
        <f>IFERROR(__xludf.DUMMYFUNCTION("""COMPUTED_VALUE"""),1.1)</f>
        <v>1.1</v>
      </c>
      <c r="I627" s="4">
        <f>IFERROR(__xludf.DUMMYFUNCTION("""COMPUTED_VALUE"""),0.0)</f>
        <v>0</v>
      </c>
      <c r="J627" s="4">
        <f>IFERROR(__xludf.DUMMYFUNCTION("""COMPUTED_VALUE"""),0.0)</f>
        <v>0</v>
      </c>
      <c r="K627" s="4">
        <f>IFERROR(__xludf.DUMMYFUNCTION("""COMPUTED_VALUE"""),0.0)</f>
        <v>0</v>
      </c>
    </row>
    <row r="628" ht="22.5" customHeight="1">
      <c r="A628" s="2" t="str">
        <f>IFERROR(__xludf.DUMMYFUNCTION("""COMPUTED_VALUE"""),"L2")</f>
        <v>L2</v>
      </c>
      <c r="B628" s="2" t="str">
        <f>IFERROR(__xludf.DUMMYFUNCTION("""COMPUTED_VALUE"""),"2026-03")</f>
        <v>2026-03</v>
      </c>
      <c r="C628" s="2" t="str">
        <f>IFERROR(__xludf.DUMMYFUNCTION("""COMPUTED_VALUE"""),"SYNC-SD")</f>
        <v>SYNC-SD</v>
      </c>
      <c r="D628" s="2">
        <f>IFERROR(__xludf.DUMMYFUNCTION("""COMPUTED_VALUE"""),0.0)</f>
        <v>0</v>
      </c>
      <c r="E628" s="2">
        <f>IFERROR(__xludf.DUMMYFUNCTION("""COMPUTED_VALUE"""),0.0)</f>
        <v>0</v>
      </c>
      <c r="F628" s="4">
        <f>IFERROR(__xludf.DUMMYFUNCTION("""COMPUTED_VALUE"""),0.0)</f>
        <v>0</v>
      </c>
      <c r="G628" s="4">
        <f>IFERROR(__xludf.DUMMYFUNCTION("""COMPUTED_VALUE"""),0.0)</f>
        <v>0</v>
      </c>
      <c r="H628" s="9">
        <f>IFERROR(__xludf.DUMMYFUNCTION("""COMPUTED_VALUE"""),1.1)</f>
        <v>1.1</v>
      </c>
      <c r="I628" s="4">
        <f>IFERROR(__xludf.DUMMYFUNCTION("""COMPUTED_VALUE"""),0.0)</f>
        <v>0</v>
      </c>
      <c r="J628" s="4">
        <f>IFERROR(__xludf.DUMMYFUNCTION("""COMPUTED_VALUE"""),0.0)</f>
        <v>0</v>
      </c>
      <c r="K628" s="4">
        <f>IFERROR(__xludf.DUMMYFUNCTION("""COMPUTED_VALUE"""),0.0)</f>
        <v>0</v>
      </c>
    </row>
    <row r="629" ht="22.5" customHeight="1">
      <c r="A629" s="2" t="str">
        <f>IFERROR(__xludf.DUMMYFUNCTION("""COMPUTED_VALUE"""),"L2")</f>
        <v>L2</v>
      </c>
      <c r="B629" s="2" t="str">
        <f>IFERROR(__xludf.DUMMYFUNCTION("""COMPUTED_VALUE"""),"2026-04")</f>
        <v>2026-04</v>
      </c>
      <c r="C629" s="2" t="str">
        <f>IFERROR(__xludf.DUMMYFUNCTION("""COMPUTED_VALUE"""),"SYNC-SD")</f>
        <v>SYNC-SD</v>
      </c>
      <c r="D629" s="2">
        <f>IFERROR(__xludf.DUMMYFUNCTION("""COMPUTED_VALUE"""),0.0)</f>
        <v>0</v>
      </c>
      <c r="E629" s="2">
        <f>IFERROR(__xludf.DUMMYFUNCTION("""COMPUTED_VALUE"""),0.0)</f>
        <v>0</v>
      </c>
      <c r="F629" s="4">
        <f>IFERROR(__xludf.DUMMYFUNCTION("""COMPUTED_VALUE"""),0.0)</f>
        <v>0</v>
      </c>
      <c r="G629" s="4">
        <f>IFERROR(__xludf.DUMMYFUNCTION("""COMPUTED_VALUE"""),0.0)</f>
        <v>0</v>
      </c>
      <c r="H629" s="9">
        <f>IFERROR(__xludf.DUMMYFUNCTION("""COMPUTED_VALUE"""),1.1)</f>
        <v>1.1</v>
      </c>
      <c r="I629" s="4">
        <f>IFERROR(__xludf.DUMMYFUNCTION("""COMPUTED_VALUE"""),0.0)</f>
        <v>0</v>
      </c>
      <c r="J629" s="4">
        <f>IFERROR(__xludf.DUMMYFUNCTION("""COMPUTED_VALUE"""),0.0)</f>
        <v>0</v>
      </c>
      <c r="K629" s="4">
        <f>IFERROR(__xludf.DUMMYFUNCTION("""COMPUTED_VALUE"""),0.0)</f>
        <v>0</v>
      </c>
    </row>
    <row r="630" ht="22.5" customHeight="1">
      <c r="A630" s="2" t="str">
        <f>IFERROR(__xludf.DUMMYFUNCTION("""COMPUTED_VALUE"""),"L2")</f>
        <v>L2</v>
      </c>
      <c r="B630" s="2" t="str">
        <f>IFERROR(__xludf.DUMMYFUNCTION("""COMPUTED_VALUE"""),"2026-05")</f>
        <v>2026-05</v>
      </c>
      <c r="C630" s="2" t="str">
        <f>IFERROR(__xludf.DUMMYFUNCTION("""COMPUTED_VALUE"""),"SYNC-SD")</f>
        <v>SYNC-SD</v>
      </c>
      <c r="D630" s="2">
        <f>IFERROR(__xludf.DUMMYFUNCTION("""COMPUTED_VALUE"""),0.0)</f>
        <v>0</v>
      </c>
      <c r="E630" s="2">
        <f>IFERROR(__xludf.DUMMYFUNCTION("""COMPUTED_VALUE"""),0.0)</f>
        <v>0</v>
      </c>
      <c r="F630" s="4">
        <f>IFERROR(__xludf.DUMMYFUNCTION("""COMPUTED_VALUE"""),0.0)</f>
        <v>0</v>
      </c>
      <c r="G630" s="4">
        <f>IFERROR(__xludf.DUMMYFUNCTION("""COMPUTED_VALUE"""),0.0)</f>
        <v>0</v>
      </c>
      <c r="H630" s="9">
        <f>IFERROR(__xludf.DUMMYFUNCTION("""COMPUTED_VALUE"""),1.1)</f>
        <v>1.1</v>
      </c>
      <c r="I630" s="4">
        <f>IFERROR(__xludf.DUMMYFUNCTION("""COMPUTED_VALUE"""),0.0)</f>
        <v>0</v>
      </c>
      <c r="J630" s="4">
        <f>IFERROR(__xludf.DUMMYFUNCTION("""COMPUTED_VALUE"""),0.0)</f>
        <v>0</v>
      </c>
      <c r="K630" s="4">
        <f>IFERROR(__xludf.DUMMYFUNCTION("""COMPUTED_VALUE"""),0.0)</f>
        <v>0</v>
      </c>
    </row>
    <row r="631" ht="22.5" customHeight="1">
      <c r="A631" s="2" t="str">
        <f>IFERROR(__xludf.DUMMYFUNCTION("""COMPUTED_VALUE"""),"L2")</f>
        <v>L2</v>
      </c>
      <c r="B631" s="2" t="str">
        <f>IFERROR(__xludf.DUMMYFUNCTION("""COMPUTED_VALUE"""),"2026-06")</f>
        <v>2026-06</v>
      </c>
      <c r="C631" s="2" t="str">
        <f>IFERROR(__xludf.DUMMYFUNCTION("""COMPUTED_VALUE"""),"SYNC-SD")</f>
        <v>SYNC-SD</v>
      </c>
      <c r="D631" s="2">
        <f>IFERROR(__xludf.DUMMYFUNCTION("""COMPUTED_VALUE"""),0.0)</f>
        <v>0</v>
      </c>
      <c r="E631" s="2">
        <f>IFERROR(__xludf.DUMMYFUNCTION("""COMPUTED_VALUE"""),0.0)</f>
        <v>0</v>
      </c>
      <c r="F631" s="4">
        <f>IFERROR(__xludf.DUMMYFUNCTION("""COMPUTED_VALUE"""),0.0)</f>
        <v>0</v>
      </c>
      <c r="G631" s="4">
        <f>IFERROR(__xludf.DUMMYFUNCTION("""COMPUTED_VALUE"""),0.0)</f>
        <v>0</v>
      </c>
      <c r="H631" s="9">
        <f>IFERROR(__xludf.DUMMYFUNCTION("""COMPUTED_VALUE"""),1.1)</f>
        <v>1.1</v>
      </c>
      <c r="I631" s="4">
        <f>IFERROR(__xludf.DUMMYFUNCTION("""COMPUTED_VALUE"""),0.0)</f>
        <v>0</v>
      </c>
      <c r="J631" s="4">
        <f>IFERROR(__xludf.DUMMYFUNCTION("""COMPUTED_VALUE"""),0.0)</f>
        <v>0</v>
      </c>
      <c r="K631" s="4">
        <f>IFERROR(__xludf.DUMMYFUNCTION("""COMPUTED_VALUE"""),0.0)</f>
        <v>0</v>
      </c>
    </row>
    <row r="632" ht="22.5" customHeight="1">
      <c r="A632" s="2" t="str">
        <f>IFERROR(__xludf.DUMMYFUNCTION("""COMPUTED_VALUE"""),"L2")</f>
        <v>L2</v>
      </c>
      <c r="B632" s="2" t="str">
        <f>IFERROR(__xludf.DUMMYFUNCTION("""COMPUTED_VALUE"""),"2026-07")</f>
        <v>2026-07</v>
      </c>
      <c r="C632" s="2" t="str">
        <f>IFERROR(__xludf.DUMMYFUNCTION("""COMPUTED_VALUE"""),"SYNC-SD")</f>
        <v>SYNC-SD</v>
      </c>
      <c r="D632" s="2">
        <f>IFERROR(__xludf.DUMMYFUNCTION("""COMPUTED_VALUE"""),0.0)</f>
        <v>0</v>
      </c>
      <c r="E632" s="2">
        <f>IFERROR(__xludf.DUMMYFUNCTION("""COMPUTED_VALUE"""),0.0)</f>
        <v>0</v>
      </c>
      <c r="F632" s="4">
        <f>IFERROR(__xludf.DUMMYFUNCTION("""COMPUTED_VALUE"""),0.0)</f>
        <v>0</v>
      </c>
      <c r="G632" s="4">
        <f>IFERROR(__xludf.DUMMYFUNCTION("""COMPUTED_VALUE"""),0.0)</f>
        <v>0</v>
      </c>
      <c r="H632" s="9">
        <f>IFERROR(__xludf.DUMMYFUNCTION("""COMPUTED_VALUE"""),1.1)</f>
        <v>1.1</v>
      </c>
      <c r="I632" s="4">
        <f>IFERROR(__xludf.DUMMYFUNCTION("""COMPUTED_VALUE"""),0.0)</f>
        <v>0</v>
      </c>
      <c r="J632" s="4">
        <f>IFERROR(__xludf.DUMMYFUNCTION("""COMPUTED_VALUE"""),0.0)</f>
        <v>0</v>
      </c>
      <c r="K632" s="4">
        <f>IFERROR(__xludf.DUMMYFUNCTION("""COMPUTED_VALUE"""),0.0)</f>
        <v>0</v>
      </c>
    </row>
    <row r="633" ht="22.5" customHeight="1">
      <c r="A633" s="2" t="str">
        <f>IFERROR(__xludf.DUMMYFUNCTION("""COMPUTED_VALUE"""),"L2")</f>
        <v>L2</v>
      </c>
      <c r="B633" s="2" t="str">
        <f>IFERROR(__xludf.DUMMYFUNCTION("""COMPUTED_VALUE"""),"2026-08")</f>
        <v>2026-08</v>
      </c>
      <c r="C633" s="2" t="str">
        <f>IFERROR(__xludf.DUMMYFUNCTION("""COMPUTED_VALUE"""),"SYNC-SD")</f>
        <v>SYNC-SD</v>
      </c>
      <c r="D633" s="2">
        <f>IFERROR(__xludf.DUMMYFUNCTION("""COMPUTED_VALUE"""),0.0)</f>
        <v>0</v>
      </c>
      <c r="E633" s="2">
        <f>IFERROR(__xludf.DUMMYFUNCTION("""COMPUTED_VALUE"""),0.0)</f>
        <v>0</v>
      </c>
      <c r="F633" s="4">
        <f>IFERROR(__xludf.DUMMYFUNCTION("""COMPUTED_VALUE"""),0.0)</f>
        <v>0</v>
      </c>
      <c r="G633" s="4">
        <f>IFERROR(__xludf.DUMMYFUNCTION("""COMPUTED_VALUE"""),0.0)</f>
        <v>0</v>
      </c>
      <c r="H633" s="9">
        <f>IFERROR(__xludf.DUMMYFUNCTION("""COMPUTED_VALUE"""),1.1)</f>
        <v>1.1</v>
      </c>
      <c r="I633" s="4">
        <f>IFERROR(__xludf.DUMMYFUNCTION("""COMPUTED_VALUE"""),0.0)</f>
        <v>0</v>
      </c>
      <c r="J633" s="4">
        <f>IFERROR(__xludf.DUMMYFUNCTION("""COMPUTED_VALUE"""),0.0)</f>
        <v>0</v>
      </c>
      <c r="K633" s="4">
        <f>IFERROR(__xludf.DUMMYFUNCTION("""COMPUTED_VALUE"""),0.0)</f>
        <v>0</v>
      </c>
    </row>
    <row r="634" ht="22.5" customHeight="1">
      <c r="A634" s="2" t="str">
        <f>IFERROR(__xludf.DUMMYFUNCTION("""COMPUTED_VALUE"""),"L2")</f>
        <v>L2</v>
      </c>
      <c r="B634" s="2" t="str">
        <f>IFERROR(__xludf.DUMMYFUNCTION("""COMPUTED_VALUE"""),"2026-09")</f>
        <v>2026-09</v>
      </c>
      <c r="C634" s="2" t="str">
        <f>IFERROR(__xludf.DUMMYFUNCTION("""COMPUTED_VALUE"""),"SYNC-SD")</f>
        <v>SYNC-SD</v>
      </c>
      <c r="D634" s="2">
        <f>IFERROR(__xludf.DUMMYFUNCTION("""COMPUTED_VALUE"""),0.0)</f>
        <v>0</v>
      </c>
      <c r="E634" s="2">
        <f>IFERROR(__xludf.DUMMYFUNCTION("""COMPUTED_VALUE"""),0.0)</f>
        <v>0</v>
      </c>
      <c r="F634" s="4">
        <f>IFERROR(__xludf.DUMMYFUNCTION("""COMPUTED_VALUE"""),0.0)</f>
        <v>0</v>
      </c>
      <c r="G634" s="4">
        <f>IFERROR(__xludf.DUMMYFUNCTION("""COMPUTED_VALUE"""),0.0)</f>
        <v>0</v>
      </c>
      <c r="H634" s="9">
        <f>IFERROR(__xludf.DUMMYFUNCTION("""COMPUTED_VALUE"""),1.1)</f>
        <v>1.1</v>
      </c>
      <c r="I634" s="4">
        <f>IFERROR(__xludf.DUMMYFUNCTION("""COMPUTED_VALUE"""),0.0)</f>
        <v>0</v>
      </c>
      <c r="J634" s="4">
        <f>IFERROR(__xludf.DUMMYFUNCTION("""COMPUTED_VALUE"""),0.0)</f>
        <v>0</v>
      </c>
      <c r="K634" s="4">
        <f>IFERROR(__xludf.DUMMYFUNCTION("""COMPUTED_VALUE"""),0.0)</f>
        <v>0</v>
      </c>
    </row>
    <row r="635" ht="22.5" customHeight="1">
      <c r="A635" s="2" t="str">
        <f>IFERROR(__xludf.DUMMYFUNCTION("""COMPUTED_VALUE"""),"L2")</f>
        <v>L2</v>
      </c>
      <c r="B635" s="2" t="str">
        <f>IFERROR(__xludf.DUMMYFUNCTION("""COMPUTED_VALUE"""),"2026-10")</f>
        <v>2026-10</v>
      </c>
      <c r="C635" s="2" t="str">
        <f>IFERROR(__xludf.DUMMYFUNCTION("""COMPUTED_VALUE"""),"SYNC-SD")</f>
        <v>SYNC-SD</v>
      </c>
      <c r="D635" s="2">
        <f>IFERROR(__xludf.DUMMYFUNCTION("""COMPUTED_VALUE"""),0.0)</f>
        <v>0</v>
      </c>
      <c r="E635" s="2">
        <f>IFERROR(__xludf.DUMMYFUNCTION("""COMPUTED_VALUE"""),0.0)</f>
        <v>0</v>
      </c>
      <c r="F635" s="4">
        <f>IFERROR(__xludf.DUMMYFUNCTION("""COMPUTED_VALUE"""),0.0)</f>
        <v>0</v>
      </c>
      <c r="G635" s="4">
        <f>IFERROR(__xludf.DUMMYFUNCTION("""COMPUTED_VALUE"""),0.0)</f>
        <v>0</v>
      </c>
      <c r="H635" s="9">
        <f>IFERROR(__xludf.DUMMYFUNCTION("""COMPUTED_VALUE"""),1.1)</f>
        <v>1.1</v>
      </c>
      <c r="I635" s="4">
        <f>IFERROR(__xludf.DUMMYFUNCTION("""COMPUTED_VALUE"""),0.0)</f>
        <v>0</v>
      </c>
      <c r="J635" s="4">
        <f>IFERROR(__xludf.DUMMYFUNCTION("""COMPUTED_VALUE"""),0.0)</f>
        <v>0</v>
      </c>
      <c r="K635" s="4">
        <f>IFERROR(__xludf.DUMMYFUNCTION("""COMPUTED_VALUE"""),0.0)</f>
        <v>0</v>
      </c>
    </row>
    <row r="636" ht="22.5" customHeight="1">
      <c r="A636" s="2" t="str">
        <f>IFERROR(__xludf.DUMMYFUNCTION("""COMPUTED_VALUE"""),"L2")</f>
        <v>L2</v>
      </c>
      <c r="B636" s="2" t="str">
        <f>IFERROR(__xludf.DUMMYFUNCTION("""COMPUTED_VALUE"""),"2026-11")</f>
        <v>2026-11</v>
      </c>
      <c r="C636" s="2" t="str">
        <f>IFERROR(__xludf.DUMMYFUNCTION("""COMPUTED_VALUE"""),"SYNC-SD")</f>
        <v>SYNC-SD</v>
      </c>
      <c r="D636" s="2">
        <f>IFERROR(__xludf.DUMMYFUNCTION("""COMPUTED_VALUE"""),0.0)</f>
        <v>0</v>
      </c>
      <c r="E636" s="2">
        <f>IFERROR(__xludf.DUMMYFUNCTION("""COMPUTED_VALUE"""),0.0)</f>
        <v>0</v>
      </c>
      <c r="F636" s="4">
        <f>IFERROR(__xludf.DUMMYFUNCTION("""COMPUTED_VALUE"""),0.0)</f>
        <v>0</v>
      </c>
      <c r="G636" s="4">
        <f>IFERROR(__xludf.DUMMYFUNCTION("""COMPUTED_VALUE"""),0.0)</f>
        <v>0</v>
      </c>
      <c r="H636" s="9">
        <f>IFERROR(__xludf.DUMMYFUNCTION("""COMPUTED_VALUE"""),1.1)</f>
        <v>1.1</v>
      </c>
      <c r="I636" s="4">
        <f>IFERROR(__xludf.DUMMYFUNCTION("""COMPUTED_VALUE"""),0.0)</f>
        <v>0</v>
      </c>
      <c r="J636" s="4">
        <f>IFERROR(__xludf.DUMMYFUNCTION("""COMPUTED_VALUE"""),0.0)</f>
        <v>0</v>
      </c>
      <c r="K636" s="4">
        <f>IFERROR(__xludf.DUMMYFUNCTION("""COMPUTED_VALUE"""),0.0)</f>
        <v>0</v>
      </c>
    </row>
    <row r="637" ht="22.5" customHeight="1">
      <c r="A637" s="2" t="str">
        <f>IFERROR(__xludf.DUMMYFUNCTION("""COMPUTED_VALUE"""),"L2")</f>
        <v>L2</v>
      </c>
      <c r="B637" s="2" t="str">
        <f>IFERROR(__xludf.DUMMYFUNCTION("""COMPUTED_VALUE"""),"2026-12")</f>
        <v>2026-12</v>
      </c>
      <c r="C637" s="2" t="str">
        <f>IFERROR(__xludf.DUMMYFUNCTION("""COMPUTED_VALUE"""),"SYNC-SD")</f>
        <v>SYNC-SD</v>
      </c>
      <c r="D637" s="2">
        <f>IFERROR(__xludf.DUMMYFUNCTION("""COMPUTED_VALUE"""),0.0)</f>
        <v>0</v>
      </c>
      <c r="E637" s="2">
        <f>IFERROR(__xludf.DUMMYFUNCTION("""COMPUTED_VALUE"""),0.0)</f>
        <v>0</v>
      </c>
      <c r="F637" s="4">
        <f>IFERROR(__xludf.DUMMYFUNCTION("""COMPUTED_VALUE"""),0.0)</f>
        <v>0</v>
      </c>
      <c r="G637" s="4">
        <f>IFERROR(__xludf.DUMMYFUNCTION("""COMPUTED_VALUE"""),0.0)</f>
        <v>0</v>
      </c>
      <c r="H637" s="9">
        <f>IFERROR(__xludf.DUMMYFUNCTION("""COMPUTED_VALUE"""),1.1)</f>
        <v>1.1</v>
      </c>
      <c r="I637" s="4">
        <f>IFERROR(__xludf.DUMMYFUNCTION("""COMPUTED_VALUE"""),0.0)</f>
        <v>0</v>
      </c>
      <c r="J637" s="4">
        <f>IFERROR(__xludf.DUMMYFUNCTION("""COMPUTED_VALUE"""),0.0)</f>
        <v>0</v>
      </c>
      <c r="K637" s="4">
        <f>IFERROR(__xludf.DUMMYFUNCTION("""COMPUTED_VALUE"""),0.0)</f>
        <v>0</v>
      </c>
    </row>
    <row r="638" ht="22.5" customHeight="1">
      <c r="A638" s="2" t="str">
        <f>IFERROR(__xludf.DUMMYFUNCTION("""COMPUTED_VALUE"""),"L2")</f>
        <v>L2</v>
      </c>
      <c r="B638" s="2" t="str">
        <f>IFERROR(__xludf.DUMMYFUNCTION("""COMPUTED_VALUE"""),"2026-01")</f>
        <v>2026-01</v>
      </c>
      <c r="C638" s="2" t="str">
        <f>IFERROR(__xludf.DUMMYFUNCTION("""COMPUTED_VALUE"""),"SYNC-SD - LX")</f>
        <v>SYNC-SD - LX</v>
      </c>
      <c r="D638" s="2">
        <f>IFERROR(__xludf.DUMMYFUNCTION("""COMPUTED_VALUE"""),0.0)</f>
        <v>0</v>
      </c>
      <c r="E638" s="2">
        <f>IFERROR(__xludf.DUMMYFUNCTION("""COMPUTED_VALUE"""),0.0)</f>
        <v>0</v>
      </c>
      <c r="F638" s="4">
        <f>IFERROR(__xludf.DUMMYFUNCTION("""COMPUTED_VALUE"""),0.0)</f>
        <v>0</v>
      </c>
      <c r="G638" s="4">
        <f>IFERROR(__xludf.DUMMYFUNCTION("""COMPUTED_VALUE"""),0.0)</f>
        <v>0</v>
      </c>
      <c r="H638" s="9">
        <f>IFERROR(__xludf.DUMMYFUNCTION("""COMPUTED_VALUE"""),1.1)</f>
        <v>1.1</v>
      </c>
      <c r="I638" s="4">
        <f>IFERROR(__xludf.DUMMYFUNCTION("""COMPUTED_VALUE"""),0.0)</f>
        <v>0</v>
      </c>
      <c r="J638" s="4">
        <f>IFERROR(__xludf.DUMMYFUNCTION("""COMPUTED_VALUE"""),14559.699999999999)</f>
        <v>14559.7</v>
      </c>
      <c r="K638" s="4">
        <f>IFERROR(__xludf.DUMMYFUNCTION("""COMPUTED_VALUE"""),14559.699999999999)</f>
        <v>14559.7</v>
      </c>
    </row>
    <row r="639" ht="22.5" customHeight="1">
      <c r="A639" s="2" t="str">
        <f>IFERROR(__xludf.DUMMYFUNCTION("""COMPUTED_VALUE"""),"L2")</f>
        <v>L2</v>
      </c>
      <c r="B639" s="2" t="str">
        <f>IFERROR(__xludf.DUMMYFUNCTION("""COMPUTED_VALUE"""),"2026-02")</f>
        <v>2026-02</v>
      </c>
      <c r="C639" s="2" t="str">
        <f>IFERROR(__xludf.DUMMYFUNCTION("""COMPUTED_VALUE"""),"SYNC-SD - LX")</f>
        <v>SYNC-SD - LX</v>
      </c>
      <c r="D639" s="2">
        <f>IFERROR(__xludf.DUMMYFUNCTION("""COMPUTED_VALUE"""),0.0)</f>
        <v>0</v>
      </c>
      <c r="E639" s="2">
        <f>IFERROR(__xludf.DUMMYFUNCTION("""COMPUTED_VALUE"""),0.0)</f>
        <v>0</v>
      </c>
      <c r="F639" s="4">
        <f>IFERROR(__xludf.DUMMYFUNCTION("""COMPUTED_VALUE"""),0.0)</f>
        <v>0</v>
      </c>
      <c r="G639" s="4">
        <f>IFERROR(__xludf.DUMMYFUNCTION("""COMPUTED_VALUE"""),0.0)</f>
        <v>0</v>
      </c>
      <c r="H639" s="9">
        <f>IFERROR(__xludf.DUMMYFUNCTION("""COMPUTED_VALUE"""),1.1)</f>
        <v>1.1</v>
      </c>
      <c r="I639" s="4">
        <f>IFERROR(__xludf.DUMMYFUNCTION("""COMPUTED_VALUE"""),0.0)</f>
        <v>0</v>
      </c>
      <c r="J639" s="4">
        <f>IFERROR(__xludf.DUMMYFUNCTION("""COMPUTED_VALUE"""),4406.224999999999)</f>
        <v>4406.225</v>
      </c>
      <c r="K639" s="4">
        <f>IFERROR(__xludf.DUMMYFUNCTION("""COMPUTED_VALUE"""),4406.224999999999)</f>
        <v>4406.225</v>
      </c>
    </row>
    <row r="640" ht="22.5" customHeight="1">
      <c r="A640" s="2" t="str">
        <f>IFERROR(__xludf.DUMMYFUNCTION("""COMPUTED_VALUE"""),"L2")</f>
        <v>L2</v>
      </c>
      <c r="B640" s="2" t="str">
        <f>IFERROR(__xludf.DUMMYFUNCTION("""COMPUTED_VALUE"""),"2026-03")</f>
        <v>2026-03</v>
      </c>
      <c r="C640" s="2" t="str">
        <f>IFERROR(__xludf.DUMMYFUNCTION("""COMPUTED_VALUE"""),"SYNC-SD - LX")</f>
        <v>SYNC-SD - LX</v>
      </c>
      <c r="D640" s="2">
        <f>IFERROR(__xludf.DUMMYFUNCTION("""COMPUTED_VALUE"""),59.0)</f>
        <v>59</v>
      </c>
      <c r="E640" s="2">
        <f>IFERROR(__xludf.DUMMYFUNCTION("""COMPUTED_VALUE"""),2.0)</f>
        <v>2</v>
      </c>
      <c r="F640" s="4">
        <f>IFERROR(__xludf.DUMMYFUNCTION("""COMPUTED_VALUE"""),135635.1)</f>
        <v>135635.1</v>
      </c>
      <c r="G640" s="4">
        <f>IFERROR(__xludf.DUMMYFUNCTION("""COMPUTED_VALUE"""),570.0)</f>
        <v>570</v>
      </c>
      <c r="H640" s="9">
        <f>IFERROR(__xludf.DUMMYFUNCTION("""COMPUTED_VALUE"""),1.1)</f>
        <v>1.1</v>
      </c>
      <c r="I640" s="4">
        <f>IFERROR(__xludf.DUMMYFUNCTION("""COMPUTED_VALUE"""),149825.61000000002)</f>
        <v>149825.61</v>
      </c>
      <c r="J640" s="4">
        <f>IFERROR(__xludf.DUMMYFUNCTION("""COMPUTED_VALUE"""),0.0)</f>
        <v>0</v>
      </c>
      <c r="K640" s="4">
        <f>IFERROR(__xludf.DUMMYFUNCTION("""COMPUTED_VALUE"""),149825.61000000002)</f>
        <v>149825.61</v>
      </c>
    </row>
    <row r="641" ht="22.5" customHeight="1">
      <c r="A641" s="2" t="str">
        <f>IFERROR(__xludf.DUMMYFUNCTION("""COMPUTED_VALUE"""),"L2")</f>
        <v>L2</v>
      </c>
      <c r="B641" s="2" t="str">
        <f>IFERROR(__xludf.DUMMYFUNCTION("""COMPUTED_VALUE"""),"2026-04")</f>
        <v>2026-04</v>
      </c>
      <c r="C641" s="2" t="str">
        <f>IFERROR(__xludf.DUMMYFUNCTION("""COMPUTED_VALUE"""),"SYNC-SD - LX")</f>
        <v>SYNC-SD - LX</v>
      </c>
      <c r="D641" s="2">
        <f>IFERROR(__xludf.DUMMYFUNCTION("""COMPUTED_VALUE"""),0.0)</f>
        <v>0</v>
      </c>
      <c r="E641" s="2">
        <f>IFERROR(__xludf.DUMMYFUNCTION("""COMPUTED_VALUE"""),0.0)</f>
        <v>0</v>
      </c>
      <c r="F641" s="4">
        <f>IFERROR(__xludf.DUMMYFUNCTION("""COMPUTED_VALUE"""),0.0)</f>
        <v>0</v>
      </c>
      <c r="G641" s="4">
        <f>IFERROR(__xludf.DUMMYFUNCTION("""COMPUTED_VALUE"""),0.0)</f>
        <v>0</v>
      </c>
      <c r="H641" s="9">
        <f>IFERROR(__xludf.DUMMYFUNCTION("""COMPUTED_VALUE"""),1.1)</f>
        <v>1.1</v>
      </c>
      <c r="I641" s="4">
        <f>IFERROR(__xludf.DUMMYFUNCTION("""COMPUTED_VALUE"""),0.0)</f>
        <v>0</v>
      </c>
      <c r="J641" s="4">
        <f>IFERROR(__xludf.DUMMYFUNCTION("""COMPUTED_VALUE"""),0.0)</f>
        <v>0</v>
      </c>
      <c r="K641" s="4">
        <f>IFERROR(__xludf.DUMMYFUNCTION("""COMPUTED_VALUE"""),0.0)</f>
        <v>0</v>
      </c>
    </row>
    <row r="642" ht="22.5" customHeight="1">
      <c r="A642" s="2" t="str">
        <f>IFERROR(__xludf.DUMMYFUNCTION("""COMPUTED_VALUE"""),"L2")</f>
        <v>L2</v>
      </c>
      <c r="B642" s="2" t="str">
        <f>IFERROR(__xludf.DUMMYFUNCTION("""COMPUTED_VALUE"""),"2026-05")</f>
        <v>2026-05</v>
      </c>
      <c r="C642" s="2" t="str">
        <f>IFERROR(__xludf.DUMMYFUNCTION("""COMPUTED_VALUE"""),"SYNC-SD - LX")</f>
        <v>SYNC-SD - LX</v>
      </c>
      <c r="D642" s="2">
        <f>IFERROR(__xludf.DUMMYFUNCTION("""COMPUTED_VALUE"""),0.0)</f>
        <v>0</v>
      </c>
      <c r="E642" s="2">
        <f>IFERROR(__xludf.DUMMYFUNCTION("""COMPUTED_VALUE"""),0.0)</f>
        <v>0</v>
      </c>
      <c r="F642" s="4">
        <f>IFERROR(__xludf.DUMMYFUNCTION("""COMPUTED_VALUE"""),0.0)</f>
        <v>0</v>
      </c>
      <c r="G642" s="4">
        <f>IFERROR(__xludf.DUMMYFUNCTION("""COMPUTED_VALUE"""),0.0)</f>
        <v>0</v>
      </c>
      <c r="H642" s="9">
        <f>IFERROR(__xludf.DUMMYFUNCTION("""COMPUTED_VALUE"""),1.1)</f>
        <v>1.1</v>
      </c>
      <c r="I642" s="4">
        <f>IFERROR(__xludf.DUMMYFUNCTION("""COMPUTED_VALUE"""),0.0)</f>
        <v>0</v>
      </c>
      <c r="J642" s="4">
        <f>IFERROR(__xludf.DUMMYFUNCTION("""COMPUTED_VALUE"""),0.0)</f>
        <v>0</v>
      </c>
      <c r="K642" s="4">
        <f>IFERROR(__xludf.DUMMYFUNCTION("""COMPUTED_VALUE"""),0.0)</f>
        <v>0</v>
      </c>
    </row>
    <row r="643" ht="22.5" customHeight="1">
      <c r="A643" s="2" t="str">
        <f>IFERROR(__xludf.DUMMYFUNCTION("""COMPUTED_VALUE"""),"L2")</f>
        <v>L2</v>
      </c>
      <c r="B643" s="2" t="str">
        <f>IFERROR(__xludf.DUMMYFUNCTION("""COMPUTED_VALUE"""),"2026-06")</f>
        <v>2026-06</v>
      </c>
      <c r="C643" s="2" t="str">
        <f>IFERROR(__xludf.DUMMYFUNCTION("""COMPUTED_VALUE"""),"SYNC-SD - LX")</f>
        <v>SYNC-SD - LX</v>
      </c>
      <c r="D643" s="2">
        <f>IFERROR(__xludf.DUMMYFUNCTION("""COMPUTED_VALUE"""),0.0)</f>
        <v>0</v>
      </c>
      <c r="E643" s="2">
        <f>IFERROR(__xludf.DUMMYFUNCTION("""COMPUTED_VALUE"""),0.0)</f>
        <v>0</v>
      </c>
      <c r="F643" s="4">
        <f>IFERROR(__xludf.DUMMYFUNCTION("""COMPUTED_VALUE"""),0.0)</f>
        <v>0</v>
      </c>
      <c r="G643" s="4">
        <f>IFERROR(__xludf.DUMMYFUNCTION("""COMPUTED_VALUE"""),0.0)</f>
        <v>0</v>
      </c>
      <c r="H643" s="9">
        <f>IFERROR(__xludf.DUMMYFUNCTION("""COMPUTED_VALUE"""),1.1)</f>
        <v>1.1</v>
      </c>
      <c r="I643" s="4">
        <f>IFERROR(__xludf.DUMMYFUNCTION("""COMPUTED_VALUE"""),0.0)</f>
        <v>0</v>
      </c>
      <c r="J643" s="4">
        <f>IFERROR(__xludf.DUMMYFUNCTION("""COMPUTED_VALUE"""),0.0)</f>
        <v>0</v>
      </c>
      <c r="K643" s="4">
        <f>IFERROR(__xludf.DUMMYFUNCTION("""COMPUTED_VALUE"""),0.0)</f>
        <v>0</v>
      </c>
    </row>
    <row r="644" ht="22.5" customHeight="1">
      <c r="A644" s="2" t="str">
        <f>IFERROR(__xludf.DUMMYFUNCTION("""COMPUTED_VALUE"""),"L2")</f>
        <v>L2</v>
      </c>
      <c r="B644" s="2" t="str">
        <f>IFERROR(__xludf.DUMMYFUNCTION("""COMPUTED_VALUE"""),"2026-07")</f>
        <v>2026-07</v>
      </c>
      <c r="C644" s="2" t="str">
        <f>IFERROR(__xludf.DUMMYFUNCTION("""COMPUTED_VALUE"""),"SYNC-SD - LX")</f>
        <v>SYNC-SD - LX</v>
      </c>
      <c r="D644" s="2">
        <f>IFERROR(__xludf.DUMMYFUNCTION("""COMPUTED_VALUE"""),0.0)</f>
        <v>0</v>
      </c>
      <c r="E644" s="2">
        <f>IFERROR(__xludf.DUMMYFUNCTION("""COMPUTED_VALUE"""),0.0)</f>
        <v>0</v>
      </c>
      <c r="F644" s="4">
        <f>IFERROR(__xludf.DUMMYFUNCTION("""COMPUTED_VALUE"""),0.0)</f>
        <v>0</v>
      </c>
      <c r="G644" s="4">
        <f>IFERROR(__xludf.DUMMYFUNCTION("""COMPUTED_VALUE"""),0.0)</f>
        <v>0</v>
      </c>
      <c r="H644" s="9">
        <f>IFERROR(__xludf.DUMMYFUNCTION("""COMPUTED_VALUE"""),1.1)</f>
        <v>1.1</v>
      </c>
      <c r="I644" s="4">
        <f>IFERROR(__xludf.DUMMYFUNCTION("""COMPUTED_VALUE"""),0.0)</f>
        <v>0</v>
      </c>
      <c r="J644" s="4">
        <f>IFERROR(__xludf.DUMMYFUNCTION("""COMPUTED_VALUE"""),0.0)</f>
        <v>0</v>
      </c>
      <c r="K644" s="4">
        <f>IFERROR(__xludf.DUMMYFUNCTION("""COMPUTED_VALUE"""),0.0)</f>
        <v>0</v>
      </c>
    </row>
    <row r="645" ht="22.5" customHeight="1">
      <c r="A645" s="2" t="str">
        <f>IFERROR(__xludf.DUMMYFUNCTION("""COMPUTED_VALUE"""),"L2")</f>
        <v>L2</v>
      </c>
      <c r="B645" s="2" t="str">
        <f>IFERROR(__xludf.DUMMYFUNCTION("""COMPUTED_VALUE"""),"2026-08")</f>
        <v>2026-08</v>
      </c>
      <c r="C645" s="2" t="str">
        <f>IFERROR(__xludf.DUMMYFUNCTION("""COMPUTED_VALUE"""),"SYNC-SD - LX")</f>
        <v>SYNC-SD - LX</v>
      </c>
      <c r="D645" s="2">
        <f>IFERROR(__xludf.DUMMYFUNCTION("""COMPUTED_VALUE"""),0.0)</f>
        <v>0</v>
      </c>
      <c r="E645" s="2">
        <f>IFERROR(__xludf.DUMMYFUNCTION("""COMPUTED_VALUE"""),0.0)</f>
        <v>0</v>
      </c>
      <c r="F645" s="4">
        <f>IFERROR(__xludf.DUMMYFUNCTION("""COMPUTED_VALUE"""),0.0)</f>
        <v>0</v>
      </c>
      <c r="G645" s="4">
        <f>IFERROR(__xludf.DUMMYFUNCTION("""COMPUTED_VALUE"""),0.0)</f>
        <v>0</v>
      </c>
      <c r="H645" s="9">
        <f>IFERROR(__xludf.DUMMYFUNCTION("""COMPUTED_VALUE"""),1.1)</f>
        <v>1.1</v>
      </c>
      <c r="I645" s="4">
        <f>IFERROR(__xludf.DUMMYFUNCTION("""COMPUTED_VALUE"""),0.0)</f>
        <v>0</v>
      </c>
      <c r="J645" s="4">
        <f>IFERROR(__xludf.DUMMYFUNCTION("""COMPUTED_VALUE"""),0.0)</f>
        <v>0</v>
      </c>
      <c r="K645" s="4">
        <f>IFERROR(__xludf.DUMMYFUNCTION("""COMPUTED_VALUE"""),0.0)</f>
        <v>0</v>
      </c>
    </row>
    <row r="646" ht="22.5" customHeight="1">
      <c r="A646" s="2" t="str">
        <f>IFERROR(__xludf.DUMMYFUNCTION("""COMPUTED_VALUE"""),"L2")</f>
        <v>L2</v>
      </c>
      <c r="B646" s="2" t="str">
        <f>IFERROR(__xludf.DUMMYFUNCTION("""COMPUTED_VALUE"""),"2026-09")</f>
        <v>2026-09</v>
      </c>
      <c r="C646" s="2" t="str">
        <f>IFERROR(__xludf.DUMMYFUNCTION("""COMPUTED_VALUE"""),"SYNC-SD - LX")</f>
        <v>SYNC-SD - LX</v>
      </c>
      <c r="D646" s="2">
        <f>IFERROR(__xludf.DUMMYFUNCTION("""COMPUTED_VALUE"""),0.0)</f>
        <v>0</v>
      </c>
      <c r="E646" s="2">
        <f>IFERROR(__xludf.DUMMYFUNCTION("""COMPUTED_VALUE"""),0.0)</f>
        <v>0</v>
      </c>
      <c r="F646" s="4">
        <f>IFERROR(__xludf.DUMMYFUNCTION("""COMPUTED_VALUE"""),0.0)</f>
        <v>0</v>
      </c>
      <c r="G646" s="4">
        <f>IFERROR(__xludf.DUMMYFUNCTION("""COMPUTED_VALUE"""),0.0)</f>
        <v>0</v>
      </c>
      <c r="H646" s="9">
        <f>IFERROR(__xludf.DUMMYFUNCTION("""COMPUTED_VALUE"""),1.1)</f>
        <v>1.1</v>
      </c>
      <c r="I646" s="4">
        <f>IFERROR(__xludf.DUMMYFUNCTION("""COMPUTED_VALUE"""),0.0)</f>
        <v>0</v>
      </c>
      <c r="J646" s="4">
        <f>IFERROR(__xludf.DUMMYFUNCTION("""COMPUTED_VALUE"""),0.0)</f>
        <v>0</v>
      </c>
      <c r="K646" s="4">
        <f>IFERROR(__xludf.DUMMYFUNCTION("""COMPUTED_VALUE"""),0.0)</f>
        <v>0</v>
      </c>
    </row>
    <row r="647" ht="22.5" customHeight="1">
      <c r="A647" s="2" t="str">
        <f>IFERROR(__xludf.DUMMYFUNCTION("""COMPUTED_VALUE"""),"L2")</f>
        <v>L2</v>
      </c>
      <c r="B647" s="2" t="str">
        <f>IFERROR(__xludf.DUMMYFUNCTION("""COMPUTED_VALUE"""),"2026-10")</f>
        <v>2026-10</v>
      </c>
      <c r="C647" s="2" t="str">
        <f>IFERROR(__xludf.DUMMYFUNCTION("""COMPUTED_VALUE"""),"SYNC-SD - LX")</f>
        <v>SYNC-SD - LX</v>
      </c>
      <c r="D647" s="2">
        <f>IFERROR(__xludf.DUMMYFUNCTION("""COMPUTED_VALUE"""),0.0)</f>
        <v>0</v>
      </c>
      <c r="E647" s="2">
        <f>IFERROR(__xludf.DUMMYFUNCTION("""COMPUTED_VALUE"""),0.0)</f>
        <v>0</v>
      </c>
      <c r="F647" s="4">
        <f>IFERROR(__xludf.DUMMYFUNCTION("""COMPUTED_VALUE"""),0.0)</f>
        <v>0</v>
      </c>
      <c r="G647" s="4">
        <f>IFERROR(__xludf.DUMMYFUNCTION("""COMPUTED_VALUE"""),0.0)</f>
        <v>0</v>
      </c>
      <c r="H647" s="9">
        <f>IFERROR(__xludf.DUMMYFUNCTION("""COMPUTED_VALUE"""),1.1)</f>
        <v>1.1</v>
      </c>
      <c r="I647" s="4">
        <f>IFERROR(__xludf.DUMMYFUNCTION("""COMPUTED_VALUE"""),0.0)</f>
        <v>0</v>
      </c>
      <c r="J647" s="4">
        <f>IFERROR(__xludf.DUMMYFUNCTION("""COMPUTED_VALUE"""),0.0)</f>
        <v>0</v>
      </c>
      <c r="K647" s="4">
        <f>IFERROR(__xludf.DUMMYFUNCTION("""COMPUTED_VALUE"""),0.0)</f>
        <v>0</v>
      </c>
    </row>
    <row r="648" ht="22.5" customHeight="1">
      <c r="A648" s="2" t="str">
        <f>IFERROR(__xludf.DUMMYFUNCTION("""COMPUTED_VALUE"""),"L2")</f>
        <v>L2</v>
      </c>
      <c r="B648" s="2" t="str">
        <f>IFERROR(__xludf.DUMMYFUNCTION("""COMPUTED_VALUE"""),"2026-11")</f>
        <v>2026-11</v>
      </c>
      <c r="C648" s="2" t="str">
        <f>IFERROR(__xludf.DUMMYFUNCTION("""COMPUTED_VALUE"""),"SYNC-SD - LX")</f>
        <v>SYNC-SD - LX</v>
      </c>
      <c r="D648" s="2">
        <f>IFERROR(__xludf.DUMMYFUNCTION("""COMPUTED_VALUE"""),0.0)</f>
        <v>0</v>
      </c>
      <c r="E648" s="2">
        <f>IFERROR(__xludf.DUMMYFUNCTION("""COMPUTED_VALUE"""),0.0)</f>
        <v>0</v>
      </c>
      <c r="F648" s="4">
        <f>IFERROR(__xludf.DUMMYFUNCTION("""COMPUTED_VALUE"""),0.0)</f>
        <v>0</v>
      </c>
      <c r="G648" s="4">
        <f>IFERROR(__xludf.DUMMYFUNCTION("""COMPUTED_VALUE"""),0.0)</f>
        <v>0</v>
      </c>
      <c r="H648" s="9">
        <f>IFERROR(__xludf.DUMMYFUNCTION("""COMPUTED_VALUE"""),1.1)</f>
        <v>1.1</v>
      </c>
      <c r="I648" s="4">
        <f>IFERROR(__xludf.DUMMYFUNCTION("""COMPUTED_VALUE"""),0.0)</f>
        <v>0</v>
      </c>
      <c r="J648" s="4">
        <f>IFERROR(__xludf.DUMMYFUNCTION("""COMPUTED_VALUE"""),0.0)</f>
        <v>0</v>
      </c>
      <c r="K648" s="4">
        <f>IFERROR(__xludf.DUMMYFUNCTION("""COMPUTED_VALUE"""),0.0)</f>
        <v>0</v>
      </c>
    </row>
    <row r="649" ht="22.5" customHeight="1">
      <c r="A649" s="2" t="str">
        <f>IFERROR(__xludf.DUMMYFUNCTION("""COMPUTED_VALUE"""),"L2")</f>
        <v>L2</v>
      </c>
      <c r="B649" s="2" t="str">
        <f>IFERROR(__xludf.DUMMYFUNCTION("""COMPUTED_VALUE"""),"2026-12")</f>
        <v>2026-12</v>
      </c>
      <c r="C649" s="2" t="str">
        <f>IFERROR(__xludf.DUMMYFUNCTION("""COMPUTED_VALUE"""),"SYNC-SD - LX")</f>
        <v>SYNC-SD - LX</v>
      </c>
      <c r="D649" s="2">
        <f>IFERROR(__xludf.DUMMYFUNCTION("""COMPUTED_VALUE"""),0.0)</f>
        <v>0</v>
      </c>
      <c r="E649" s="2">
        <f>IFERROR(__xludf.DUMMYFUNCTION("""COMPUTED_VALUE"""),0.0)</f>
        <v>0</v>
      </c>
      <c r="F649" s="4">
        <f>IFERROR(__xludf.DUMMYFUNCTION("""COMPUTED_VALUE"""),0.0)</f>
        <v>0</v>
      </c>
      <c r="G649" s="4">
        <f>IFERROR(__xludf.DUMMYFUNCTION("""COMPUTED_VALUE"""),0.0)</f>
        <v>0</v>
      </c>
      <c r="H649" s="9">
        <f>IFERROR(__xludf.DUMMYFUNCTION("""COMPUTED_VALUE"""),1.1)</f>
        <v>1.1</v>
      </c>
      <c r="I649" s="4">
        <f>IFERROR(__xludf.DUMMYFUNCTION("""COMPUTED_VALUE"""),0.0)</f>
        <v>0</v>
      </c>
      <c r="J649" s="4">
        <f>IFERROR(__xludf.DUMMYFUNCTION("""COMPUTED_VALUE"""),0.0)</f>
        <v>0</v>
      </c>
      <c r="K649" s="4">
        <f>IFERROR(__xludf.DUMMYFUNCTION("""COMPUTED_VALUE"""),0.0)</f>
        <v>0</v>
      </c>
    </row>
    <row r="650" ht="22.5" customHeight="1">
      <c r="A650" s="2" t="str">
        <f>IFERROR(__xludf.DUMMYFUNCTION("""COMPUTED_VALUE"""),"L2")</f>
        <v>L2</v>
      </c>
      <c r="B650" s="2" t="str">
        <f>IFERROR(__xludf.DUMMYFUNCTION("""COMPUTED_VALUE"""),"2026-01")</f>
        <v>2026-01</v>
      </c>
      <c r="C650" s="2" t="str">
        <f>IFERROR(__xludf.DUMMYFUNCTION("""COMPUTED_VALUE"""),"SYNC-SUV")</f>
        <v>SYNC-SUV</v>
      </c>
      <c r="D650" s="2">
        <f>IFERROR(__xludf.DUMMYFUNCTION("""COMPUTED_VALUE"""),0.0)</f>
        <v>0</v>
      </c>
      <c r="E650" s="2">
        <f>IFERROR(__xludf.DUMMYFUNCTION("""COMPUTED_VALUE"""),0.0)</f>
        <v>0</v>
      </c>
      <c r="F650" s="4">
        <f>IFERROR(__xludf.DUMMYFUNCTION("""COMPUTED_VALUE"""),0.0)</f>
        <v>0</v>
      </c>
      <c r="G650" s="4">
        <f>IFERROR(__xludf.DUMMYFUNCTION("""COMPUTED_VALUE"""),0.0)</f>
        <v>0</v>
      </c>
      <c r="H650" s="9">
        <f>IFERROR(__xludf.DUMMYFUNCTION("""COMPUTED_VALUE"""),1.1)</f>
        <v>1.1</v>
      </c>
      <c r="I650" s="4">
        <f>IFERROR(__xludf.DUMMYFUNCTION("""COMPUTED_VALUE"""),0.0)</f>
        <v>0</v>
      </c>
      <c r="J650" s="4">
        <f>IFERROR(__xludf.DUMMYFUNCTION("""COMPUTED_VALUE"""),13305.708)</f>
        <v>13305.708</v>
      </c>
      <c r="K650" s="4">
        <f>IFERROR(__xludf.DUMMYFUNCTION("""COMPUTED_VALUE"""),13305.708)</f>
        <v>13305.708</v>
      </c>
    </row>
    <row r="651" ht="22.5" customHeight="1">
      <c r="A651" s="2" t="str">
        <f>IFERROR(__xludf.DUMMYFUNCTION("""COMPUTED_VALUE"""),"L2")</f>
        <v>L2</v>
      </c>
      <c r="B651" s="2" t="str">
        <f>IFERROR(__xludf.DUMMYFUNCTION("""COMPUTED_VALUE"""),"2026-02")</f>
        <v>2026-02</v>
      </c>
      <c r="C651" s="2" t="str">
        <f>IFERROR(__xludf.DUMMYFUNCTION("""COMPUTED_VALUE"""),"SYNC-SUV")</f>
        <v>SYNC-SUV</v>
      </c>
      <c r="D651" s="2">
        <f>IFERROR(__xludf.DUMMYFUNCTION("""COMPUTED_VALUE"""),0.0)</f>
        <v>0</v>
      </c>
      <c r="E651" s="2">
        <f>IFERROR(__xludf.DUMMYFUNCTION("""COMPUTED_VALUE"""),0.0)</f>
        <v>0</v>
      </c>
      <c r="F651" s="4">
        <f>IFERROR(__xludf.DUMMYFUNCTION("""COMPUTED_VALUE"""),0.0)</f>
        <v>0</v>
      </c>
      <c r="G651" s="4">
        <f>IFERROR(__xludf.DUMMYFUNCTION("""COMPUTED_VALUE"""),0.0)</f>
        <v>0</v>
      </c>
      <c r="H651" s="9">
        <f>IFERROR(__xludf.DUMMYFUNCTION("""COMPUTED_VALUE"""),1.1)</f>
        <v>1.1</v>
      </c>
      <c r="I651" s="4">
        <f>IFERROR(__xludf.DUMMYFUNCTION("""COMPUTED_VALUE"""),0.0)</f>
        <v>0</v>
      </c>
      <c r="J651" s="4">
        <f>IFERROR(__xludf.DUMMYFUNCTION("""COMPUTED_VALUE"""),0.0)</f>
        <v>0</v>
      </c>
      <c r="K651" s="4">
        <f>IFERROR(__xludf.DUMMYFUNCTION("""COMPUTED_VALUE"""),0.0)</f>
        <v>0</v>
      </c>
    </row>
    <row r="652" ht="22.5" customHeight="1">
      <c r="A652" s="2" t="str">
        <f>IFERROR(__xludf.DUMMYFUNCTION("""COMPUTED_VALUE"""),"L2")</f>
        <v>L2</v>
      </c>
      <c r="B652" s="2" t="str">
        <f>IFERROR(__xludf.DUMMYFUNCTION("""COMPUTED_VALUE"""),"2026-03")</f>
        <v>2026-03</v>
      </c>
      <c r="C652" s="2" t="str">
        <f>IFERROR(__xludf.DUMMYFUNCTION("""COMPUTED_VALUE"""),"SYNC-SUV")</f>
        <v>SYNC-SUV</v>
      </c>
      <c r="D652" s="2">
        <f>IFERROR(__xludf.DUMMYFUNCTION("""COMPUTED_VALUE"""),0.0)</f>
        <v>0</v>
      </c>
      <c r="E652" s="2">
        <f>IFERROR(__xludf.DUMMYFUNCTION("""COMPUTED_VALUE"""),0.0)</f>
        <v>0</v>
      </c>
      <c r="F652" s="4">
        <f>IFERROR(__xludf.DUMMYFUNCTION("""COMPUTED_VALUE"""),0.0)</f>
        <v>0</v>
      </c>
      <c r="G652" s="4">
        <f>IFERROR(__xludf.DUMMYFUNCTION("""COMPUTED_VALUE"""),0.0)</f>
        <v>0</v>
      </c>
      <c r="H652" s="9">
        <f>IFERROR(__xludf.DUMMYFUNCTION("""COMPUTED_VALUE"""),1.1)</f>
        <v>1.1</v>
      </c>
      <c r="I652" s="4">
        <f>IFERROR(__xludf.DUMMYFUNCTION("""COMPUTED_VALUE"""),0.0)</f>
        <v>0</v>
      </c>
      <c r="J652" s="4">
        <f>IFERROR(__xludf.DUMMYFUNCTION("""COMPUTED_VALUE"""),0.0)</f>
        <v>0</v>
      </c>
      <c r="K652" s="4">
        <f>IFERROR(__xludf.DUMMYFUNCTION("""COMPUTED_VALUE"""),0.0)</f>
        <v>0</v>
      </c>
    </row>
    <row r="653" ht="22.5" customHeight="1">
      <c r="A653" s="2" t="str">
        <f>IFERROR(__xludf.DUMMYFUNCTION("""COMPUTED_VALUE"""),"L2")</f>
        <v>L2</v>
      </c>
      <c r="B653" s="2" t="str">
        <f>IFERROR(__xludf.DUMMYFUNCTION("""COMPUTED_VALUE"""),"2026-04")</f>
        <v>2026-04</v>
      </c>
      <c r="C653" s="2" t="str">
        <f>IFERROR(__xludf.DUMMYFUNCTION("""COMPUTED_VALUE"""),"SYNC-SUV")</f>
        <v>SYNC-SUV</v>
      </c>
      <c r="D653" s="2">
        <f>IFERROR(__xludf.DUMMYFUNCTION("""COMPUTED_VALUE"""),0.0)</f>
        <v>0</v>
      </c>
      <c r="E653" s="2">
        <f>IFERROR(__xludf.DUMMYFUNCTION("""COMPUTED_VALUE"""),0.0)</f>
        <v>0</v>
      </c>
      <c r="F653" s="4">
        <f>IFERROR(__xludf.DUMMYFUNCTION("""COMPUTED_VALUE"""),0.0)</f>
        <v>0</v>
      </c>
      <c r="G653" s="4">
        <f>IFERROR(__xludf.DUMMYFUNCTION("""COMPUTED_VALUE"""),0.0)</f>
        <v>0</v>
      </c>
      <c r="H653" s="9">
        <f>IFERROR(__xludf.DUMMYFUNCTION("""COMPUTED_VALUE"""),1.1)</f>
        <v>1.1</v>
      </c>
      <c r="I653" s="4">
        <f>IFERROR(__xludf.DUMMYFUNCTION("""COMPUTED_VALUE"""),0.0)</f>
        <v>0</v>
      </c>
      <c r="J653" s="4">
        <f>IFERROR(__xludf.DUMMYFUNCTION("""COMPUTED_VALUE"""),0.0)</f>
        <v>0</v>
      </c>
      <c r="K653" s="4">
        <f>IFERROR(__xludf.DUMMYFUNCTION("""COMPUTED_VALUE"""),0.0)</f>
        <v>0</v>
      </c>
    </row>
    <row r="654" ht="22.5" customHeight="1">
      <c r="A654" s="2" t="str">
        <f>IFERROR(__xludf.DUMMYFUNCTION("""COMPUTED_VALUE"""),"L2")</f>
        <v>L2</v>
      </c>
      <c r="B654" s="2" t="str">
        <f>IFERROR(__xludf.DUMMYFUNCTION("""COMPUTED_VALUE"""),"2026-05")</f>
        <v>2026-05</v>
      </c>
      <c r="C654" s="2" t="str">
        <f>IFERROR(__xludf.DUMMYFUNCTION("""COMPUTED_VALUE"""),"SYNC-SUV")</f>
        <v>SYNC-SUV</v>
      </c>
      <c r="D654" s="2">
        <f>IFERROR(__xludf.DUMMYFUNCTION("""COMPUTED_VALUE"""),0.0)</f>
        <v>0</v>
      </c>
      <c r="E654" s="2">
        <f>IFERROR(__xludf.DUMMYFUNCTION("""COMPUTED_VALUE"""),0.0)</f>
        <v>0</v>
      </c>
      <c r="F654" s="4">
        <f>IFERROR(__xludf.DUMMYFUNCTION("""COMPUTED_VALUE"""),0.0)</f>
        <v>0</v>
      </c>
      <c r="G654" s="4">
        <f>IFERROR(__xludf.DUMMYFUNCTION("""COMPUTED_VALUE"""),0.0)</f>
        <v>0</v>
      </c>
      <c r="H654" s="9">
        <f>IFERROR(__xludf.DUMMYFUNCTION("""COMPUTED_VALUE"""),1.1)</f>
        <v>1.1</v>
      </c>
      <c r="I654" s="4">
        <f>IFERROR(__xludf.DUMMYFUNCTION("""COMPUTED_VALUE"""),0.0)</f>
        <v>0</v>
      </c>
      <c r="J654" s="4">
        <f>IFERROR(__xludf.DUMMYFUNCTION("""COMPUTED_VALUE"""),0.0)</f>
        <v>0</v>
      </c>
      <c r="K654" s="4">
        <f>IFERROR(__xludf.DUMMYFUNCTION("""COMPUTED_VALUE"""),0.0)</f>
        <v>0</v>
      </c>
    </row>
    <row r="655" ht="22.5" customHeight="1">
      <c r="A655" s="2" t="str">
        <f>IFERROR(__xludf.DUMMYFUNCTION("""COMPUTED_VALUE"""),"L2")</f>
        <v>L2</v>
      </c>
      <c r="B655" s="2" t="str">
        <f>IFERROR(__xludf.DUMMYFUNCTION("""COMPUTED_VALUE"""),"2026-06")</f>
        <v>2026-06</v>
      </c>
      <c r="C655" s="2" t="str">
        <f>IFERROR(__xludf.DUMMYFUNCTION("""COMPUTED_VALUE"""),"SYNC-SUV")</f>
        <v>SYNC-SUV</v>
      </c>
      <c r="D655" s="2">
        <f>IFERROR(__xludf.DUMMYFUNCTION("""COMPUTED_VALUE"""),0.0)</f>
        <v>0</v>
      </c>
      <c r="E655" s="2">
        <f>IFERROR(__xludf.DUMMYFUNCTION("""COMPUTED_VALUE"""),0.0)</f>
        <v>0</v>
      </c>
      <c r="F655" s="4">
        <f>IFERROR(__xludf.DUMMYFUNCTION("""COMPUTED_VALUE"""),0.0)</f>
        <v>0</v>
      </c>
      <c r="G655" s="4">
        <f>IFERROR(__xludf.DUMMYFUNCTION("""COMPUTED_VALUE"""),0.0)</f>
        <v>0</v>
      </c>
      <c r="H655" s="9">
        <f>IFERROR(__xludf.DUMMYFUNCTION("""COMPUTED_VALUE"""),1.1)</f>
        <v>1.1</v>
      </c>
      <c r="I655" s="4">
        <f>IFERROR(__xludf.DUMMYFUNCTION("""COMPUTED_VALUE"""),0.0)</f>
        <v>0</v>
      </c>
      <c r="J655" s="4">
        <f>IFERROR(__xludf.DUMMYFUNCTION("""COMPUTED_VALUE"""),0.0)</f>
        <v>0</v>
      </c>
      <c r="K655" s="4">
        <f>IFERROR(__xludf.DUMMYFUNCTION("""COMPUTED_VALUE"""),0.0)</f>
        <v>0</v>
      </c>
    </row>
    <row r="656" ht="22.5" customHeight="1">
      <c r="A656" s="2" t="str">
        <f>IFERROR(__xludf.DUMMYFUNCTION("""COMPUTED_VALUE"""),"L2")</f>
        <v>L2</v>
      </c>
      <c r="B656" s="2" t="str">
        <f>IFERROR(__xludf.DUMMYFUNCTION("""COMPUTED_VALUE"""),"2026-07")</f>
        <v>2026-07</v>
      </c>
      <c r="C656" s="2" t="str">
        <f>IFERROR(__xludf.DUMMYFUNCTION("""COMPUTED_VALUE"""),"SYNC-SUV")</f>
        <v>SYNC-SUV</v>
      </c>
      <c r="D656" s="2">
        <f>IFERROR(__xludf.DUMMYFUNCTION("""COMPUTED_VALUE"""),0.0)</f>
        <v>0</v>
      </c>
      <c r="E656" s="2">
        <f>IFERROR(__xludf.DUMMYFUNCTION("""COMPUTED_VALUE"""),0.0)</f>
        <v>0</v>
      </c>
      <c r="F656" s="4">
        <f>IFERROR(__xludf.DUMMYFUNCTION("""COMPUTED_VALUE"""),0.0)</f>
        <v>0</v>
      </c>
      <c r="G656" s="4">
        <f>IFERROR(__xludf.DUMMYFUNCTION("""COMPUTED_VALUE"""),0.0)</f>
        <v>0</v>
      </c>
      <c r="H656" s="9">
        <f>IFERROR(__xludf.DUMMYFUNCTION("""COMPUTED_VALUE"""),1.1)</f>
        <v>1.1</v>
      </c>
      <c r="I656" s="4">
        <f>IFERROR(__xludf.DUMMYFUNCTION("""COMPUTED_VALUE"""),0.0)</f>
        <v>0</v>
      </c>
      <c r="J656" s="4">
        <f>IFERROR(__xludf.DUMMYFUNCTION("""COMPUTED_VALUE"""),0.0)</f>
        <v>0</v>
      </c>
      <c r="K656" s="4">
        <f>IFERROR(__xludf.DUMMYFUNCTION("""COMPUTED_VALUE"""),0.0)</f>
        <v>0</v>
      </c>
    </row>
    <row r="657" ht="22.5" customHeight="1">
      <c r="A657" s="2" t="str">
        <f>IFERROR(__xludf.DUMMYFUNCTION("""COMPUTED_VALUE"""),"L2")</f>
        <v>L2</v>
      </c>
      <c r="B657" s="2" t="str">
        <f>IFERROR(__xludf.DUMMYFUNCTION("""COMPUTED_VALUE"""),"2026-08")</f>
        <v>2026-08</v>
      </c>
      <c r="C657" s="2" t="str">
        <f>IFERROR(__xludf.DUMMYFUNCTION("""COMPUTED_VALUE"""),"SYNC-SUV")</f>
        <v>SYNC-SUV</v>
      </c>
      <c r="D657" s="2">
        <f>IFERROR(__xludf.DUMMYFUNCTION("""COMPUTED_VALUE"""),0.0)</f>
        <v>0</v>
      </c>
      <c r="E657" s="2">
        <f>IFERROR(__xludf.DUMMYFUNCTION("""COMPUTED_VALUE"""),0.0)</f>
        <v>0</v>
      </c>
      <c r="F657" s="4">
        <f>IFERROR(__xludf.DUMMYFUNCTION("""COMPUTED_VALUE"""),0.0)</f>
        <v>0</v>
      </c>
      <c r="G657" s="4">
        <f>IFERROR(__xludf.DUMMYFUNCTION("""COMPUTED_VALUE"""),0.0)</f>
        <v>0</v>
      </c>
      <c r="H657" s="9">
        <f>IFERROR(__xludf.DUMMYFUNCTION("""COMPUTED_VALUE"""),1.1)</f>
        <v>1.1</v>
      </c>
      <c r="I657" s="4">
        <f>IFERROR(__xludf.DUMMYFUNCTION("""COMPUTED_VALUE"""),0.0)</f>
        <v>0</v>
      </c>
      <c r="J657" s="4">
        <f>IFERROR(__xludf.DUMMYFUNCTION("""COMPUTED_VALUE"""),0.0)</f>
        <v>0</v>
      </c>
      <c r="K657" s="4">
        <f>IFERROR(__xludf.DUMMYFUNCTION("""COMPUTED_VALUE"""),0.0)</f>
        <v>0</v>
      </c>
    </row>
    <row r="658" ht="22.5" customHeight="1">
      <c r="A658" s="2" t="str">
        <f>IFERROR(__xludf.DUMMYFUNCTION("""COMPUTED_VALUE"""),"L2")</f>
        <v>L2</v>
      </c>
      <c r="B658" s="2" t="str">
        <f>IFERROR(__xludf.DUMMYFUNCTION("""COMPUTED_VALUE"""),"2026-09")</f>
        <v>2026-09</v>
      </c>
      <c r="C658" s="2" t="str">
        <f>IFERROR(__xludf.DUMMYFUNCTION("""COMPUTED_VALUE"""),"SYNC-SUV")</f>
        <v>SYNC-SUV</v>
      </c>
      <c r="D658" s="2">
        <f>IFERROR(__xludf.DUMMYFUNCTION("""COMPUTED_VALUE"""),0.0)</f>
        <v>0</v>
      </c>
      <c r="E658" s="2">
        <f>IFERROR(__xludf.DUMMYFUNCTION("""COMPUTED_VALUE"""),0.0)</f>
        <v>0</v>
      </c>
      <c r="F658" s="4">
        <f>IFERROR(__xludf.DUMMYFUNCTION("""COMPUTED_VALUE"""),0.0)</f>
        <v>0</v>
      </c>
      <c r="G658" s="4">
        <f>IFERROR(__xludf.DUMMYFUNCTION("""COMPUTED_VALUE"""),0.0)</f>
        <v>0</v>
      </c>
      <c r="H658" s="9">
        <f>IFERROR(__xludf.DUMMYFUNCTION("""COMPUTED_VALUE"""),1.1)</f>
        <v>1.1</v>
      </c>
      <c r="I658" s="4">
        <f>IFERROR(__xludf.DUMMYFUNCTION("""COMPUTED_VALUE"""),0.0)</f>
        <v>0</v>
      </c>
      <c r="J658" s="4">
        <f>IFERROR(__xludf.DUMMYFUNCTION("""COMPUTED_VALUE"""),0.0)</f>
        <v>0</v>
      </c>
      <c r="K658" s="4">
        <f>IFERROR(__xludf.DUMMYFUNCTION("""COMPUTED_VALUE"""),0.0)</f>
        <v>0</v>
      </c>
    </row>
    <row r="659" ht="22.5" customHeight="1">
      <c r="A659" s="2" t="str">
        <f>IFERROR(__xludf.DUMMYFUNCTION("""COMPUTED_VALUE"""),"L2")</f>
        <v>L2</v>
      </c>
      <c r="B659" s="2" t="str">
        <f>IFERROR(__xludf.DUMMYFUNCTION("""COMPUTED_VALUE"""),"2026-10")</f>
        <v>2026-10</v>
      </c>
      <c r="C659" s="2" t="str">
        <f>IFERROR(__xludf.DUMMYFUNCTION("""COMPUTED_VALUE"""),"SYNC-SUV")</f>
        <v>SYNC-SUV</v>
      </c>
      <c r="D659" s="2">
        <f>IFERROR(__xludf.DUMMYFUNCTION("""COMPUTED_VALUE"""),0.0)</f>
        <v>0</v>
      </c>
      <c r="E659" s="2">
        <f>IFERROR(__xludf.DUMMYFUNCTION("""COMPUTED_VALUE"""),0.0)</f>
        <v>0</v>
      </c>
      <c r="F659" s="4">
        <f>IFERROR(__xludf.DUMMYFUNCTION("""COMPUTED_VALUE"""),0.0)</f>
        <v>0</v>
      </c>
      <c r="G659" s="4">
        <f>IFERROR(__xludf.DUMMYFUNCTION("""COMPUTED_VALUE"""),0.0)</f>
        <v>0</v>
      </c>
      <c r="H659" s="9">
        <f>IFERROR(__xludf.DUMMYFUNCTION("""COMPUTED_VALUE"""),1.1)</f>
        <v>1.1</v>
      </c>
      <c r="I659" s="4">
        <f>IFERROR(__xludf.DUMMYFUNCTION("""COMPUTED_VALUE"""),0.0)</f>
        <v>0</v>
      </c>
      <c r="J659" s="4">
        <f>IFERROR(__xludf.DUMMYFUNCTION("""COMPUTED_VALUE"""),0.0)</f>
        <v>0</v>
      </c>
      <c r="K659" s="4">
        <f>IFERROR(__xludf.DUMMYFUNCTION("""COMPUTED_VALUE"""),0.0)</f>
        <v>0</v>
      </c>
    </row>
    <row r="660" ht="22.5" customHeight="1">
      <c r="A660" s="2" t="str">
        <f>IFERROR(__xludf.DUMMYFUNCTION("""COMPUTED_VALUE"""),"L2")</f>
        <v>L2</v>
      </c>
      <c r="B660" s="2" t="str">
        <f>IFERROR(__xludf.DUMMYFUNCTION("""COMPUTED_VALUE"""),"2026-11")</f>
        <v>2026-11</v>
      </c>
      <c r="C660" s="2" t="str">
        <f>IFERROR(__xludf.DUMMYFUNCTION("""COMPUTED_VALUE"""),"SYNC-SUV")</f>
        <v>SYNC-SUV</v>
      </c>
      <c r="D660" s="2">
        <f>IFERROR(__xludf.DUMMYFUNCTION("""COMPUTED_VALUE"""),0.0)</f>
        <v>0</v>
      </c>
      <c r="E660" s="2">
        <f>IFERROR(__xludf.DUMMYFUNCTION("""COMPUTED_VALUE"""),0.0)</f>
        <v>0</v>
      </c>
      <c r="F660" s="4">
        <f>IFERROR(__xludf.DUMMYFUNCTION("""COMPUTED_VALUE"""),0.0)</f>
        <v>0</v>
      </c>
      <c r="G660" s="4">
        <f>IFERROR(__xludf.DUMMYFUNCTION("""COMPUTED_VALUE"""),0.0)</f>
        <v>0</v>
      </c>
      <c r="H660" s="9">
        <f>IFERROR(__xludf.DUMMYFUNCTION("""COMPUTED_VALUE"""),1.1)</f>
        <v>1.1</v>
      </c>
      <c r="I660" s="4">
        <f>IFERROR(__xludf.DUMMYFUNCTION("""COMPUTED_VALUE"""),0.0)</f>
        <v>0</v>
      </c>
      <c r="J660" s="4">
        <f>IFERROR(__xludf.DUMMYFUNCTION("""COMPUTED_VALUE"""),0.0)</f>
        <v>0</v>
      </c>
      <c r="K660" s="4">
        <f>IFERROR(__xludf.DUMMYFUNCTION("""COMPUTED_VALUE"""),0.0)</f>
        <v>0</v>
      </c>
    </row>
    <row r="661" ht="22.5" customHeight="1">
      <c r="A661" s="2" t="str">
        <f>IFERROR(__xludf.DUMMYFUNCTION("""COMPUTED_VALUE"""),"L2")</f>
        <v>L2</v>
      </c>
      <c r="B661" s="2" t="str">
        <f>IFERROR(__xludf.DUMMYFUNCTION("""COMPUTED_VALUE"""),"2026-12")</f>
        <v>2026-12</v>
      </c>
      <c r="C661" s="2" t="str">
        <f>IFERROR(__xludf.DUMMYFUNCTION("""COMPUTED_VALUE"""),"SYNC-SUV")</f>
        <v>SYNC-SUV</v>
      </c>
      <c r="D661" s="2">
        <f>IFERROR(__xludf.DUMMYFUNCTION("""COMPUTED_VALUE"""),0.0)</f>
        <v>0</v>
      </c>
      <c r="E661" s="2">
        <f>IFERROR(__xludf.DUMMYFUNCTION("""COMPUTED_VALUE"""),0.0)</f>
        <v>0</v>
      </c>
      <c r="F661" s="4">
        <f>IFERROR(__xludf.DUMMYFUNCTION("""COMPUTED_VALUE"""),0.0)</f>
        <v>0</v>
      </c>
      <c r="G661" s="4">
        <f>IFERROR(__xludf.DUMMYFUNCTION("""COMPUTED_VALUE"""),0.0)</f>
        <v>0</v>
      </c>
      <c r="H661" s="9">
        <f>IFERROR(__xludf.DUMMYFUNCTION("""COMPUTED_VALUE"""),1.1)</f>
        <v>1.1</v>
      </c>
      <c r="I661" s="4">
        <f>IFERROR(__xludf.DUMMYFUNCTION("""COMPUTED_VALUE"""),0.0)</f>
        <v>0</v>
      </c>
      <c r="J661" s="4">
        <f>IFERROR(__xludf.DUMMYFUNCTION("""COMPUTED_VALUE"""),0.0)</f>
        <v>0</v>
      </c>
      <c r="K661" s="4">
        <f>IFERROR(__xludf.DUMMYFUNCTION("""COMPUTED_VALUE"""),0.0)</f>
        <v>0</v>
      </c>
    </row>
    <row r="662" ht="22.5" customHeight="1">
      <c r="A662" s="2" t="str">
        <f>IFERROR(__xludf.DUMMYFUNCTION("""COMPUTED_VALUE"""),"L2")</f>
        <v>L2</v>
      </c>
      <c r="B662" s="2" t="str">
        <f>IFERROR(__xludf.DUMMYFUNCTION("""COMPUTED_VALUE"""),"2026-01")</f>
        <v>2026-01</v>
      </c>
      <c r="C662" s="2" t="str">
        <f>IFERROR(__xludf.DUMMYFUNCTION("""COMPUTED_VALUE"""),"SYNC-SUV - LX")</f>
        <v>SYNC-SUV - LX</v>
      </c>
      <c r="D662" s="2">
        <f>IFERROR(__xludf.DUMMYFUNCTION("""COMPUTED_VALUE"""),0.0)</f>
        <v>0</v>
      </c>
      <c r="E662" s="2">
        <f>IFERROR(__xludf.DUMMYFUNCTION("""COMPUTED_VALUE"""),0.0)</f>
        <v>0</v>
      </c>
      <c r="F662" s="4">
        <f>IFERROR(__xludf.DUMMYFUNCTION("""COMPUTED_VALUE"""),0.0)</f>
        <v>0</v>
      </c>
      <c r="G662" s="4">
        <f>IFERROR(__xludf.DUMMYFUNCTION("""COMPUTED_VALUE"""),0.0)</f>
        <v>0</v>
      </c>
      <c r="H662" s="9">
        <f>IFERROR(__xludf.DUMMYFUNCTION("""COMPUTED_VALUE"""),1.1)</f>
        <v>1.1</v>
      </c>
      <c r="I662" s="4">
        <f>IFERROR(__xludf.DUMMYFUNCTION("""COMPUTED_VALUE"""),0.0)</f>
        <v>0</v>
      </c>
      <c r="J662" s="4">
        <f>IFERROR(__xludf.DUMMYFUNCTION("""COMPUTED_VALUE"""),11905.658333333333)</f>
        <v>11905.65833</v>
      </c>
      <c r="K662" s="4">
        <f>IFERROR(__xludf.DUMMYFUNCTION("""COMPUTED_VALUE"""),11905.658333333333)</f>
        <v>11905.65833</v>
      </c>
    </row>
    <row r="663" ht="22.5" customHeight="1">
      <c r="A663" s="2" t="str">
        <f>IFERROR(__xludf.DUMMYFUNCTION("""COMPUTED_VALUE"""),"L2")</f>
        <v>L2</v>
      </c>
      <c r="B663" s="2" t="str">
        <f>IFERROR(__xludf.DUMMYFUNCTION("""COMPUTED_VALUE"""),"2026-02")</f>
        <v>2026-02</v>
      </c>
      <c r="C663" s="2" t="str">
        <f>IFERROR(__xludf.DUMMYFUNCTION("""COMPUTED_VALUE"""),"SYNC-SUV - LX")</f>
        <v>SYNC-SUV - LX</v>
      </c>
      <c r="D663" s="2">
        <f>IFERROR(__xludf.DUMMYFUNCTION("""COMPUTED_VALUE"""),0.0)</f>
        <v>0</v>
      </c>
      <c r="E663" s="2">
        <f>IFERROR(__xludf.DUMMYFUNCTION("""COMPUTED_VALUE"""),0.0)</f>
        <v>0</v>
      </c>
      <c r="F663" s="4">
        <f>IFERROR(__xludf.DUMMYFUNCTION("""COMPUTED_VALUE"""),0.0)</f>
        <v>0</v>
      </c>
      <c r="G663" s="4">
        <f>IFERROR(__xludf.DUMMYFUNCTION("""COMPUTED_VALUE"""),0.0)</f>
        <v>0</v>
      </c>
      <c r="H663" s="9">
        <f>IFERROR(__xludf.DUMMYFUNCTION("""COMPUTED_VALUE"""),1.1)</f>
        <v>1.1</v>
      </c>
      <c r="I663" s="4">
        <f>IFERROR(__xludf.DUMMYFUNCTION("""COMPUTED_VALUE"""),0.0)</f>
        <v>0</v>
      </c>
      <c r="J663" s="4">
        <f>IFERROR(__xludf.DUMMYFUNCTION("""COMPUTED_VALUE"""),1823.7583333333334)</f>
        <v>1823.758333</v>
      </c>
      <c r="K663" s="4">
        <f>IFERROR(__xludf.DUMMYFUNCTION("""COMPUTED_VALUE"""),1823.7583333333334)</f>
        <v>1823.758333</v>
      </c>
    </row>
    <row r="664" ht="22.5" customHeight="1">
      <c r="A664" s="2" t="str">
        <f>IFERROR(__xludf.DUMMYFUNCTION("""COMPUTED_VALUE"""),"L2")</f>
        <v>L2</v>
      </c>
      <c r="B664" s="2" t="str">
        <f>IFERROR(__xludf.DUMMYFUNCTION("""COMPUTED_VALUE"""),"2026-03")</f>
        <v>2026-03</v>
      </c>
      <c r="C664" s="2" t="str">
        <f>IFERROR(__xludf.DUMMYFUNCTION("""COMPUTED_VALUE"""),"SYNC-SUV - LX")</f>
        <v>SYNC-SUV - LX</v>
      </c>
      <c r="D664" s="2">
        <f>IFERROR(__xludf.DUMMYFUNCTION("""COMPUTED_VALUE"""),0.0)</f>
        <v>0</v>
      </c>
      <c r="E664" s="2">
        <f>IFERROR(__xludf.DUMMYFUNCTION("""COMPUTED_VALUE"""),0.0)</f>
        <v>0</v>
      </c>
      <c r="F664" s="4">
        <f>IFERROR(__xludf.DUMMYFUNCTION("""COMPUTED_VALUE"""),0.0)</f>
        <v>0</v>
      </c>
      <c r="G664" s="4">
        <f>IFERROR(__xludf.DUMMYFUNCTION("""COMPUTED_VALUE"""),0.0)</f>
        <v>0</v>
      </c>
      <c r="H664" s="9">
        <f>IFERROR(__xludf.DUMMYFUNCTION("""COMPUTED_VALUE"""),1.1)</f>
        <v>1.1</v>
      </c>
      <c r="I664" s="4">
        <f>IFERROR(__xludf.DUMMYFUNCTION("""COMPUTED_VALUE"""),0.0)</f>
        <v>0</v>
      </c>
      <c r="J664" s="4">
        <f>IFERROR(__xludf.DUMMYFUNCTION("""COMPUTED_VALUE"""),0.0)</f>
        <v>0</v>
      </c>
      <c r="K664" s="4">
        <f>IFERROR(__xludf.DUMMYFUNCTION("""COMPUTED_VALUE"""),0.0)</f>
        <v>0</v>
      </c>
    </row>
    <row r="665" ht="22.5" customHeight="1">
      <c r="A665" s="2" t="str">
        <f>IFERROR(__xludf.DUMMYFUNCTION("""COMPUTED_VALUE"""),"L2")</f>
        <v>L2</v>
      </c>
      <c r="B665" s="2" t="str">
        <f>IFERROR(__xludf.DUMMYFUNCTION("""COMPUTED_VALUE"""),"2026-04")</f>
        <v>2026-04</v>
      </c>
      <c r="C665" s="2" t="str">
        <f>IFERROR(__xludf.DUMMYFUNCTION("""COMPUTED_VALUE"""),"SYNC-SUV - LX")</f>
        <v>SYNC-SUV - LX</v>
      </c>
      <c r="D665" s="2">
        <f>IFERROR(__xludf.DUMMYFUNCTION("""COMPUTED_VALUE"""),0.0)</f>
        <v>0</v>
      </c>
      <c r="E665" s="2">
        <f>IFERROR(__xludf.DUMMYFUNCTION("""COMPUTED_VALUE"""),0.0)</f>
        <v>0</v>
      </c>
      <c r="F665" s="4">
        <f>IFERROR(__xludf.DUMMYFUNCTION("""COMPUTED_VALUE"""),0.0)</f>
        <v>0</v>
      </c>
      <c r="G665" s="4">
        <f>IFERROR(__xludf.DUMMYFUNCTION("""COMPUTED_VALUE"""),0.0)</f>
        <v>0</v>
      </c>
      <c r="H665" s="9">
        <f>IFERROR(__xludf.DUMMYFUNCTION("""COMPUTED_VALUE"""),1.1)</f>
        <v>1.1</v>
      </c>
      <c r="I665" s="4">
        <f>IFERROR(__xludf.DUMMYFUNCTION("""COMPUTED_VALUE"""),0.0)</f>
        <v>0</v>
      </c>
      <c r="J665" s="4">
        <f>IFERROR(__xludf.DUMMYFUNCTION("""COMPUTED_VALUE"""),0.0)</f>
        <v>0</v>
      </c>
      <c r="K665" s="4">
        <f>IFERROR(__xludf.DUMMYFUNCTION("""COMPUTED_VALUE"""),0.0)</f>
        <v>0</v>
      </c>
    </row>
    <row r="666" ht="22.5" customHeight="1">
      <c r="A666" s="2" t="str">
        <f>IFERROR(__xludf.DUMMYFUNCTION("""COMPUTED_VALUE"""),"L2")</f>
        <v>L2</v>
      </c>
      <c r="B666" s="2" t="str">
        <f>IFERROR(__xludf.DUMMYFUNCTION("""COMPUTED_VALUE"""),"2026-05")</f>
        <v>2026-05</v>
      </c>
      <c r="C666" s="2" t="str">
        <f>IFERROR(__xludf.DUMMYFUNCTION("""COMPUTED_VALUE"""),"SYNC-SUV - LX")</f>
        <v>SYNC-SUV - LX</v>
      </c>
      <c r="D666" s="2">
        <f>IFERROR(__xludf.DUMMYFUNCTION("""COMPUTED_VALUE"""),0.0)</f>
        <v>0</v>
      </c>
      <c r="E666" s="2">
        <f>IFERROR(__xludf.DUMMYFUNCTION("""COMPUTED_VALUE"""),0.0)</f>
        <v>0</v>
      </c>
      <c r="F666" s="4">
        <f>IFERROR(__xludf.DUMMYFUNCTION("""COMPUTED_VALUE"""),0.0)</f>
        <v>0</v>
      </c>
      <c r="G666" s="4">
        <f>IFERROR(__xludf.DUMMYFUNCTION("""COMPUTED_VALUE"""),0.0)</f>
        <v>0</v>
      </c>
      <c r="H666" s="9">
        <f>IFERROR(__xludf.DUMMYFUNCTION("""COMPUTED_VALUE"""),1.1)</f>
        <v>1.1</v>
      </c>
      <c r="I666" s="4">
        <f>IFERROR(__xludf.DUMMYFUNCTION("""COMPUTED_VALUE"""),0.0)</f>
        <v>0</v>
      </c>
      <c r="J666" s="4">
        <f>IFERROR(__xludf.DUMMYFUNCTION("""COMPUTED_VALUE"""),0.0)</f>
        <v>0</v>
      </c>
      <c r="K666" s="4">
        <f>IFERROR(__xludf.DUMMYFUNCTION("""COMPUTED_VALUE"""),0.0)</f>
        <v>0</v>
      </c>
    </row>
    <row r="667" ht="22.5" customHeight="1">
      <c r="A667" s="2" t="str">
        <f>IFERROR(__xludf.DUMMYFUNCTION("""COMPUTED_VALUE"""),"L2")</f>
        <v>L2</v>
      </c>
      <c r="B667" s="2" t="str">
        <f>IFERROR(__xludf.DUMMYFUNCTION("""COMPUTED_VALUE"""),"2026-06")</f>
        <v>2026-06</v>
      </c>
      <c r="C667" s="2" t="str">
        <f>IFERROR(__xludf.DUMMYFUNCTION("""COMPUTED_VALUE"""),"SYNC-SUV - LX")</f>
        <v>SYNC-SUV - LX</v>
      </c>
      <c r="D667" s="2">
        <f>IFERROR(__xludf.DUMMYFUNCTION("""COMPUTED_VALUE"""),0.0)</f>
        <v>0</v>
      </c>
      <c r="E667" s="2">
        <f>IFERROR(__xludf.DUMMYFUNCTION("""COMPUTED_VALUE"""),0.0)</f>
        <v>0</v>
      </c>
      <c r="F667" s="4">
        <f>IFERROR(__xludf.DUMMYFUNCTION("""COMPUTED_VALUE"""),0.0)</f>
        <v>0</v>
      </c>
      <c r="G667" s="4">
        <f>IFERROR(__xludf.DUMMYFUNCTION("""COMPUTED_VALUE"""),0.0)</f>
        <v>0</v>
      </c>
      <c r="H667" s="9">
        <f>IFERROR(__xludf.DUMMYFUNCTION("""COMPUTED_VALUE"""),1.1)</f>
        <v>1.1</v>
      </c>
      <c r="I667" s="4">
        <f>IFERROR(__xludf.DUMMYFUNCTION("""COMPUTED_VALUE"""),0.0)</f>
        <v>0</v>
      </c>
      <c r="J667" s="4">
        <f>IFERROR(__xludf.DUMMYFUNCTION("""COMPUTED_VALUE"""),0.0)</f>
        <v>0</v>
      </c>
      <c r="K667" s="4">
        <f>IFERROR(__xludf.DUMMYFUNCTION("""COMPUTED_VALUE"""),0.0)</f>
        <v>0</v>
      </c>
    </row>
    <row r="668" ht="22.5" customHeight="1">
      <c r="A668" s="2" t="str">
        <f>IFERROR(__xludf.DUMMYFUNCTION("""COMPUTED_VALUE"""),"L2")</f>
        <v>L2</v>
      </c>
      <c r="B668" s="2" t="str">
        <f>IFERROR(__xludf.DUMMYFUNCTION("""COMPUTED_VALUE"""),"2026-07")</f>
        <v>2026-07</v>
      </c>
      <c r="C668" s="2" t="str">
        <f>IFERROR(__xludf.DUMMYFUNCTION("""COMPUTED_VALUE"""),"SYNC-SUV - LX")</f>
        <v>SYNC-SUV - LX</v>
      </c>
      <c r="D668" s="2">
        <f>IFERROR(__xludf.DUMMYFUNCTION("""COMPUTED_VALUE"""),0.0)</f>
        <v>0</v>
      </c>
      <c r="E668" s="2">
        <f>IFERROR(__xludf.DUMMYFUNCTION("""COMPUTED_VALUE"""),0.0)</f>
        <v>0</v>
      </c>
      <c r="F668" s="4">
        <f>IFERROR(__xludf.DUMMYFUNCTION("""COMPUTED_VALUE"""),0.0)</f>
        <v>0</v>
      </c>
      <c r="G668" s="4">
        <f>IFERROR(__xludf.DUMMYFUNCTION("""COMPUTED_VALUE"""),0.0)</f>
        <v>0</v>
      </c>
      <c r="H668" s="9">
        <f>IFERROR(__xludf.DUMMYFUNCTION("""COMPUTED_VALUE"""),1.1)</f>
        <v>1.1</v>
      </c>
      <c r="I668" s="4">
        <f>IFERROR(__xludf.DUMMYFUNCTION("""COMPUTED_VALUE"""),0.0)</f>
        <v>0</v>
      </c>
      <c r="J668" s="4">
        <f>IFERROR(__xludf.DUMMYFUNCTION("""COMPUTED_VALUE"""),0.0)</f>
        <v>0</v>
      </c>
      <c r="K668" s="4">
        <f>IFERROR(__xludf.DUMMYFUNCTION("""COMPUTED_VALUE"""),0.0)</f>
        <v>0</v>
      </c>
    </row>
    <row r="669" ht="22.5" customHeight="1">
      <c r="A669" s="2" t="str">
        <f>IFERROR(__xludf.DUMMYFUNCTION("""COMPUTED_VALUE"""),"L2")</f>
        <v>L2</v>
      </c>
      <c r="B669" s="2" t="str">
        <f>IFERROR(__xludf.DUMMYFUNCTION("""COMPUTED_VALUE"""),"2026-08")</f>
        <v>2026-08</v>
      </c>
      <c r="C669" s="2" t="str">
        <f>IFERROR(__xludf.DUMMYFUNCTION("""COMPUTED_VALUE"""),"SYNC-SUV - LX")</f>
        <v>SYNC-SUV - LX</v>
      </c>
      <c r="D669" s="2">
        <f>IFERROR(__xludf.DUMMYFUNCTION("""COMPUTED_VALUE"""),0.0)</f>
        <v>0</v>
      </c>
      <c r="E669" s="2">
        <f>IFERROR(__xludf.DUMMYFUNCTION("""COMPUTED_VALUE"""),0.0)</f>
        <v>0</v>
      </c>
      <c r="F669" s="4">
        <f>IFERROR(__xludf.DUMMYFUNCTION("""COMPUTED_VALUE"""),0.0)</f>
        <v>0</v>
      </c>
      <c r="G669" s="4">
        <f>IFERROR(__xludf.DUMMYFUNCTION("""COMPUTED_VALUE"""),0.0)</f>
        <v>0</v>
      </c>
      <c r="H669" s="9">
        <f>IFERROR(__xludf.DUMMYFUNCTION("""COMPUTED_VALUE"""),1.1)</f>
        <v>1.1</v>
      </c>
      <c r="I669" s="4">
        <f>IFERROR(__xludf.DUMMYFUNCTION("""COMPUTED_VALUE"""),0.0)</f>
        <v>0</v>
      </c>
      <c r="J669" s="4">
        <f>IFERROR(__xludf.DUMMYFUNCTION("""COMPUTED_VALUE"""),0.0)</f>
        <v>0</v>
      </c>
      <c r="K669" s="4">
        <f>IFERROR(__xludf.DUMMYFUNCTION("""COMPUTED_VALUE"""),0.0)</f>
        <v>0</v>
      </c>
    </row>
    <row r="670" ht="22.5" customHeight="1">
      <c r="A670" s="2" t="str">
        <f>IFERROR(__xludf.DUMMYFUNCTION("""COMPUTED_VALUE"""),"L2")</f>
        <v>L2</v>
      </c>
      <c r="B670" s="2" t="str">
        <f>IFERROR(__xludf.DUMMYFUNCTION("""COMPUTED_VALUE"""),"2026-09")</f>
        <v>2026-09</v>
      </c>
      <c r="C670" s="2" t="str">
        <f>IFERROR(__xludf.DUMMYFUNCTION("""COMPUTED_VALUE"""),"SYNC-SUV - LX")</f>
        <v>SYNC-SUV - LX</v>
      </c>
      <c r="D670" s="2">
        <f>IFERROR(__xludf.DUMMYFUNCTION("""COMPUTED_VALUE"""),0.0)</f>
        <v>0</v>
      </c>
      <c r="E670" s="2">
        <f>IFERROR(__xludf.DUMMYFUNCTION("""COMPUTED_VALUE"""),0.0)</f>
        <v>0</v>
      </c>
      <c r="F670" s="4">
        <f>IFERROR(__xludf.DUMMYFUNCTION("""COMPUTED_VALUE"""),0.0)</f>
        <v>0</v>
      </c>
      <c r="G670" s="4">
        <f>IFERROR(__xludf.DUMMYFUNCTION("""COMPUTED_VALUE"""),0.0)</f>
        <v>0</v>
      </c>
      <c r="H670" s="9">
        <f>IFERROR(__xludf.DUMMYFUNCTION("""COMPUTED_VALUE"""),1.1)</f>
        <v>1.1</v>
      </c>
      <c r="I670" s="4">
        <f>IFERROR(__xludf.DUMMYFUNCTION("""COMPUTED_VALUE"""),0.0)</f>
        <v>0</v>
      </c>
      <c r="J670" s="4">
        <f>IFERROR(__xludf.DUMMYFUNCTION("""COMPUTED_VALUE"""),0.0)</f>
        <v>0</v>
      </c>
      <c r="K670" s="4">
        <f>IFERROR(__xludf.DUMMYFUNCTION("""COMPUTED_VALUE"""),0.0)</f>
        <v>0</v>
      </c>
    </row>
    <row r="671" ht="22.5" customHeight="1">
      <c r="A671" s="2" t="str">
        <f>IFERROR(__xludf.DUMMYFUNCTION("""COMPUTED_VALUE"""),"L2")</f>
        <v>L2</v>
      </c>
      <c r="B671" s="2" t="str">
        <f>IFERROR(__xludf.DUMMYFUNCTION("""COMPUTED_VALUE"""),"2026-10")</f>
        <v>2026-10</v>
      </c>
      <c r="C671" s="2" t="str">
        <f>IFERROR(__xludf.DUMMYFUNCTION("""COMPUTED_VALUE"""),"SYNC-SUV - LX")</f>
        <v>SYNC-SUV - LX</v>
      </c>
      <c r="D671" s="2">
        <f>IFERROR(__xludf.DUMMYFUNCTION("""COMPUTED_VALUE"""),0.0)</f>
        <v>0</v>
      </c>
      <c r="E671" s="2">
        <f>IFERROR(__xludf.DUMMYFUNCTION("""COMPUTED_VALUE"""),0.0)</f>
        <v>0</v>
      </c>
      <c r="F671" s="4">
        <f>IFERROR(__xludf.DUMMYFUNCTION("""COMPUTED_VALUE"""),0.0)</f>
        <v>0</v>
      </c>
      <c r="G671" s="4">
        <f>IFERROR(__xludf.DUMMYFUNCTION("""COMPUTED_VALUE"""),0.0)</f>
        <v>0</v>
      </c>
      <c r="H671" s="9">
        <f>IFERROR(__xludf.DUMMYFUNCTION("""COMPUTED_VALUE"""),1.1)</f>
        <v>1.1</v>
      </c>
      <c r="I671" s="4">
        <f>IFERROR(__xludf.DUMMYFUNCTION("""COMPUTED_VALUE"""),0.0)</f>
        <v>0</v>
      </c>
      <c r="J671" s="4">
        <f>IFERROR(__xludf.DUMMYFUNCTION("""COMPUTED_VALUE"""),0.0)</f>
        <v>0</v>
      </c>
      <c r="K671" s="4">
        <f>IFERROR(__xludf.DUMMYFUNCTION("""COMPUTED_VALUE"""),0.0)</f>
        <v>0</v>
      </c>
    </row>
    <row r="672" ht="22.5" customHeight="1">
      <c r="A672" s="2" t="str">
        <f>IFERROR(__xludf.DUMMYFUNCTION("""COMPUTED_VALUE"""),"L2")</f>
        <v>L2</v>
      </c>
      <c r="B672" s="2" t="str">
        <f>IFERROR(__xludf.DUMMYFUNCTION("""COMPUTED_VALUE"""),"2026-11")</f>
        <v>2026-11</v>
      </c>
      <c r="C672" s="2" t="str">
        <f>IFERROR(__xludf.DUMMYFUNCTION("""COMPUTED_VALUE"""),"SYNC-SUV - LX")</f>
        <v>SYNC-SUV - LX</v>
      </c>
      <c r="D672" s="2">
        <f>IFERROR(__xludf.DUMMYFUNCTION("""COMPUTED_VALUE"""),0.0)</f>
        <v>0</v>
      </c>
      <c r="E672" s="2">
        <f>IFERROR(__xludf.DUMMYFUNCTION("""COMPUTED_VALUE"""),0.0)</f>
        <v>0</v>
      </c>
      <c r="F672" s="4">
        <f>IFERROR(__xludf.DUMMYFUNCTION("""COMPUTED_VALUE"""),0.0)</f>
        <v>0</v>
      </c>
      <c r="G672" s="4">
        <f>IFERROR(__xludf.DUMMYFUNCTION("""COMPUTED_VALUE"""),0.0)</f>
        <v>0</v>
      </c>
      <c r="H672" s="9">
        <f>IFERROR(__xludf.DUMMYFUNCTION("""COMPUTED_VALUE"""),1.1)</f>
        <v>1.1</v>
      </c>
      <c r="I672" s="4">
        <f>IFERROR(__xludf.DUMMYFUNCTION("""COMPUTED_VALUE"""),0.0)</f>
        <v>0</v>
      </c>
      <c r="J672" s="4">
        <f>IFERROR(__xludf.DUMMYFUNCTION("""COMPUTED_VALUE"""),0.0)</f>
        <v>0</v>
      </c>
      <c r="K672" s="4">
        <f>IFERROR(__xludf.DUMMYFUNCTION("""COMPUTED_VALUE"""),0.0)</f>
        <v>0</v>
      </c>
    </row>
    <row r="673" ht="22.5" customHeight="1">
      <c r="A673" s="2" t="str">
        <f>IFERROR(__xludf.DUMMYFUNCTION("""COMPUTED_VALUE"""),"L2")</f>
        <v>L2</v>
      </c>
      <c r="B673" s="2" t="str">
        <f>IFERROR(__xludf.DUMMYFUNCTION("""COMPUTED_VALUE"""),"2026-12")</f>
        <v>2026-12</v>
      </c>
      <c r="C673" s="2" t="str">
        <f>IFERROR(__xludf.DUMMYFUNCTION("""COMPUTED_VALUE"""),"SYNC-SUV - LX")</f>
        <v>SYNC-SUV - LX</v>
      </c>
      <c r="D673" s="2">
        <f>IFERROR(__xludf.DUMMYFUNCTION("""COMPUTED_VALUE"""),0.0)</f>
        <v>0</v>
      </c>
      <c r="E673" s="2">
        <f>IFERROR(__xludf.DUMMYFUNCTION("""COMPUTED_VALUE"""),0.0)</f>
        <v>0</v>
      </c>
      <c r="F673" s="4">
        <f>IFERROR(__xludf.DUMMYFUNCTION("""COMPUTED_VALUE"""),0.0)</f>
        <v>0</v>
      </c>
      <c r="G673" s="4">
        <f>IFERROR(__xludf.DUMMYFUNCTION("""COMPUTED_VALUE"""),0.0)</f>
        <v>0</v>
      </c>
      <c r="H673" s="9">
        <f>IFERROR(__xludf.DUMMYFUNCTION("""COMPUTED_VALUE"""),1.1)</f>
        <v>1.1</v>
      </c>
      <c r="I673" s="4">
        <f>IFERROR(__xludf.DUMMYFUNCTION("""COMPUTED_VALUE"""),0.0)</f>
        <v>0</v>
      </c>
      <c r="J673" s="4">
        <f>IFERROR(__xludf.DUMMYFUNCTION("""COMPUTED_VALUE"""),0.0)</f>
        <v>0</v>
      </c>
      <c r="K673" s="4">
        <f>IFERROR(__xludf.DUMMYFUNCTION("""COMPUTED_VALUE"""),0.0)</f>
        <v>0</v>
      </c>
    </row>
    <row r="674" ht="22.5" customHeight="1">
      <c r="A674" s="2" t="str">
        <f>IFERROR(__xludf.DUMMYFUNCTION("""COMPUTED_VALUE"""),"L2")</f>
        <v>L2</v>
      </c>
      <c r="B674" s="2" t="str">
        <f>IFERROR(__xludf.DUMMYFUNCTION("""COMPUTED_VALUE"""),"2026-01")</f>
        <v>2026-01</v>
      </c>
      <c r="C674" s="2" t="str">
        <f>IFERROR(__xludf.DUMMYFUNCTION("""COMPUTED_VALUE"""),"WINREG-SD")</f>
        <v>WINREG-SD</v>
      </c>
      <c r="D674" s="2">
        <f>IFERROR(__xludf.DUMMYFUNCTION("""COMPUTED_VALUE"""),182.0)</f>
        <v>182</v>
      </c>
      <c r="E674" s="2">
        <f>IFERROR(__xludf.DUMMYFUNCTION("""COMPUTED_VALUE"""),4.0)</f>
        <v>4</v>
      </c>
      <c r="F674" s="4">
        <f>IFERROR(__xludf.DUMMYFUNCTION("""COMPUTED_VALUE"""),615851.6)</f>
        <v>615851.6</v>
      </c>
      <c r="G674" s="4">
        <f>IFERROR(__xludf.DUMMYFUNCTION("""COMPUTED_VALUE"""),12688.0)</f>
        <v>12688</v>
      </c>
      <c r="H674" s="9">
        <f>IFERROR(__xludf.DUMMYFUNCTION("""COMPUTED_VALUE"""),1.32264)</f>
        <v>1.32264</v>
      </c>
      <c r="I674" s="4">
        <f>IFERROR(__xludf.DUMMYFUNCTION("""COMPUTED_VALUE"""),831331.616544)</f>
        <v>831331.6165</v>
      </c>
      <c r="J674" s="4">
        <f>IFERROR(__xludf.DUMMYFUNCTION("""COMPUTED_VALUE"""),44553.36666666667)</f>
        <v>44553.36667</v>
      </c>
      <c r="K674" s="4">
        <f>IFERROR(__xludf.DUMMYFUNCTION("""COMPUTED_VALUE"""),875884.9832106667)</f>
        <v>875884.9832</v>
      </c>
    </row>
    <row r="675" ht="22.5" customHeight="1">
      <c r="A675" s="2" t="str">
        <f>IFERROR(__xludf.DUMMYFUNCTION("""COMPUTED_VALUE"""),"L2")</f>
        <v>L2</v>
      </c>
      <c r="B675" s="2" t="str">
        <f>IFERROR(__xludf.DUMMYFUNCTION("""COMPUTED_VALUE"""),"2026-02")</f>
        <v>2026-02</v>
      </c>
      <c r="C675" s="2" t="str">
        <f>IFERROR(__xludf.DUMMYFUNCTION("""COMPUTED_VALUE"""),"WINREG-SD")</f>
        <v>WINREG-SD</v>
      </c>
      <c r="D675" s="2">
        <f>IFERROR(__xludf.DUMMYFUNCTION("""COMPUTED_VALUE"""),0.0)</f>
        <v>0</v>
      </c>
      <c r="E675" s="2">
        <f>IFERROR(__xludf.DUMMYFUNCTION("""COMPUTED_VALUE"""),0.0)</f>
        <v>0</v>
      </c>
      <c r="F675" s="4">
        <f>IFERROR(__xludf.DUMMYFUNCTION("""COMPUTED_VALUE"""),0.0)</f>
        <v>0</v>
      </c>
      <c r="G675" s="4">
        <f>IFERROR(__xludf.DUMMYFUNCTION("""COMPUTED_VALUE"""),0.0)</f>
        <v>0</v>
      </c>
      <c r="H675" s="9">
        <f>IFERROR(__xludf.DUMMYFUNCTION("""COMPUTED_VALUE"""),1.32264)</f>
        <v>1.32264</v>
      </c>
      <c r="I675" s="4">
        <f>IFERROR(__xludf.DUMMYFUNCTION("""COMPUTED_VALUE"""),0.0)</f>
        <v>0</v>
      </c>
      <c r="J675" s="4">
        <f>IFERROR(__xludf.DUMMYFUNCTION("""COMPUTED_VALUE"""),0.0)</f>
        <v>0</v>
      </c>
      <c r="K675" s="4">
        <f>IFERROR(__xludf.DUMMYFUNCTION("""COMPUTED_VALUE"""),0.0)</f>
        <v>0</v>
      </c>
    </row>
    <row r="676" ht="22.5" customHeight="1">
      <c r="A676" s="2" t="str">
        <f>IFERROR(__xludf.DUMMYFUNCTION("""COMPUTED_VALUE"""),"L2")</f>
        <v>L2</v>
      </c>
      <c r="B676" s="2" t="str">
        <f>IFERROR(__xludf.DUMMYFUNCTION("""COMPUTED_VALUE"""),"2026-03")</f>
        <v>2026-03</v>
      </c>
      <c r="C676" s="2" t="str">
        <f>IFERROR(__xludf.DUMMYFUNCTION("""COMPUTED_VALUE"""),"WINREG-SD")</f>
        <v>WINREG-SD</v>
      </c>
      <c r="D676" s="2">
        <f>IFERROR(__xludf.DUMMYFUNCTION("""COMPUTED_VALUE"""),0.0)</f>
        <v>0</v>
      </c>
      <c r="E676" s="2">
        <f>IFERROR(__xludf.DUMMYFUNCTION("""COMPUTED_VALUE"""),0.0)</f>
        <v>0</v>
      </c>
      <c r="F676" s="4">
        <f>IFERROR(__xludf.DUMMYFUNCTION("""COMPUTED_VALUE"""),0.0)</f>
        <v>0</v>
      </c>
      <c r="G676" s="4">
        <f>IFERROR(__xludf.DUMMYFUNCTION("""COMPUTED_VALUE"""),0.0)</f>
        <v>0</v>
      </c>
      <c r="H676" s="9">
        <f>IFERROR(__xludf.DUMMYFUNCTION("""COMPUTED_VALUE"""),1.32264)</f>
        <v>1.32264</v>
      </c>
      <c r="I676" s="4">
        <f>IFERROR(__xludf.DUMMYFUNCTION("""COMPUTED_VALUE"""),0.0)</f>
        <v>0</v>
      </c>
      <c r="J676" s="4">
        <f>IFERROR(__xludf.DUMMYFUNCTION("""COMPUTED_VALUE"""),0.0)</f>
        <v>0</v>
      </c>
      <c r="K676" s="4">
        <f>IFERROR(__xludf.DUMMYFUNCTION("""COMPUTED_VALUE"""),0.0)</f>
        <v>0</v>
      </c>
    </row>
    <row r="677" ht="22.5" customHeight="1">
      <c r="A677" s="2" t="str">
        <f>IFERROR(__xludf.DUMMYFUNCTION("""COMPUTED_VALUE"""),"L2")</f>
        <v>L2</v>
      </c>
      <c r="B677" s="2" t="str">
        <f>IFERROR(__xludf.DUMMYFUNCTION("""COMPUTED_VALUE"""),"2026-04")</f>
        <v>2026-04</v>
      </c>
      <c r="C677" s="2" t="str">
        <f>IFERROR(__xludf.DUMMYFUNCTION("""COMPUTED_VALUE"""),"WINREG-SD")</f>
        <v>WINREG-SD</v>
      </c>
      <c r="D677" s="2">
        <f>IFERROR(__xludf.DUMMYFUNCTION("""COMPUTED_VALUE"""),0.0)</f>
        <v>0</v>
      </c>
      <c r="E677" s="2">
        <f>IFERROR(__xludf.DUMMYFUNCTION("""COMPUTED_VALUE"""),0.0)</f>
        <v>0</v>
      </c>
      <c r="F677" s="4">
        <f>IFERROR(__xludf.DUMMYFUNCTION("""COMPUTED_VALUE"""),0.0)</f>
        <v>0</v>
      </c>
      <c r="G677" s="4">
        <f>IFERROR(__xludf.DUMMYFUNCTION("""COMPUTED_VALUE"""),0.0)</f>
        <v>0</v>
      </c>
      <c r="H677" s="9">
        <f>IFERROR(__xludf.DUMMYFUNCTION("""COMPUTED_VALUE"""),1.32264)</f>
        <v>1.32264</v>
      </c>
      <c r="I677" s="4">
        <f>IFERROR(__xludf.DUMMYFUNCTION("""COMPUTED_VALUE"""),0.0)</f>
        <v>0</v>
      </c>
      <c r="J677" s="4">
        <f>IFERROR(__xludf.DUMMYFUNCTION("""COMPUTED_VALUE"""),0.0)</f>
        <v>0</v>
      </c>
      <c r="K677" s="4">
        <f>IFERROR(__xludf.DUMMYFUNCTION("""COMPUTED_VALUE"""),0.0)</f>
        <v>0</v>
      </c>
    </row>
    <row r="678" ht="22.5" customHeight="1">
      <c r="A678" s="2" t="str">
        <f>IFERROR(__xludf.DUMMYFUNCTION("""COMPUTED_VALUE"""),"L2")</f>
        <v>L2</v>
      </c>
      <c r="B678" s="2" t="str">
        <f>IFERROR(__xludf.DUMMYFUNCTION("""COMPUTED_VALUE"""),"2026-05")</f>
        <v>2026-05</v>
      </c>
      <c r="C678" s="2" t="str">
        <f>IFERROR(__xludf.DUMMYFUNCTION("""COMPUTED_VALUE"""),"WINREG-SD")</f>
        <v>WINREG-SD</v>
      </c>
      <c r="D678" s="2">
        <f>IFERROR(__xludf.DUMMYFUNCTION("""COMPUTED_VALUE"""),0.0)</f>
        <v>0</v>
      </c>
      <c r="E678" s="2">
        <f>IFERROR(__xludf.DUMMYFUNCTION("""COMPUTED_VALUE"""),0.0)</f>
        <v>0</v>
      </c>
      <c r="F678" s="4">
        <f>IFERROR(__xludf.DUMMYFUNCTION("""COMPUTED_VALUE"""),0.0)</f>
        <v>0</v>
      </c>
      <c r="G678" s="4">
        <f>IFERROR(__xludf.DUMMYFUNCTION("""COMPUTED_VALUE"""),0.0)</f>
        <v>0</v>
      </c>
      <c r="H678" s="9">
        <f>IFERROR(__xludf.DUMMYFUNCTION("""COMPUTED_VALUE"""),1.32264)</f>
        <v>1.32264</v>
      </c>
      <c r="I678" s="4">
        <f>IFERROR(__xludf.DUMMYFUNCTION("""COMPUTED_VALUE"""),0.0)</f>
        <v>0</v>
      </c>
      <c r="J678" s="4">
        <f>IFERROR(__xludf.DUMMYFUNCTION("""COMPUTED_VALUE"""),0.0)</f>
        <v>0</v>
      </c>
      <c r="K678" s="4">
        <f>IFERROR(__xludf.DUMMYFUNCTION("""COMPUTED_VALUE"""),0.0)</f>
        <v>0</v>
      </c>
    </row>
    <row r="679" ht="22.5" customHeight="1">
      <c r="A679" s="2" t="str">
        <f>IFERROR(__xludf.DUMMYFUNCTION("""COMPUTED_VALUE"""),"L2")</f>
        <v>L2</v>
      </c>
      <c r="B679" s="2" t="str">
        <f>IFERROR(__xludf.DUMMYFUNCTION("""COMPUTED_VALUE"""),"2026-06")</f>
        <v>2026-06</v>
      </c>
      <c r="C679" s="2" t="str">
        <f>IFERROR(__xludf.DUMMYFUNCTION("""COMPUTED_VALUE"""),"WINREG-SD")</f>
        <v>WINREG-SD</v>
      </c>
      <c r="D679" s="2">
        <f>IFERROR(__xludf.DUMMYFUNCTION("""COMPUTED_VALUE"""),0.0)</f>
        <v>0</v>
      </c>
      <c r="E679" s="2">
        <f>IFERROR(__xludf.DUMMYFUNCTION("""COMPUTED_VALUE"""),0.0)</f>
        <v>0</v>
      </c>
      <c r="F679" s="4">
        <f>IFERROR(__xludf.DUMMYFUNCTION("""COMPUTED_VALUE"""),0.0)</f>
        <v>0</v>
      </c>
      <c r="G679" s="4">
        <f>IFERROR(__xludf.DUMMYFUNCTION("""COMPUTED_VALUE"""),0.0)</f>
        <v>0</v>
      </c>
      <c r="H679" s="9">
        <f>IFERROR(__xludf.DUMMYFUNCTION("""COMPUTED_VALUE"""),1.32264)</f>
        <v>1.32264</v>
      </c>
      <c r="I679" s="4">
        <f>IFERROR(__xludf.DUMMYFUNCTION("""COMPUTED_VALUE"""),0.0)</f>
        <v>0</v>
      </c>
      <c r="J679" s="4">
        <f>IFERROR(__xludf.DUMMYFUNCTION("""COMPUTED_VALUE"""),0.0)</f>
        <v>0</v>
      </c>
      <c r="K679" s="4">
        <f>IFERROR(__xludf.DUMMYFUNCTION("""COMPUTED_VALUE"""),0.0)</f>
        <v>0</v>
      </c>
    </row>
    <row r="680" ht="22.5" customHeight="1">
      <c r="A680" s="2" t="str">
        <f>IFERROR(__xludf.DUMMYFUNCTION("""COMPUTED_VALUE"""),"L2")</f>
        <v>L2</v>
      </c>
      <c r="B680" s="2" t="str">
        <f>IFERROR(__xludf.DUMMYFUNCTION("""COMPUTED_VALUE"""),"2026-07")</f>
        <v>2026-07</v>
      </c>
      <c r="C680" s="2" t="str">
        <f>IFERROR(__xludf.DUMMYFUNCTION("""COMPUTED_VALUE"""),"WINREG-SD")</f>
        <v>WINREG-SD</v>
      </c>
      <c r="D680" s="2">
        <f>IFERROR(__xludf.DUMMYFUNCTION("""COMPUTED_VALUE"""),0.0)</f>
        <v>0</v>
      </c>
      <c r="E680" s="2">
        <f>IFERROR(__xludf.DUMMYFUNCTION("""COMPUTED_VALUE"""),0.0)</f>
        <v>0</v>
      </c>
      <c r="F680" s="4">
        <f>IFERROR(__xludf.DUMMYFUNCTION("""COMPUTED_VALUE"""),0.0)</f>
        <v>0</v>
      </c>
      <c r="G680" s="4">
        <f>IFERROR(__xludf.DUMMYFUNCTION("""COMPUTED_VALUE"""),0.0)</f>
        <v>0</v>
      </c>
      <c r="H680" s="9">
        <f>IFERROR(__xludf.DUMMYFUNCTION("""COMPUTED_VALUE"""),1.32264)</f>
        <v>1.32264</v>
      </c>
      <c r="I680" s="4">
        <f>IFERROR(__xludf.DUMMYFUNCTION("""COMPUTED_VALUE"""),0.0)</f>
        <v>0</v>
      </c>
      <c r="J680" s="4">
        <f>IFERROR(__xludf.DUMMYFUNCTION("""COMPUTED_VALUE"""),0.0)</f>
        <v>0</v>
      </c>
      <c r="K680" s="4">
        <f>IFERROR(__xludf.DUMMYFUNCTION("""COMPUTED_VALUE"""),0.0)</f>
        <v>0</v>
      </c>
    </row>
    <row r="681" ht="22.5" customHeight="1">
      <c r="A681" s="2" t="str">
        <f>IFERROR(__xludf.DUMMYFUNCTION("""COMPUTED_VALUE"""),"L2")</f>
        <v>L2</v>
      </c>
      <c r="B681" s="2" t="str">
        <f>IFERROR(__xludf.DUMMYFUNCTION("""COMPUTED_VALUE"""),"2026-08")</f>
        <v>2026-08</v>
      </c>
      <c r="C681" s="2" t="str">
        <f>IFERROR(__xludf.DUMMYFUNCTION("""COMPUTED_VALUE"""),"WINREG-SD")</f>
        <v>WINREG-SD</v>
      </c>
      <c r="D681" s="2">
        <f>IFERROR(__xludf.DUMMYFUNCTION("""COMPUTED_VALUE"""),0.0)</f>
        <v>0</v>
      </c>
      <c r="E681" s="2">
        <f>IFERROR(__xludf.DUMMYFUNCTION("""COMPUTED_VALUE"""),0.0)</f>
        <v>0</v>
      </c>
      <c r="F681" s="4">
        <f>IFERROR(__xludf.DUMMYFUNCTION("""COMPUTED_VALUE"""),0.0)</f>
        <v>0</v>
      </c>
      <c r="G681" s="4">
        <f>IFERROR(__xludf.DUMMYFUNCTION("""COMPUTED_VALUE"""),0.0)</f>
        <v>0</v>
      </c>
      <c r="H681" s="9">
        <f>IFERROR(__xludf.DUMMYFUNCTION("""COMPUTED_VALUE"""),1.32264)</f>
        <v>1.32264</v>
      </c>
      <c r="I681" s="4">
        <f>IFERROR(__xludf.DUMMYFUNCTION("""COMPUTED_VALUE"""),0.0)</f>
        <v>0</v>
      </c>
      <c r="J681" s="4">
        <f>IFERROR(__xludf.DUMMYFUNCTION("""COMPUTED_VALUE"""),0.0)</f>
        <v>0</v>
      </c>
      <c r="K681" s="4">
        <f>IFERROR(__xludf.DUMMYFUNCTION("""COMPUTED_VALUE"""),0.0)</f>
        <v>0</v>
      </c>
    </row>
    <row r="682" ht="22.5" customHeight="1">
      <c r="A682" s="2" t="str">
        <f>IFERROR(__xludf.DUMMYFUNCTION("""COMPUTED_VALUE"""),"L2")</f>
        <v>L2</v>
      </c>
      <c r="B682" s="2" t="str">
        <f>IFERROR(__xludf.DUMMYFUNCTION("""COMPUTED_VALUE"""),"2026-09")</f>
        <v>2026-09</v>
      </c>
      <c r="C682" s="2" t="str">
        <f>IFERROR(__xludf.DUMMYFUNCTION("""COMPUTED_VALUE"""),"WINREG-SD")</f>
        <v>WINREG-SD</v>
      </c>
      <c r="D682" s="2">
        <f>IFERROR(__xludf.DUMMYFUNCTION("""COMPUTED_VALUE"""),0.0)</f>
        <v>0</v>
      </c>
      <c r="E682" s="2">
        <f>IFERROR(__xludf.DUMMYFUNCTION("""COMPUTED_VALUE"""),0.0)</f>
        <v>0</v>
      </c>
      <c r="F682" s="4">
        <f>IFERROR(__xludf.DUMMYFUNCTION("""COMPUTED_VALUE"""),0.0)</f>
        <v>0</v>
      </c>
      <c r="G682" s="4">
        <f>IFERROR(__xludf.DUMMYFUNCTION("""COMPUTED_VALUE"""),0.0)</f>
        <v>0</v>
      </c>
      <c r="H682" s="9">
        <f>IFERROR(__xludf.DUMMYFUNCTION("""COMPUTED_VALUE"""),1.32264)</f>
        <v>1.32264</v>
      </c>
      <c r="I682" s="4">
        <f>IFERROR(__xludf.DUMMYFUNCTION("""COMPUTED_VALUE"""),0.0)</f>
        <v>0</v>
      </c>
      <c r="J682" s="4">
        <f>IFERROR(__xludf.DUMMYFUNCTION("""COMPUTED_VALUE"""),0.0)</f>
        <v>0</v>
      </c>
      <c r="K682" s="4">
        <f>IFERROR(__xludf.DUMMYFUNCTION("""COMPUTED_VALUE"""),0.0)</f>
        <v>0</v>
      </c>
    </row>
    <row r="683" ht="22.5" customHeight="1">
      <c r="A683" s="2" t="str">
        <f>IFERROR(__xludf.DUMMYFUNCTION("""COMPUTED_VALUE"""),"L2")</f>
        <v>L2</v>
      </c>
      <c r="B683" s="2" t="str">
        <f>IFERROR(__xludf.DUMMYFUNCTION("""COMPUTED_VALUE"""),"2026-10")</f>
        <v>2026-10</v>
      </c>
      <c r="C683" s="2" t="str">
        <f>IFERROR(__xludf.DUMMYFUNCTION("""COMPUTED_VALUE"""),"WINREG-SD")</f>
        <v>WINREG-SD</v>
      </c>
      <c r="D683" s="2">
        <f>IFERROR(__xludf.DUMMYFUNCTION("""COMPUTED_VALUE"""),0.0)</f>
        <v>0</v>
      </c>
      <c r="E683" s="2">
        <f>IFERROR(__xludf.DUMMYFUNCTION("""COMPUTED_VALUE"""),0.0)</f>
        <v>0</v>
      </c>
      <c r="F683" s="4">
        <f>IFERROR(__xludf.DUMMYFUNCTION("""COMPUTED_VALUE"""),0.0)</f>
        <v>0</v>
      </c>
      <c r="G683" s="4">
        <f>IFERROR(__xludf.DUMMYFUNCTION("""COMPUTED_VALUE"""),0.0)</f>
        <v>0</v>
      </c>
      <c r="H683" s="9">
        <f>IFERROR(__xludf.DUMMYFUNCTION("""COMPUTED_VALUE"""),1.32264)</f>
        <v>1.32264</v>
      </c>
      <c r="I683" s="4">
        <f>IFERROR(__xludf.DUMMYFUNCTION("""COMPUTED_VALUE"""),0.0)</f>
        <v>0</v>
      </c>
      <c r="J683" s="4">
        <f>IFERROR(__xludf.DUMMYFUNCTION("""COMPUTED_VALUE"""),0.0)</f>
        <v>0</v>
      </c>
      <c r="K683" s="4">
        <f>IFERROR(__xludf.DUMMYFUNCTION("""COMPUTED_VALUE"""),0.0)</f>
        <v>0</v>
      </c>
    </row>
    <row r="684" ht="22.5" customHeight="1">
      <c r="A684" s="2" t="str">
        <f>IFERROR(__xludf.DUMMYFUNCTION("""COMPUTED_VALUE"""),"L2")</f>
        <v>L2</v>
      </c>
      <c r="B684" s="2" t="str">
        <f>IFERROR(__xludf.DUMMYFUNCTION("""COMPUTED_VALUE"""),"2026-11")</f>
        <v>2026-11</v>
      </c>
      <c r="C684" s="2" t="str">
        <f>IFERROR(__xludf.DUMMYFUNCTION("""COMPUTED_VALUE"""),"WINREG-SD")</f>
        <v>WINREG-SD</v>
      </c>
      <c r="D684" s="2">
        <f>IFERROR(__xludf.DUMMYFUNCTION("""COMPUTED_VALUE"""),0.0)</f>
        <v>0</v>
      </c>
      <c r="E684" s="2">
        <f>IFERROR(__xludf.DUMMYFUNCTION("""COMPUTED_VALUE"""),0.0)</f>
        <v>0</v>
      </c>
      <c r="F684" s="4">
        <f>IFERROR(__xludf.DUMMYFUNCTION("""COMPUTED_VALUE"""),0.0)</f>
        <v>0</v>
      </c>
      <c r="G684" s="4">
        <f>IFERROR(__xludf.DUMMYFUNCTION("""COMPUTED_VALUE"""),0.0)</f>
        <v>0</v>
      </c>
      <c r="H684" s="9">
        <f>IFERROR(__xludf.DUMMYFUNCTION("""COMPUTED_VALUE"""),1.32264)</f>
        <v>1.32264</v>
      </c>
      <c r="I684" s="4">
        <f>IFERROR(__xludf.DUMMYFUNCTION("""COMPUTED_VALUE"""),0.0)</f>
        <v>0</v>
      </c>
      <c r="J684" s="4">
        <f>IFERROR(__xludf.DUMMYFUNCTION("""COMPUTED_VALUE"""),0.0)</f>
        <v>0</v>
      </c>
      <c r="K684" s="4">
        <f>IFERROR(__xludf.DUMMYFUNCTION("""COMPUTED_VALUE"""),0.0)</f>
        <v>0</v>
      </c>
    </row>
    <row r="685" ht="22.5" customHeight="1">
      <c r="A685" s="2" t="str">
        <f>IFERROR(__xludf.DUMMYFUNCTION("""COMPUTED_VALUE"""),"L2")</f>
        <v>L2</v>
      </c>
      <c r="B685" s="2" t="str">
        <f>IFERROR(__xludf.DUMMYFUNCTION("""COMPUTED_VALUE"""),"2026-12")</f>
        <v>2026-12</v>
      </c>
      <c r="C685" s="2" t="str">
        <f>IFERROR(__xludf.DUMMYFUNCTION("""COMPUTED_VALUE"""),"WINREG-SD")</f>
        <v>WINREG-SD</v>
      </c>
      <c r="D685" s="2">
        <f>IFERROR(__xludf.DUMMYFUNCTION("""COMPUTED_VALUE"""),0.0)</f>
        <v>0</v>
      </c>
      <c r="E685" s="2">
        <f>IFERROR(__xludf.DUMMYFUNCTION("""COMPUTED_VALUE"""),0.0)</f>
        <v>0</v>
      </c>
      <c r="F685" s="4">
        <f>IFERROR(__xludf.DUMMYFUNCTION("""COMPUTED_VALUE"""),0.0)</f>
        <v>0</v>
      </c>
      <c r="G685" s="4">
        <f>IFERROR(__xludf.DUMMYFUNCTION("""COMPUTED_VALUE"""),0.0)</f>
        <v>0</v>
      </c>
      <c r="H685" s="9">
        <f>IFERROR(__xludf.DUMMYFUNCTION("""COMPUTED_VALUE"""),1.32264)</f>
        <v>1.32264</v>
      </c>
      <c r="I685" s="4">
        <f>IFERROR(__xludf.DUMMYFUNCTION("""COMPUTED_VALUE"""),0.0)</f>
        <v>0</v>
      </c>
      <c r="J685" s="4">
        <f>IFERROR(__xludf.DUMMYFUNCTION("""COMPUTED_VALUE"""),0.0)</f>
        <v>0</v>
      </c>
      <c r="K685" s="4">
        <f>IFERROR(__xludf.DUMMYFUNCTION("""COMPUTED_VALUE"""),0.0)</f>
        <v>0</v>
      </c>
    </row>
    <row r="686" ht="22.5" customHeight="1">
      <c r="A686" s="2" t="str">
        <f>IFERROR(__xludf.DUMMYFUNCTION("""COMPUTED_VALUE"""),"L2")</f>
        <v>L2</v>
      </c>
      <c r="B686" s="2" t="str">
        <f>IFERROR(__xludf.DUMMYFUNCTION("""COMPUTED_VALUE"""),"2026-01")</f>
        <v>2026-01</v>
      </c>
      <c r="C686" s="2" t="str">
        <f>IFERROR(__xludf.DUMMYFUNCTION("""COMPUTED_VALUE"""),"WINREG-SD - LX")</f>
        <v>WINREG-SD - LX</v>
      </c>
      <c r="D686" s="2">
        <f>IFERROR(__xludf.DUMMYFUNCTION("""COMPUTED_VALUE"""),0.0)</f>
        <v>0</v>
      </c>
      <c r="E686" s="2">
        <f>IFERROR(__xludf.DUMMYFUNCTION("""COMPUTED_VALUE"""),0.0)</f>
        <v>0</v>
      </c>
      <c r="F686" s="4">
        <f>IFERROR(__xludf.DUMMYFUNCTION("""COMPUTED_VALUE"""),0.0)</f>
        <v>0</v>
      </c>
      <c r="G686" s="4">
        <f>IFERROR(__xludf.DUMMYFUNCTION("""COMPUTED_VALUE"""),0.0)</f>
        <v>0</v>
      </c>
      <c r="H686" s="9">
        <f>IFERROR(__xludf.DUMMYFUNCTION("""COMPUTED_VALUE"""),1.32264)</f>
        <v>1.32264</v>
      </c>
      <c r="I686" s="4">
        <f>IFERROR(__xludf.DUMMYFUNCTION("""COMPUTED_VALUE"""),0.0)</f>
        <v>0</v>
      </c>
      <c r="J686" s="4">
        <f>IFERROR(__xludf.DUMMYFUNCTION("""COMPUTED_VALUE"""),44076.73266666666)</f>
        <v>44076.73267</v>
      </c>
      <c r="K686" s="4">
        <f>IFERROR(__xludf.DUMMYFUNCTION("""COMPUTED_VALUE"""),44076.73266666666)</f>
        <v>44076.73267</v>
      </c>
    </row>
    <row r="687" ht="22.5" customHeight="1">
      <c r="A687" s="2" t="str">
        <f>IFERROR(__xludf.DUMMYFUNCTION("""COMPUTED_VALUE"""),"L2")</f>
        <v>L2</v>
      </c>
      <c r="B687" s="2" t="str">
        <f>IFERROR(__xludf.DUMMYFUNCTION("""COMPUTED_VALUE"""),"2026-02")</f>
        <v>2026-02</v>
      </c>
      <c r="C687" s="2" t="str">
        <f>IFERROR(__xludf.DUMMYFUNCTION("""COMPUTED_VALUE"""),"WINREG-SD - LX")</f>
        <v>WINREG-SD - LX</v>
      </c>
      <c r="D687" s="2">
        <f>IFERROR(__xludf.DUMMYFUNCTION("""COMPUTED_VALUE"""),0.0)</f>
        <v>0</v>
      </c>
      <c r="E687" s="2">
        <f>IFERROR(__xludf.DUMMYFUNCTION("""COMPUTED_VALUE"""),0.0)</f>
        <v>0</v>
      </c>
      <c r="F687" s="4">
        <f>IFERROR(__xludf.DUMMYFUNCTION("""COMPUTED_VALUE"""),0.0)</f>
        <v>0</v>
      </c>
      <c r="G687" s="4">
        <f>IFERROR(__xludf.DUMMYFUNCTION("""COMPUTED_VALUE"""),0.0)</f>
        <v>0</v>
      </c>
      <c r="H687" s="9">
        <f>IFERROR(__xludf.DUMMYFUNCTION("""COMPUTED_VALUE"""),1.32264)</f>
        <v>1.32264</v>
      </c>
      <c r="I687" s="4">
        <f>IFERROR(__xludf.DUMMYFUNCTION("""COMPUTED_VALUE"""),0.0)</f>
        <v>0</v>
      </c>
      <c r="J687" s="4">
        <f>IFERROR(__xludf.DUMMYFUNCTION("""COMPUTED_VALUE"""),43991.395333333334)</f>
        <v>43991.39533</v>
      </c>
      <c r="K687" s="4">
        <f>IFERROR(__xludf.DUMMYFUNCTION("""COMPUTED_VALUE"""),43991.395333333334)</f>
        <v>43991.39533</v>
      </c>
    </row>
    <row r="688" ht="22.5" customHeight="1">
      <c r="A688" s="2" t="str">
        <f>IFERROR(__xludf.DUMMYFUNCTION("""COMPUTED_VALUE"""),"L2")</f>
        <v>L2</v>
      </c>
      <c r="B688" s="2" t="str">
        <f>IFERROR(__xludf.DUMMYFUNCTION("""COMPUTED_VALUE"""),"2026-03")</f>
        <v>2026-03</v>
      </c>
      <c r="C688" s="2" t="str">
        <f>IFERROR(__xludf.DUMMYFUNCTION("""COMPUTED_VALUE"""),"WINREG-SD - LX")</f>
        <v>WINREG-SD - LX</v>
      </c>
      <c r="D688" s="2">
        <f>IFERROR(__xludf.DUMMYFUNCTION("""COMPUTED_VALUE"""),0.0)</f>
        <v>0</v>
      </c>
      <c r="E688" s="2">
        <f>IFERROR(__xludf.DUMMYFUNCTION("""COMPUTED_VALUE"""),0.0)</f>
        <v>0</v>
      </c>
      <c r="F688" s="4">
        <f>IFERROR(__xludf.DUMMYFUNCTION("""COMPUTED_VALUE"""),0.0)</f>
        <v>0</v>
      </c>
      <c r="G688" s="4">
        <f>IFERROR(__xludf.DUMMYFUNCTION("""COMPUTED_VALUE"""),0.0)</f>
        <v>0</v>
      </c>
      <c r="H688" s="9">
        <f>IFERROR(__xludf.DUMMYFUNCTION("""COMPUTED_VALUE"""),1.32264)</f>
        <v>1.32264</v>
      </c>
      <c r="I688" s="4">
        <f>IFERROR(__xludf.DUMMYFUNCTION("""COMPUTED_VALUE"""),0.0)</f>
        <v>0</v>
      </c>
      <c r="J688" s="4">
        <f>IFERROR(__xludf.DUMMYFUNCTION("""COMPUTED_VALUE"""),43991.395333333334)</f>
        <v>43991.39533</v>
      </c>
      <c r="K688" s="4">
        <f>IFERROR(__xludf.DUMMYFUNCTION("""COMPUTED_VALUE"""),43991.395333333334)</f>
        <v>43991.39533</v>
      </c>
    </row>
    <row r="689" ht="22.5" customHeight="1">
      <c r="A689" s="2" t="str">
        <f>IFERROR(__xludf.DUMMYFUNCTION("""COMPUTED_VALUE"""),"L2")</f>
        <v>L2</v>
      </c>
      <c r="B689" s="2" t="str">
        <f>IFERROR(__xludf.DUMMYFUNCTION("""COMPUTED_VALUE"""),"2026-04")</f>
        <v>2026-04</v>
      </c>
      <c r="C689" s="2" t="str">
        <f>IFERROR(__xludf.DUMMYFUNCTION("""COMPUTED_VALUE"""),"WINREG-SD - LX")</f>
        <v>WINREG-SD - LX</v>
      </c>
      <c r="D689" s="2">
        <f>IFERROR(__xludf.DUMMYFUNCTION("""COMPUTED_VALUE"""),0.0)</f>
        <v>0</v>
      </c>
      <c r="E689" s="2">
        <f>IFERROR(__xludf.DUMMYFUNCTION("""COMPUTED_VALUE"""),0.0)</f>
        <v>0</v>
      </c>
      <c r="F689" s="4">
        <f>IFERROR(__xludf.DUMMYFUNCTION("""COMPUTED_VALUE"""),0.0)</f>
        <v>0</v>
      </c>
      <c r="G689" s="4">
        <f>IFERROR(__xludf.DUMMYFUNCTION("""COMPUTED_VALUE"""),0.0)</f>
        <v>0</v>
      </c>
      <c r="H689" s="9">
        <f>IFERROR(__xludf.DUMMYFUNCTION("""COMPUTED_VALUE"""),1.32264)</f>
        <v>1.32264</v>
      </c>
      <c r="I689" s="4">
        <f>IFERROR(__xludf.DUMMYFUNCTION("""COMPUTED_VALUE"""),0.0)</f>
        <v>0</v>
      </c>
      <c r="J689" s="4">
        <f>IFERROR(__xludf.DUMMYFUNCTION("""COMPUTED_VALUE"""),43991.395333333334)</f>
        <v>43991.39533</v>
      </c>
      <c r="K689" s="4">
        <f>IFERROR(__xludf.DUMMYFUNCTION("""COMPUTED_VALUE"""),43991.395333333334)</f>
        <v>43991.39533</v>
      </c>
    </row>
    <row r="690" ht="22.5" customHeight="1">
      <c r="A690" s="2" t="str">
        <f>IFERROR(__xludf.DUMMYFUNCTION("""COMPUTED_VALUE"""),"L2")</f>
        <v>L2</v>
      </c>
      <c r="B690" s="2" t="str">
        <f>IFERROR(__xludf.DUMMYFUNCTION("""COMPUTED_VALUE"""),"2026-05")</f>
        <v>2026-05</v>
      </c>
      <c r="C690" s="2" t="str">
        <f>IFERROR(__xludf.DUMMYFUNCTION("""COMPUTED_VALUE"""),"WINREG-SD - LX")</f>
        <v>WINREG-SD - LX</v>
      </c>
      <c r="D690" s="2">
        <f>IFERROR(__xludf.DUMMYFUNCTION("""COMPUTED_VALUE"""),0.0)</f>
        <v>0</v>
      </c>
      <c r="E690" s="2">
        <f>IFERROR(__xludf.DUMMYFUNCTION("""COMPUTED_VALUE"""),0.0)</f>
        <v>0</v>
      </c>
      <c r="F690" s="4">
        <f>IFERROR(__xludf.DUMMYFUNCTION("""COMPUTED_VALUE"""),0.0)</f>
        <v>0</v>
      </c>
      <c r="G690" s="4">
        <f>IFERROR(__xludf.DUMMYFUNCTION("""COMPUTED_VALUE"""),0.0)</f>
        <v>0</v>
      </c>
      <c r="H690" s="9">
        <f>IFERROR(__xludf.DUMMYFUNCTION("""COMPUTED_VALUE"""),1.32264)</f>
        <v>1.32264</v>
      </c>
      <c r="I690" s="4">
        <f>IFERROR(__xludf.DUMMYFUNCTION("""COMPUTED_VALUE"""),0.0)</f>
        <v>0</v>
      </c>
      <c r="J690" s="4">
        <f>IFERROR(__xludf.DUMMYFUNCTION("""COMPUTED_VALUE"""),43991.395333333334)</f>
        <v>43991.39533</v>
      </c>
      <c r="K690" s="4">
        <f>IFERROR(__xludf.DUMMYFUNCTION("""COMPUTED_VALUE"""),43991.395333333334)</f>
        <v>43991.39533</v>
      </c>
    </row>
    <row r="691" ht="22.5" customHeight="1">
      <c r="A691" s="2" t="str">
        <f>IFERROR(__xludf.DUMMYFUNCTION("""COMPUTED_VALUE"""),"L2")</f>
        <v>L2</v>
      </c>
      <c r="B691" s="2" t="str">
        <f>IFERROR(__xludf.DUMMYFUNCTION("""COMPUTED_VALUE"""),"2026-06")</f>
        <v>2026-06</v>
      </c>
      <c r="C691" s="2" t="str">
        <f>IFERROR(__xludf.DUMMYFUNCTION("""COMPUTED_VALUE"""),"WINREG-SD - LX")</f>
        <v>WINREG-SD - LX</v>
      </c>
      <c r="D691" s="2">
        <f>IFERROR(__xludf.DUMMYFUNCTION("""COMPUTED_VALUE"""),0.0)</f>
        <v>0</v>
      </c>
      <c r="E691" s="2">
        <f>IFERROR(__xludf.DUMMYFUNCTION("""COMPUTED_VALUE"""),0.0)</f>
        <v>0</v>
      </c>
      <c r="F691" s="4">
        <f>IFERROR(__xludf.DUMMYFUNCTION("""COMPUTED_VALUE"""),0.0)</f>
        <v>0</v>
      </c>
      <c r="G691" s="4">
        <f>IFERROR(__xludf.DUMMYFUNCTION("""COMPUTED_VALUE"""),0.0)</f>
        <v>0</v>
      </c>
      <c r="H691" s="9">
        <f>IFERROR(__xludf.DUMMYFUNCTION("""COMPUTED_VALUE"""),1.32264)</f>
        <v>1.32264</v>
      </c>
      <c r="I691" s="4">
        <f>IFERROR(__xludf.DUMMYFUNCTION("""COMPUTED_VALUE"""),0.0)</f>
        <v>0</v>
      </c>
      <c r="J691" s="4">
        <f>IFERROR(__xludf.DUMMYFUNCTION("""COMPUTED_VALUE"""),43991.395333333334)</f>
        <v>43991.39533</v>
      </c>
      <c r="K691" s="4">
        <f>IFERROR(__xludf.DUMMYFUNCTION("""COMPUTED_VALUE"""),43991.395333333334)</f>
        <v>43991.39533</v>
      </c>
    </row>
    <row r="692" ht="22.5" customHeight="1">
      <c r="A692" s="2" t="str">
        <f>IFERROR(__xludf.DUMMYFUNCTION("""COMPUTED_VALUE"""),"L2")</f>
        <v>L2</v>
      </c>
      <c r="B692" s="2" t="str">
        <f>IFERROR(__xludf.DUMMYFUNCTION("""COMPUTED_VALUE"""),"2026-07")</f>
        <v>2026-07</v>
      </c>
      <c r="C692" s="2" t="str">
        <f>IFERROR(__xludf.DUMMYFUNCTION("""COMPUTED_VALUE"""),"WINREG-SD - LX")</f>
        <v>WINREG-SD - LX</v>
      </c>
      <c r="D692" s="2">
        <f>IFERROR(__xludf.DUMMYFUNCTION("""COMPUTED_VALUE"""),0.0)</f>
        <v>0</v>
      </c>
      <c r="E692" s="2">
        <f>IFERROR(__xludf.DUMMYFUNCTION("""COMPUTED_VALUE"""),0.0)</f>
        <v>0</v>
      </c>
      <c r="F692" s="4">
        <f>IFERROR(__xludf.DUMMYFUNCTION("""COMPUTED_VALUE"""),0.0)</f>
        <v>0</v>
      </c>
      <c r="G692" s="4">
        <f>IFERROR(__xludf.DUMMYFUNCTION("""COMPUTED_VALUE"""),0.0)</f>
        <v>0</v>
      </c>
      <c r="H692" s="9">
        <f>IFERROR(__xludf.DUMMYFUNCTION("""COMPUTED_VALUE"""),1.32264)</f>
        <v>1.32264</v>
      </c>
      <c r="I692" s="4">
        <f>IFERROR(__xludf.DUMMYFUNCTION("""COMPUTED_VALUE"""),0.0)</f>
        <v>0</v>
      </c>
      <c r="J692" s="4">
        <f>IFERROR(__xludf.DUMMYFUNCTION("""COMPUTED_VALUE"""),43991.395333333334)</f>
        <v>43991.39533</v>
      </c>
      <c r="K692" s="4">
        <f>IFERROR(__xludf.DUMMYFUNCTION("""COMPUTED_VALUE"""),43991.395333333334)</f>
        <v>43991.39533</v>
      </c>
    </row>
    <row r="693" ht="22.5" customHeight="1">
      <c r="A693" s="2" t="str">
        <f>IFERROR(__xludf.DUMMYFUNCTION("""COMPUTED_VALUE"""),"L2")</f>
        <v>L2</v>
      </c>
      <c r="B693" s="2" t="str">
        <f>IFERROR(__xludf.DUMMYFUNCTION("""COMPUTED_VALUE"""),"2026-08")</f>
        <v>2026-08</v>
      </c>
      <c r="C693" s="2" t="str">
        <f>IFERROR(__xludf.DUMMYFUNCTION("""COMPUTED_VALUE"""),"WINREG-SD - LX")</f>
        <v>WINREG-SD - LX</v>
      </c>
      <c r="D693" s="2">
        <f>IFERROR(__xludf.DUMMYFUNCTION("""COMPUTED_VALUE"""),0.0)</f>
        <v>0</v>
      </c>
      <c r="E693" s="2">
        <f>IFERROR(__xludf.DUMMYFUNCTION("""COMPUTED_VALUE"""),0.0)</f>
        <v>0</v>
      </c>
      <c r="F693" s="4">
        <f>IFERROR(__xludf.DUMMYFUNCTION("""COMPUTED_VALUE"""),0.0)</f>
        <v>0</v>
      </c>
      <c r="G693" s="4">
        <f>IFERROR(__xludf.DUMMYFUNCTION("""COMPUTED_VALUE"""),0.0)</f>
        <v>0</v>
      </c>
      <c r="H693" s="9">
        <f>IFERROR(__xludf.DUMMYFUNCTION("""COMPUTED_VALUE"""),1.32264)</f>
        <v>1.32264</v>
      </c>
      <c r="I693" s="4">
        <f>IFERROR(__xludf.DUMMYFUNCTION("""COMPUTED_VALUE"""),0.0)</f>
        <v>0</v>
      </c>
      <c r="J693" s="4">
        <f>IFERROR(__xludf.DUMMYFUNCTION("""COMPUTED_VALUE"""),43991.395333333334)</f>
        <v>43991.39533</v>
      </c>
      <c r="K693" s="4">
        <f>IFERROR(__xludf.DUMMYFUNCTION("""COMPUTED_VALUE"""),43991.395333333334)</f>
        <v>43991.39533</v>
      </c>
    </row>
    <row r="694" ht="22.5" customHeight="1">
      <c r="A694" s="2" t="str">
        <f>IFERROR(__xludf.DUMMYFUNCTION("""COMPUTED_VALUE"""),"L2")</f>
        <v>L2</v>
      </c>
      <c r="B694" s="2" t="str">
        <f>IFERROR(__xludf.DUMMYFUNCTION("""COMPUTED_VALUE"""),"2026-09")</f>
        <v>2026-09</v>
      </c>
      <c r="C694" s="2" t="str">
        <f>IFERROR(__xludf.DUMMYFUNCTION("""COMPUTED_VALUE"""),"WINREG-SD - LX")</f>
        <v>WINREG-SD - LX</v>
      </c>
      <c r="D694" s="2">
        <f>IFERROR(__xludf.DUMMYFUNCTION("""COMPUTED_VALUE"""),0.0)</f>
        <v>0</v>
      </c>
      <c r="E694" s="2">
        <f>IFERROR(__xludf.DUMMYFUNCTION("""COMPUTED_VALUE"""),0.0)</f>
        <v>0</v>
      </c>
      <c r="F694" s="4">
        <f>IFERROR(__xludf.DUMMYFUNCTION("""COMPUTED_VALUE"""),0.0)</f>
        <v>0</v>
      </c>
      <c r="G694" s="4">
        <f>IFERROR(__xludf.DUMMYFUNCTION("""COMPUTED_VALUE"""),0.0)</f>
        <v>0</v>
      </c>
      <c r="H694" s="9">
        <f>IFERROR(__xludf.DUMMYFUNCTION("""COMPUTED_VALUE"""),1.32264)</f>
        <v>1.32264</v>
      </c>
      <c r="I694" s="4">
        <f>IFERROR(__xludf.DUMMYFUNCTION("""COMPUTED_VALUE"""),0.0)</f>
        <v>0</v>
      </c>
      <c r="J694" s="4">
        <f>IFERROR(__xludf.DUMMYFUNCTION("""COMPUTED_VALUE"""),43991.395333333334)</f>
        <v>43991.39533</v>
      </c>
      <c r="K694" s="4">
        <f>IFERROR(__xludf.DUMMYFUNCTION("""COMPUTED_VALUE"""),43991.395333333334)</f>
        <v>43991.39533</v>
      </c>
    </row>
    <row r="695" ht="22.5" customHeight="1">
      <c r="A695" s="2" t="str">
        <f>IFERROR(__xludf.DUMMYFUNCTION("""COMPUTED_VALUE"""),"L2")</f>
        <v>L2</v>
      </c>
      <c r="B695" s="2" t="str">
        <f>IFERROR(__xludf.DUMMYFUNCTION("""COMPUTED_VALUE"""),"2026-10")</f>
        <v>2026-10</v>
      </c>
      <c r="C695" s="2" t="str">
        <f>IFERROR(__xludf.DUMMYFUNCTION("""COMPUTED_VALUE"""),"WINREG-SD - LX")</f>
        <v>WINREG-SD - LX</v>
      </c>
      <c r="D695" s="2">
        <f>IFERROR(__xludf.DUMMYFUNCTION("""COMPUTED_VALUE"""),0.0)</f>
        <v>0</v>
      </c>
      <c r="E695" s="2">
        <f>IFERROR(__xludf.DUMMYFUNCTION("""COMPUTED_VALUE"""),0.0)</f>
        <v>0</v>
      </c>
      <c r="F695" s="4">
        <f>IFERROR(__xludf.DUMMYFUNCTION("""COMPUTED_VALUE"""),0.0)</f>
        <v>0</v>
      </c>
      <c r="G695" s="4">
        <f>IFERROR(__xludf.DUMMYFUNCTION("""COMPUTED_VALUE"""),0.0)</f>
        <v>0</v>
      </c>
      <c r="H695" s="9">
        <f>IFERROR(__xludf.DUMMYFUNCTION("""COMPUTED_VALUE"""),1.32264)</f>
        <v>1.32264</v>
      </c>
      <c r="I695" s="4">
        <f>IFERROR(__xludf.DUMMYFUNCTION("""COMPUTED_VALUE"""),0.0)</f>
        <v>0</v>
      </c>
      <c r="J695" s="4">
        <f>IFERROR(__xludf.DUMMYFUNCTION("""COMPUTED_VALUE"""),43991.395333333334)</f>
        <v>43991.39533</v>
      </c>
      <c r="K695" s="4">
        <f>IFERROR(__xludf.DUMMYFUNCTION("""COMPUTED_VALUE"""),43991.395333333334)</f>
        <v>43991.39533</v>
      </c>
    </row>
    <row r="696" ht="22.5" customHeight="1">
      <c r="A696" s="2" t="str">
        <f>IFERROR(__xludf.DUMMYFUNCTION("""COMPUTED_VALUE"""),"L2")</f>
        <v>L2</v>
      </c>
      <c r="B696" s="2" t="str">
        <f>IFERROR(__xludf.DUMMYFUNCTION("""COMPUTED_VALUE"""),"2026-11")</f>
        <v>2026-11</v>
      </c>
      <c r="C696" s="2" t="str">
        <f>IFERROR(__xludf.DUMMYFUNCTION("""COMPUTED_VALUE"""),"WINREG-SD - LX")</f>
        <v>WINREG-SD - LX</v>
      </c>
      <c r="D696" s="2">
        <f>IFERROR(__xludf.DUMMYFUNCTION("""COMPUTED_VALUE"""),0.0)</f>
        <v>0</v>
      </c>
      <c r="E696" s="2">
        <f>IFERROR(__xludf.DUMMYFUNCTION("""COMPUTED_VALUE"""),0.0)</f>
        <v>0</v>
      </c>
      <c r="F696" s="4">
        <f>IFERROR(__xludf.DUMMYFUNCTION("""COMPUTED_VALUE"""),0.0)</f>
        <v>0</v>
      </c>
      <c r="G696" s="4">
        <f>IFERROR(__xludf.DUMMYFUNCTION("""COMPUTED_VALUE"""),0.0)</f>
        <v>0</v>
      </c>
      <c r="H696" s="9">
        <f>IFERROR(__xludf.DUMMYFUNCTION("""COMPUTED_VALUE"""),1.32264)</f>
        <v>1.32264</v>
      </c>
      <c r="I696" s="4">
        <f>IFERROR(__xludf.DUMMYFUNCTION("""COMPUTED_VALUE"""),0.0)</f>
        <v>0</v>
      </c>
      <c r="J696" s="4">
        <f>IFERROR(__xludf.DUMMYFUNCTION("""COMPUTED_VALUE"""),43991.395333333334)</f>
        <v>43991.39533</v>
      </c>
      <c r="K696" s="4">
        <f>IFERROR(__xludf.DUMMYFUNCTION("""COMPUTED_VALUE"""),43991.395333333334)</f>
        <v>43991.39533</v>
      </c>
    </row>
    <row r="697" ht="22.5" customHeight="1">
      <c r="A697" s="2" t="str">
        <f>IFERROR(__xludf.DUMMYFUNCTION("""COMPUTED_VALUE"""),"L2")</f>
        <v>L2</v>
      </c>
      <c r="B697" s="2" t="str">
        <f>IFERROR(__xludf.DUMMYFUNCTION("""COMPUTED_VALUE"""),"2026-12")</f>
        <v>2026-12</v>
      </c>
      <c r="C697" s="2" t="str">
        <f>IFERROR(__xludf.DUMMYFUNCTION("""COMPUTED_VALUE"""),"WINREG-SD - LX")</f>
        <v>WINREG-SD - LX</v>
      </c>
      <c r="D697" s="2">
        <f>IFERROR(__xludf.DUMMYFUNCTION("""COMPUTED_VALUE"""),0.0)</f>
        <v>0</v>
      </c>
      <c r="E697" s="2">
        <f>IFERROR(__xludf.DUMMYFUNCTION("""COMPUTED_VALUE"""),0.0)</f>
        <v>0</v>
      </c>
      <c r="F697" s="4">
        <f>IFERROR(__xludf.DUMMYFUNCTION("""COMPUTED_VALUE"""),0.0)</f>
        <v>0</v>
      </c>
      <c r="G697" s="4">
        <f>IFERROR(__xludf.DUMMYFUNCTION("""COMPUTED_VALUE"""),0.0)</f>
        <v>0</v>
      </c>
      <c r="H697" s="9">
        <f>IFERROR(__xludf.DUMMYFUNCTION("""COMPUTED_VALUE"""),1.32264)</f>
        <v>1.32264</v>
      </c>
      <c r="I697" s="4">
        <f>IFERROR(__xludf.DUMMYFUNCTION("""COMPUTED_VALUE"""),0.0)</f>
        <v>0</v>
      </c>
      <c r="J697" s="4">
        <f>IFERROR(__xludf.DUMMYFUNCTION("""COMPUTED_VALUE"""),43991.395333333334)</f>
        <v>43991.39533</v>
      </c>
      <c r="K697" s="4">
        <f>IFERROR(__xludf.DUMMYFUNCTION("""COMPUTED_VALUE"""),43991.395333333334)</f>
        <v>43991.39533</v>
      </c>
    </row>
    <row r="698" ht="22.5" customHeight="1">
      <c r="A698" s="2" t="str">
        <f>IFERROR(__xludf.DUMMYFUNCTION("""COMPUTED_VALUE"""),"L2")</f>
        <v>L2</v>
      </c>
      <c r="B698" s="2" t="str">
        <f>IFERROR(__xludf.DUMMYFUNCTION("""COMPUTED_VALUE"""),"2026-01")</f>
        <v>2026-01</v>
      </c>
      <c r="C698" s="2" t="str">
        <f>IFERROR(__xludf.DUMMYFUNCTION("""COMPUTED_VALUE"""),"WINREG-SUV")</f>
        <v>WINREG-SUV</v>
      </c>
      <c r="D698" s="2">
        <f>IFERROR(__xludf.DUMMYFUNCTION("""COMPUTED_VALUE"""),0.0)</f>
        <v>0</v>
      </c>
      <c r="E698" s="2">
        <f>IFERROR(__xludf.DUMMYFUNCTION("""COMPUTED_VALUE"""),0.0)</f>
        <v>0</v>
      </c>
      <c r="F698" s="4">
        <f>IFERROR(__xludf.DUMMYFUNCTION("""COMPUTED_VALUE"""),0.0)</f>
        <v>0</v>
      </c>
      <c r="G698" s="4">
        <f>IFERROR(__xludf.DUMMYFUNCTION("""COMPUTED_VALUE"""),0.0)</f>
        <v>0</v>
      </c>
      <c r="H698" s="9">
        <f>IFERROR(__xludf.DUMMYFUNCTION("""COMPUTED_VALUE"""),1.32264)</f>
        <v>1.32264</v>
      </c>
      <c r="I698" s="4">
        <f>IFERROR(__xludf.DUMMYFUNCTION("""COMPUTED_VALUE"""),0.0)</f>
        <v>0</v>
      </c>
      <c r="J698" s="4">
        <f>IFERROR(__xludf.DUMMYFUNCTION("""COMPUTED_VALUE"""),13690.125499999998)</f>
        <v>13690.1255</v>
      </c>
      <c r="K698" s="4">
        <f>IFERROR(__xludf.DUMMYFUNCTION("""COMPUTED_VALUE"""),13690.125499999998)</f>
        <v>13690.1255</v>
      </c>
    </row>
    <row r="699" ht="22.5" customHeight="1">
      <c r="A699" s="2" t="str">
        <f>IFERROR(__xludf.DUMMYFUNCTION("""COMPUTED_VALUE"""),"L2")</f>
        <v>L2</v>
      </c>
      <c r="B699" s="2" t="str">
        <f>IFERROR(__xludf.DUMMYFUNCTION("""COMPUTED_VALUE"""),"2026-02")</f>
        <v>2026-02</v>
      </c>
      <c r="C699" s="2" t="str">
        <f>IFERROR(__xludf.DUMMYFUNCTION("""COMPUTED_VALUE"""),"WINREG-SUV")</f>
        <v>WINREG-SUV</v>
      </c>
      <c r="D699" s="2">
        <f>IFERROR(__xludf.DUMMYFUNCTION("""COMPUTED_VALUE"""),0.0)</f>
        <v>0</v>
      </c>
      <c r="E699" s="2">
        <f>IFERROR(__xludf.DUMMYFUNCTION("""COMPUTED_VALUE"""),0.0)</f>
        <v>0</v>
      </c>
      <c r="F699" s="4">
        <f>IFERROR(__xludf.DUMMYFUNCTION("""COMPUTED_VALUE"""),0.0)</f>
        <v>0</v>
      </c>
      <c r="G699" s="4">
        <f>IFERROR(__xludf.DUMMYFUNCTION("""COMPUTED_VALUE"""),0.0)</f>
        <v>0</v>
      </c>
      <c r="H699" s="9">
        <f>IFERROR(__xludf.DUMMYFUNCTION("""COMPUTED_VALUE"""),1.32264)</f>
        <v>1.32264</v>
      </c>
      <c r="I699" s="4">
        <f>IFERROR(__xludf.DUMMYFUNCTION("""COMPUTED_VALUE"""),0.0)</f>
        <v>0</v>
      </c>
      <c r="J699" s="4">
        <f>IFERROR(__xludf.DUMMYFUNCTION("""COMPUTED_VALUE"""),13633.32)</f>
        <v>13633.32</v>
      </c>
      <c r="K699" s="4">
        <f>IFERROR(__xludf.DUMMYFUNCTION("""COMPUTED_VALUE"""),13633.32)</f>
        <v>13633.32</v>
      </c>
    </row>
    <row r="700" ht="22.5" customHeight="1">
      <c r="A700" s="2" t="str">
        <f>IFERROR(__xludf.DUMMYFUNCTION("""COMPUTED_VALUE"""),"L2")</f>
        <v>L2</v>
      </c>
      <c r="B700" s="2" t="str">
        <f>IFERROR(__xludf.DUMMYFUNCTION("""COMPUTED_VALUE"""),"2026-03")</f>
        <v>2026-03</v>
      </c>
      <c r="C700" s="2" t="str">
        <f>IFERROR(__xludf.DUMMYFUNCTION("""COMPUTED_VALUE"""),"WINREG-SUV")</f>
        <v>WINREG-SUV</v>
      </c>
      <c r="D700" s="2">
        <f>IFERROR(__xludf.DUMMYFUNCTION("""COMPUTED_VALUE"""),0.0)</f>
        <v>0</v>
      </c>
      <c r="E700" s="2">
        <f>IFERROR(__xludf.DUMMYFUNCTION("""COMPUTED_VALUE"""),0.0)</f>
        <v>0</v>
      </c>
      <c r="F700" s="4">
        <f>IFERROR(__xludf.DUMMYFUNCTION("""COMPUTED_VALUE"""),0.0)</f>
        <v>0</v>
      </c>
      <c r="G700" s="4">
        <f>IFERROR(__xludf.DUMMYFUNCTION("""COMPUTED_VALUE"""),0.0)</f>
        <v>0</v>
      </c>
      <c r="H700" s="9">
        <f>IFERROR(__xludf.DUMMYFUNCTION("""COMPUTED_VALUE"""),1.32264)</f>
        <v>1.32264</v>
      </c>
      <c r="I700" s="4">
        <f>IFERROR(__xludf.DUMMYFUNCTION("""COMPUTED_VALUE"""),0.0)</f>
        <v>0</v>
      </c>
      <c r="J700" s="4">
        <f>IFERROR(__xludf.DUMMYFUNCTION("""COMPUTED_VALUE"""),13633.32)</f>
        <v>13633.32</v>
      </c>
      <c r="K700" s="4">
        <f>IFERROR(__xludf.DUMMYFUNCTION("""COMPUTED_VALUE"""),13633.32)</f>
        <v>13633.32</v>
      </c>
    </row>
    <row r="701" ht="22.5" customHeight="1">
      <c r="A701" s="2" t="str">
        <f>IFERROR(__xludf.DUMMYFUNCTION("""COMPUTED_VALUE"""),"L2")</f>
        <v>L2</v>
      </c>
      <c r="B701" s="2" t="str">
        <f>IFERROR(__xludf.DUMMYFUNCTION("""COMPUTED_VALUE"""),"2026-04")</f>
        <v>2026-04</v>
      </c>
      <c r="C701" s="2" t="str">
        <f>IFERROR(__xludf.DUMMYFUNCTION("""COMPUTED_VALUE"""),"WINREG-SUV")</f>
        <v>WINREG-SUV</v>
      </c>
      <c r="D701" s="2">
        <f>IFERROR(__xludf.DUMMYFUNCTION("""COMPUTED_VALUE"""),0.0)</f>
        <v>0</v>
      </c>
      <c r="E701" s="2">
        <f>IFERROR(__xludf.DUMMYFUNCTION("""COMPUTED_VALUE"""),0.0)</f>
        <v>0</v>
      </c>
      <c r="F701" s="4">
        <f>IFERROR(__xludf.DUMMYFUNCTION("""COMPUTED_VALUE"""),0.0)</f>
        <v>0</v>
      </c>
      <c r="G701" s="4">
        <f>IFERROR(__xludf.DUMMYFUNCTION("""COMPUTED_VALUE"""),0.0)</f>
        <v>0</v>
      </c>
      <c r="H701" s="9">
        <f>IFERROR(__xludf.DUMMYFUNCTION("""COMPUTED_VALUE"""),1.32264)</f>
        <v>1.32264</v>
      </c>
      <c r="I701" s="4">
        <f>IFERROR(__xludf.DUMMYFUNCTION("""COMPUTED_VALUE"""),0.0)</f>
        <v>0</v>
      </c>
      <c r="J701" s="4">
        <f>IFERROR(__xludf.DUMMYFUNCTION("""COMPUTED_VALUE"""),13633.32)</f>
        <v>13633.32</v>
      </c>
      <c r="K701" s="4">
        <f>IFERROR(__xludf.DUMMYFUNCTION("""COMPUTED_VALUE"""),13633.32)</f>
        <v>13633.32</v>
      </c>
    </row>
    <row r="702" ht="22.5" customHeight="1">
      <c r="A702" s="2" t="str">
        <f>IFERROR(__xludf.DUMMYFUNCTION("""COMPUTED_VALUE"""),"L2")</f>
        <v>L2</v>
      </c>
      <c r="B702" s="2" t="str">
        <f>IFERROR(__xludf.DUMMYFUNCTION("""COMPUTED_VALUE"""),"2026-05")</f>
        <v>2026-05</v>
      </c>
      <c r="C702" s="2" t="str">
        <f>IFERROR(__xludf.DUMMYFUNCTION("""COMPUTED_VALUE"""),"WINREG-SUV")</f>
        <v>WINREG-SUV</v>
      </c>
      <c r="D702" s="2">
        <f>IFERROR(__xludf.DUMMYFUNCTION("""COMPUTED_VALUE"""),0.0)</f>
        <v>0</v>
      </c>
      <c r="E702" s="2">
        <f>IFERROR(__xludf.DUMMYFUNCTION("""COMPUTED_VALUE"""),0.0)</f>
        <v>0</v>
      </c>
      <c r="F702" s="4">
        <f>IFERROR(__xludf.DUMMYFUNCTION("""COMPUTED_VALUE"""),0.0)</f>
        <v>0</v>
      </c>
      <c r="G702" s="4">
        <f>IFERROR(__xludf.DUMMYFUNCTION("""COMPUTED_VALUE"""),0.0)</f>
        <v>0</v>
      </c>
      <c r="H702" s="9">
        <f>IFERROR(__xludf.DUMMYFUNCTION("""COMPUTED_VALUE"""),1.32264)</f>
        <v>1.32264</v>
      </c>
      <c r="I702" s="4">
        <f>IFERROR(__xludf.DUMMYFUNCTION("""COMPUTED_VALUE"""),0.0)</f>
        <v>0</v>
      </c>
      <c r="J702" s="4">
        <f>IFERROR(__xludf.DUMMYFUNCTION("""COMPUTED_VALUE"""),13633.32)</f>
        <v>13633.32</v>
      </c>
      <c r="K702" s="4">
        <f>IFERROR(__xludf.DUMMYFUNCTION("""COMPUTED_VALUE"""),13633.32)</f>
        <v>13633.32</v>
      </c>
    </row>
    <row r="703" ht="22.5" customHeight="1">
      <c r="A703" s="2" t="str">
        <f>IFERROR(__xludf.DUMMYFUNCTION("""COMPUTED_VALUE"""),"L2")</f>
        <v>L2</v>
      </c>
      <c r="B703" s="2" t="str">
        <f>IFERROR(__xludf.DUMMYFUNCTION("""COMPUTED_VALUE"""),"2026-06")</f>
        <v>2026-06</v>
      </c>
      <c r="C703" s="2" t="str">
        <f>IFERROR(__xludf.DUMMYFUNCTION("""COMPUTED_VALUE"""),"WINREG-SUV")</f>
        <v>WINREG-SUV</v>
      </c>
      <c r="D703" s="2">
        <f>IFERROR(__xludf.DUMMYFUNCTION("""COMPUTED_VALUE"""),0.0)</f>
        <v>0</v>
      </c>
      <c r="E703" s="2">
        <f>IFERROR(__xludf.DUMMYFUNCTION("""COMPUTED_VALUE"""),0.0)</f>
        <v>0</v>
      </c>
      <c r="F703" s="4">
        <f>IFERROR(__xludf.DUMMYFUNCTION("""COMPUTED_VALUE"""),0.0)</f>
        <v>0</v>
      </c>
      <c r="G703" s="4">
        <f>IFERROR(__xludf.DUMMYFUNCTION("""COMPUTED_VALUE"""),0.0)</f>
        <v>0</v>
      </c>
      <c r="H703" s="9">
        <f>IFERROR(__xludf.DUMMYFUNCTION("""COMPUTED_VALUE"""),1.32264)</f>
        <v>1.32264</v>
      </c>
      <c r="I703" s="4">
        <f>IFERROR(__xludf.DUMMYFUNCTION("""COMPUTED_VALUE"""),0.0)</f>
        <v>0</v>
      </c>
      <c r="J703" s="4">
        <f>IFERROR(__xludf.DUMMYFUNCTION("""COMPUTED_VALUE"""),13633.32)</f>
        <v>13633.32</v>
      </c>
      <c r="K703" s="4">
        <f>IFERROR(__xludf.DUMMYFUNCTION("""COMPUTED_VALUE"""),13633.32)</f>
        <v>13633.32</v>
      </c>
    </row>
    <row r="704" ht="22.5" customHeight="1">
      <c r="A704" s="2" t="str">
        <f>IFERROR(__xludf.DUMMYFUNCTION("""COMPUTED_VALUE"""),"L2")</f>
        <v>L2</v>
      </c>
      <c r="B704" s="2" t="str">
        <f>IFERROR(__xludf.DUMMYFUNCTION("""COMPUTED_VALUE"""),"2026-07")</f>
        <v>2026-07</v>
      </c>
      <c r="C704" s="2" t="str">
        <f>IFERROR(__xludf.DUMMYFUNCTION("""COMPUTED_VALUE"""),"WINREG-SUV")</f>
        <v>WINREG-SUV</v>
      </c>
      <c r="D704" s="2">
        <f>IFERROR(__xludf.DUMMYFUNCTION("""COMPUTED_VALUE"""),0.0)</f>
        <v>0</v>
      </c>
      <c r="E704" s="2">
        <f>IFERROR(__xludf.DUMMYFUNCTION("""COMPUTED_VALUE"""),0.0)</f>
        <v>0</v>
      </c>
      <c r="F704" s="4">
        <f>IFERROR(__xludf.DUMMYFUNCTION("""COMPUTED_VALUE"""),0.0)</f>
        <v>0</v>
      </c>
      <c r="G704" s="4">
        <f>IFERROR(__xludf.DUMMYFUNCTION("""COMPUTED_VALUE"""),0.0)</f>
        <v>0</v>
      </c>
      <c r="H704" s="9">
        <f>IFERROR(__xludf.DUMMYFUNCTION("""COMPUTED_VALUE"""),1.32264)</f>
        <v>1.32264</v>
      </c>
      <c r="I704" s="4">
        <f>IFERROR(__xludf.DUMMYFUNCTION("""COMPUTED_VALUE"""),0.0)</f>
        <v>0</v>
      </c>
      <c r="J704" s="4">
        <f>IFERROR(__xludf.DUMMYFUNCTION("""COMPUTED_VALUE"""),13633.32)</f>
        <v>13633.32</v>
      </c>
      <c r="K704" s="4">
        <f>IFERROR(__xludf.DUMMYFUNCTION("""COMPUTED_VALUE"""),13633.32)</f>
        <v>13633.32</v>
      </c>
    </row>
    <row r="705" ht="22.5" customHeight="1">
      <c r="A705" s="2" t="str">
        <f>IFERROR(__xludf.DUMMYFUNCTION("""COMPUTED_VALUE"""),"L2")</f>
        <v>L2</v>
      </c>
      <c r="B705" s="2" t="str">
        <f>IFERROR(__xludf.DUMMYFUNCTION("""COMPUTED_VALUE"""),"2026-08")</f>
        <v>2026-08</v>
      </c>
      <c r="C705" s="2" t="str">
        <f>IFERROR(__xludf.DUMMYFUNCTION("""COMPUTED_VALUE"""),"WINREG-SUV")</f>
        <v>WINREG-SUV</v>
      </c>
      <c r="D705" s="2">
        <f>IFERROR(__xludf.DUMMYFUNCTION("""COMPUTED_VALUE"""),0.0)</f>
        <v>0</v>
      </c>
      <c r="E705" s="2">
        <f>IFERROR(__xludf.DUMMYFUNCTION("""COMPUTED_VALUE"""),0.0)</f>
        <v>0</v>
      </c>
      <c r="F705" s="4">
        <f>IFERROR(__xludf.DUMMYFUNCTION("""COMPUTED_VALUE"""),0.0)</f>
        <v>0</v>
      </c>
      <c r="G705" s="4">
        <f>IFERROR(__xludf.DUMMYFUNCTION("""COMPUTED_VALUE"""),0.0)</f>
        <v>0</v>
      </c>
      <c r="H705" s="9">
        <f>IFERROR(__xludf.DUMMYFUNCTION("""COMPUTED_VALUE"""),1.32264)</f>
        <v>1.32264</v>
      </c>
      <c r="I705" s="4">
        <f>IFERROR(__xludf.DUMMYFUNCTION("""COMPUTED_VALUE"""),0.0)</f>
        <v>0</v>
      </c>
      <c r="J705" s="4">
        <f>IFERROR(__xludf.DUMMYFUNCTION("""COMPUTED_VALUE"""),13633.32)</f>
        <v>13633.32</v>
      </c>
      <c r="K705" s="4">
        <f>IFERROR(__xludf.DUMMYFUNCTION("""COMPUTED_VALUE"""),13633.32)</f>
        <v>13633.32</v>
      </c>
    </row>
    <row r="706" ht="22.5" customHeight="1">
      <c r="A706" s="2" t="str">
        <f>IFERROR(__xludf.DUMMYFUNCTION("""COMPUTED_VALUE"""),"L2")</f>
        <v>L2</v>
      </c>
      <c r="B706" s="2" t="str">
        <f>IFERROR(__xludf.DUMMYFUNCTION("""COMPUTED_VALUE"""),"2026-09")</f>
        <v>2026-09</v>
      </c>
      <c r="C706" s="2" t="str">
        <f>IFERROR(__xludf.DUMMYFUNCTION("""COMPUTED_VALUE"""),"WINREG-SUV")</f>
        <v>WINREG-SUV</v>
      </c>
      <c r="D706" s="2">
        <f>IFERROR(__xludf.DUMMYFUNCTION("""COMPUTED_VALUE"""),0.0)</f>
        <v>0</v>
      </c>
      <c r="E706" s="2">
        <f>IFERROR(__xludf.DUMMYFUNCTION("""COMPUTED_VALUE"""),0.0)</f>
        <v>0</v>
      </c>
      <c r="F706" s="4">
        <f>IFERROR(__xludf.DUMMYFUNCTION("""COMPUTED_VALUE"""),0.0)</f>
        <v>0</v>
      </c>
      <c r="G706" s="4">
        <f>IFERROR(__xludf.DUMMYFUNCTION("""COMPUTED_VALUE"""),0.0)</f>
        <v>0</v>
      </c>
      <c r="H706" s="9">
        <f>IFERROR(__xludf.DUMMYFUNCTION("""COMPUTED_VALUE"""),1.32264)</f>
        <v>1.32264</v>
      </c>
      <c r="I706" s="4">
        <f>IFERROR(__xludf.DUMMYFUNCTION("""COMPUTED_VALUE"""),0.0)</f>
        <v>0</v>
      </c>
      <c r="J706" s="4">
        <f>IFERROR(__xludf.DUMMYFUNCTION("""COMPUTED_VALUE"""),13633.32)</f>
        <v>13633.32</v>
      </c>
      <c r="K706" s="4">
        <f>IFERROR(__xludf.DUMMYFUNCTION("""COMPUTED_VALUE"""),13633.32)</f>
        <v>13633.32</v>
      </c>
    </row>
    <row r="707" ht="22.5" customHeight="1">
      <c r="A707" s="2" t="str">
        <f>IFERROR(__xludf.DUMMYFUNCTION("""COMPUTED_VALUE"""),"L2")</f>
        <v>L2</v>
      </c>
      <c r="B707" s="2" t="str">
        <f>IFERROR(__xludf.DUMMYFUNCTION("""COMPUTED_VALUE"""),"2026-10")</f>
        <v>2026-10</v>
      </c>
      <c r="C707" s="2" t="str">
        <f>IFERROR(__xludf.DUMMYFUNCTION("""COMPUTED_VALUE"""),"WINREG-SUV")</f>
        <v>WINREG-SUV</v>
      </c>
      <c r="D707" s="2">
        <f>IFERROR(__xludf.DUMMYFUNCTION("""COMPUTED_VALUE"""),0.0)</f>
        <v>0</v>
      </c>
      <c r="E707" s="2">
        <f>IFERROR(__xludf.DUMMYFUNCTION("""COMPUTED_VALUE"""),0.0)</f>
        <v>0</v>
      </c>
      <c r="F707" s="4">
        <f>IFERROR(__xludf.DUMMYFUNCTION("""COMPUTED_VALUE"""),0.0)</f>
        <v>0</v>
      </c>
      <c r="G707" s="4">
        <f>IFERROR(__xludf.DUMMYFUNCTION("""COMPUTED_VALUE"""),0.0)</f>
        <v>0</v>
      </c>
      <c r="H707" s="9">
        <f>IFERROR(__xludf.DUMMYFUNCTION("""COMPUTED_VALUE"""),1.32264)</f>
        <v>1.32264</v>
      </c>
      <c r="I707" s="4">
        <f>IFERROR(__xludf.DUMMYFUNCTION("""COMPUTED_VALUE"""),0.0)</f>
        <v>0</v>
      </c>
      <c r="J707" s="4">
        <f>IFERROR(__xludf.DUMMYFUNCTION("""COMPUTED_VALUE"""),13633.32)</f>
        <v>13633.32</v>
      </c>
      <c r="K707" s="4">
        <f>IFERROR(__xludf.DUMMYFUNCTION("""COMPUTED_VALUE"""),13633.32)</f>
        <v>13633.32</v>
      </c>
    </row>
    <row r="708" ht="22.5" customHeight="1">
      <c r="A708" s="2" t="str">
        <f>IFERROR(__xludf.DUMMYFUNCTION("""COMPUTED_VALUE"""),"L2")</f>
        <v>L2</v>
      </c>
      <c r="B708" s="2" t="str">
        <f>IFERROR(__xludf.DUMMYFUNCTION("""COMPUTED_VALUE"""),"2026-11")</f>
        <v>2026-11</v>
      </c>
      <c r="C708" s="2" t="str">
        <f>IFERROR(__xludf.DUMMYFUNCTION("""COMPUTED_VALUE"""),"WINREG-SUV")</f>
        <v>WINREG-SUV</v>
      </c>
      <c r="D708" s="2">
        <f>IFERROR(__xludf.DUMMYFUNCTION("""COMPUTED_VALUE"""),0.0)</f>
        <v>0</v>
      </c>
      <c r="E708" s="2">
        <f>IFERROR(__xludf.DUMMYFUNCTION("""COMPUTED_VALUE"""),0.0)</f>
        <v>0</v>
      </c>
      <c r="F708" s="4">
        <f>IFERROR(__xludf.DUMMYFUNCTION("""COMPUTED_VALUE"""),0.0)</f>
        <v>0</v>
      </c>
      <c r="G708" s="4">
        <f>IFERROR(__xludf.DUMMYFUNCTION("""COMPUTED_VALUE"""),0.0)</f>
        <v>0</v>
      </c>
      <c r="H708" s="9">
        <f>IFERROR(__xludf.DUMMYFUNCTION("""COMPUTED_VALUE"""),1.32264)</f>
        <v>1.32264</v>
      </c>
      <c r="I708" s="4">
        <f>IFERROR(__xludf.DUMMYFUNCTION("""COMPUTED_VALUE"""),0.0)</f>
        <v>0</v>
      </c>
      <c r="J708" s="4">
        <f>IFERROR(__xludf.DUMMYFUNCTION("""COMPUTED_VALUE"""),13633.32)</f>
        <v>13633.32</v>
      </c>
      <c r="K708" s="4">
        <f>IFERROR(__xludf.DUMMYFUNCTION("""COMPUTED_VALUE"""),13633.32)</f>
        <v>13633.32</v>
      </c>
    </row>
    <row r="709" ht="22.5" customHeight="1">
      <c r="A709" s="2" t="str">
        <f>IFERROR(__xludf.DUMMYFUNCTION("""COMPUTED_VALUE"""),"L2")</f>
        <v>L2</v>
      </c>
      <c r="B709" s="2" t="str">
        <f>IFERROR(__xludf.DUMMYFUNCTION("""COMPUTED_VALUE"""),"2026-12")</f>
        <v>2026-12</v>
      </c>
      <c r="C709" s="2" t="str">
        <f>IFERROR(__xludf.DUMMYFUNCTION("""COMPUTED_VALUE"""),"WINREG-SUV")</f>
        <v>WINREG-SUV</v>
      </c>
      <c r="D709" s="2">
        <f>IFERROR(__xludf.DUMMYFUNCTION("""COMPUTED_VALUE"""),0.0)</f>
        <v>0</v>
      </c>
      <c r="E709" s="2">
        <f>IFERROR(__xludf.DUMMYFUNCTION("""COMPUTED_VALUE"""),0.0)</f>
        <v>0</v>
      </c>
      <c r="F709" s="4">
        <f>IFERROR(__xludf.DUMMYFUNCTION("""COMPUTED_VALUE"""),0.0)</f>
        <v>0</v>
      </c>
      <c r="G709" s="4">
        <f>IFERROR(__xludf.DUMMYFUNCTION("""COMPUTED_VALUE"""),0.0)</f>
        <v>0</v>
      </c>
      <c r="H709" s="9">
        <f>IFERROR(__xludf.DUMMYFUNCTION("""COMPUTED_VALUE"""),1.32264)</f>
        <v>1.32264</v>
      </c>
      <c r="I709" s="4">
        <f>IFERROR(__xludf.DUMMYFUNCTION("""COMPUTED_VALUE"""),0.0)</f>
        <v>0</v>
      </c>
      <c r="J709" s="4">
        <f>IFERROR(__xludf.DUMMYFUNCTION("""COMPUTED_VALUE"""),13633.32)</f>
        <v>13633.32</v>
      </c>
      <c r="K709" s="4">
        <f>IFERROR(__xludf.DUMMYFUNCTION("""COMPUTED_VALUE"""),13633.32)</f>
        <v>13633.32</v>
      </c>
    </row>
    <row r="710" ht="22.5" customHeight="1">
      <c r="A710" s="2" t="str">
        <f>IFERROR(__xludf.DUMMYFUNCTION("""COMPUTED_VALUE"""),"L2")</f>
        <v>L2</v>
      </c>
      <c r="B710" s="2" t="str">
        <f>IFERROR(__xludf.DUMMYFUNCTION("""COMPUTED_VALUE"""),"2026-01")</f>
        <v>2026-01</v>
      </c>
      <c r="C710" s="2" t="str">
        <f>IFERROR(__xludf.DUMMYFUNCTION("""COMPUTED_VALUE"""),"WINREG-SUV - LX")</f>
        <v>WINREG-SUV - LX</v>
      </c>
      <c r="D710" s="2">
        <f>IFERROR(__xludf.DUMMYFUNCTION("""COMPUTED_VALUE"""),0.0)</f>
        <v>0</v>
      </c>
      <c r="E710" s="2">
        <f>IFERROR(__xludf.DUMMYFUNCTION("""COMPUTED_VALUE"""),0.0)</f>
        <v>0</v>
      </c>
      <c r="F710" s="4">
        <f>IFERROR(__xludf.DUMMYFUNCTION("""COMPUTED_VALUE"""),0.0)</f>
        <v>0</v>
      </c>
      <c r="G710" s="4">
        <f>IFERROR(__xludf.DUMMYFUNCTION("""COMPUTED_VALUE"""),0.0)</f>
        <v>0</v>
      </c>
      <c r="H710" s="9">
        <f>IFERROR(__xludf.DUMMYFUNCTION("""COMPUTED_VALUE"""),1.32264)</f>
        <v>1.32264</v>
      </c>
      <c r="I710" s="4">
        <f>IFERROR(__xludf.DUMMYFUNCTION("""COMPUTED_VALUE"""),0.0)</f>
        <v>0</v>
      </c>
      <c r="J710" s="4">
        <f>IFERROR(__xludf.DUMMYFUNCTION("""COMPUTED_VALUE"""),25901.350333333336)</f>
        <v>25901.35033</v>
      </c>
      <c r="K710" s="4">
        <f>IFERROR(__xludf.DUMMYFUNCTION("""COMPUTED_VALUE"""),25901.350333333336)</f>
        <v>25901.35033</v>
      </c>
    </row>
    <row r="711" ht="22.5" customHeight="1">
      <c r="A711" s="2" t="str">
        <f>IFERROR(__xludf.DUMMYFUNCTION("""COMPUTED_VALUE"""),"L2")</f>
        <v>L2</v>
      </c>
      <c r="B711" s="2" t="str">
        <f>IFERROR(__xludf.DUMMYFUNCTION("""COMPUTED_VALUE"""),"2026-02")</f>
        <v>2026-02</v>
      </c>
      <c r="C711" s="2" t="str">
        <f>IFERROR(__xludf.DUMMYFUNCTION("""COMPUTED_VALUE"""),"WINREG-SUV - LX")</f>
        <v>WINREG-SUV - LX</v>
      </c>
      <c r="D711" s="2">
        <f>IFERROR(__xludf.DUMMYFUNCTION("""COMPUTED_VALUE"""),0.0)</f>
        <v>0</v>
      </c>
      <c r="E711" s="2">
        <f>IFERROR(__xludf.DUMMYFUNCTION("""COMPUTED_VALUE"""),0.0)</f>
        <v>0</v>
      </c>
      <c r="F711" s="4">
        <f>IFERROR(__xludf.DUMMYFUNCTION("""COMPUTED_VALUE"""),0.0)</f>
        <v>0</v>
      </c>
      <c r="G711" s="4">
        <f>IFERROR(__xludf.DUMMYFUNCTION("""COMPUTED_VALUE"""),0.0)</f>
        <v>0</v>
      </c>
      <c r="H711" s="9">
        <f>IFERROR(__xludf.DUMMYFUNCTION("""COMPUTED_VALUE"""),1.32264)</f>
        <v>1.32264</v>
      </c>
      <c r="I711" s="4">
        <f>IFERROR(__xludf.DUMMYFUNCTION("""COMPUTED_VALUE"""),0.0)</f>
        <v>0</v>
      </c>
      <c r="J711" s="4">
        <f>IFERROR(__xludf.DUMMYFUNCTION("""COMPUTED_VALUE"""),565.5316666666668)</f>
        <v>565.5316667</v>
      </c>
      <c r="K711" s="4">
        <f>IFERROR(__xludf.DUMMYFUNCTION("""COMPUTED_VALUE"""),565.5316666666668)</f>
        <v>565.5316667</v>
      </c>
    </row>
    <row r="712" ht="22.5" customHeight="1">
      <c r="A712" s="2" t="str">
        <f>IFERROR(__xludf.DUMMYFUNCTION("""COMPUTED_VALUE"""),"L2")</f>
        <v>L2</v>
      </c>
      <c r="B712" s="2" t="str">
        <f>IFERROR(__xludf.DUMMYFUNCTION("""COMPUTED_VALUE"""),"2026-03")</f>
        <v>2026-03</v>
      </c>
      <c r="C712" s="2" t="str">
        <f>IFERROR(__xludf.DUMMYFUNCTION("""COMPUTED_VALUE"""),"WINREG-SUV - LX")</f>
        <v>WINREG-SUV - LX</v>
      </c>
      <c r="D712" s="2">
        <f>IFERROR(__xludf.DUMMYFUNCTION("""COMPUTED_VALUE"""),0.0)</f>
        <v>0</v>
      </c>
      <c r="E712" s="2">
        <f>IFERROR(__xludf.DUMMYFUNCTION("""COMPUTED_VALUE"""),0.0)</f>
        <v>0</v>
      </c>
      <c r="F712" s="4">
        <f>IFERROR(__xludf.DUMMYFUNCTION("""COMPUTED_VALUE"""),0.0)</f>
        <v>0</v>
      </c>
      <c r="G712" s="4">
        <f>IFERROR(__xludf.DUMMYFUNCTION("""COMPUTED_VALUE"""),0.0)</f>
        <v>0</v>
      </c>
      <c r="H712" s="9">
        <f>IFERROR(__xludf.DUMMYFUNCTION("""COMPUTED_VALUE"""),1.32264)</f>
        <v>1.32264</v>
      </c>
      <c r="I712" s="4">
        <f>IFERROR(__xludf.DUMMYFUNCTION("""COMPUTED_VALUE"""),0.0)</f>
        <v>0</v>
      </c>
      <c r="J712" s="4">
        <f>IFERROR(__xludf.DUMMYFUNCTION("""COMPUTED_VALUE"""),565.5316666666668)</f>
        <v>565.5316667</v>
      </c>
      <c r="K712" s="4">
        <f>IFERROR(__xludf.DUMMYFUNCTION("""COMPUTED_VALUE"""),565.5316666666668)</f>
        <v>565.5316667</v>
      </c>
    </row>
    <row r="713" ht="22.5" customHeight="1">
      <c r="A713" s="2" t="str">
        <f>IFERROR(__xludf.DUMMYFUNCTION("""COMPUTED_VALUE"""),"L2")</f>
        <v>L2</v>
      </c>
      <c r="B713" s="2" t="str">
        <f>IFERROR(__xludf.DUMMYFUNCTION("""COMPUTED_VALUE"""),"2026-04")</f>
        <v>2026-04</v>
      </c>
      <c r="C713" s="2" t="str">
        <f>IFERROR(__xludf.DUMMYFUNCTION("""COMPUTED_VALUE"""),"WINREG-SUV - LX")</f>
        <v>WINREG-SUV - LX</v>
      </c>
      <c r="D713" s="2">
        <f>IFERROR(__xludf.DUMMYFUNCTION("""COMPUTED_VALUE"""),0.0)</f>
        <v>0</v>
      </c>
      <c r="E713" s="2">
        <f>IFERROR(__xludf.DUMMYFUNCTION("""COMPUTED_VALUE"""),0.0)</f>
        <v>0</v>
      </c>
      <c r="F713" s="4">
        <f>IFERROR(__xludf.DUMMYFUNCTION("""COMPUTED_VALUE"""),0.0)</f>
        <v>0</v>
      </c>
      <c r="G713" s="4">
        <f>IFERROR(__xludf.DUMMYFUNCTION("""COMPUTED_VALUE"""),0.0)</f>
        <v>0</v>
      </c>
      <c r="H713" s="9">
        <f>IFERROR(__xludf.DUMMYFUNCTION("""COMPUTED_VALUE"""),1.32264)</f>
        <v>1.32264</v>
      </c>
      <c r="I713" s="4">
        <f>IFERROR(__xludf.DUMMYFUNCTION("""COMPUTED_VALUE"""),0.0)</f>
        <v>0</v>
      </c>
      <c r="J713" s="4">
        <f>IFERROR(__xludf.DUMMYFUNCTION("""COMPUTED_VALUE"""),565.5316666666668)</f>
        <v>565.5316667</v>
      </c>
      <c r="K713" s="4">
        <f>IFERROR(__xludf.DUMMYFUNCTION("""COMPUTED_VALUE"""),565.5316666666668)</f>
        <v>565.5316667</v>
      </c>
    </row>
    <row r="714" ht="22.5" customHeight="1">
      <c r="A714" s="2" t="str">
        <f>IFERROR(__xludf.DUMMYFUNCTION("""COMPUTED_VALUE"""),"L2")</f>
        <v>L2</v>
      </c>
      <c r="B714" s="2" t="str">
        <f>IFERROR(__xludf.DUMMYFUNCTION("""COMPUTED_VALUE"""),"2026-05")</f>
        <v>2026-05</v>
      </c>
      <c r="C714" s="2" t="str">
        <f>IFERROR(__xludf.DUMMYFUNCTION("""COMPUTED_VALUE"""),"WINREG-SUV - LX")</f>
        <v>WINREG-SUV - LX</v>
      </c>
      <c r="D714" s="2">
        <f>IFERROR(__xludf.DUMMYFUNCTION("""COMPUTED_VALUE"""),0.0)</f>
        <v>0</v>
      </c>
      <c r="E714" s="2">
        <f>IFERROR(__xludf.DUMMYFUNCTION("""COMPUTED_VALUE"""),0.0)</f>
        <v>0</v>
      </c>
      <c r="F714" s="4">
        <f>IFERROR(__xludf.DUMMYFUNCTION("""COMPUTED_VALUE"""),0.0)</f>
        <v>0</v>
      </c>
      <c r="G714" s="4">
        <f>IFERROR(__xludf.DUMMYFUNCTION("""COMPUTED_VALUE"""),0.0)</f>
        <v>0</v>
      </c>
      <c r="H714" s="9">
        <f>IFERROR(__xludf.DUMMYFUNCTION("""COMPUTED_VALUE"""),1.32264)</f>
        <v>1.32264</v>
      </c>
      <c r="I714" s="4">
        <f>IFERROR(__xludf.DUMMYFUNCTION("""COMPUTED_VALUE"""),0.0)</f>
        <v>0</v>
      </c>
      <c r="J714" s="4">
        <f>IFERROR(__xludf.DUMMYFUNCTION("""COMPUTED_VALUE"""),565.5316666666668)</f>
        <v>565.5316667</v>
      </c>
      <c r="K714" s="4">
        <f>IFERROR(__xludf.DUMMYFUNCTION("""COMPUTED_VALUE"""),565.5316666666668)</f>
        <v>565.5316667</v>
      </c>
    </row>
    <row r="715" ht="22.5" customHeight="1">
      <c r="A715" s="2" t="str">
        <f>IFERROR(__xludf.DUMMYFUNCTION("""COMPUTED_VALUE"""),"L2")</f>
        <v>L2</v>
      </c>
      <c r="B715" s="2" t="str">
        <f>IFERROR(__xludf.DUMMYFUNCTION("""COMPUTED_VALUE"""),"2026-06")</f>
        <v>2026-06</v>
      </c>
      <c r="C715" s="2" t="str">
        <f>IFERROR(__xludf.DUMMYFUNCTION("""COMPUTED_VALUE"""),"WINREG-SUV - LX")</f>
        <v>WINREG-SUV - LX</v>
      </c>
      <c r="D715" s="2">
        <f>IFERROR(__xludf.DUMMYFUNCTION("""COMPUTED_VALUE"""),0.0)</f>
        <v>0</v>
      </c>
      <c r="E715" s="2">
        <f>IFERROR(__xludf.DUMMYFUNCTION("""COMPUTED_VALUE"""),0.0)</f>
        <v>0</v>
      </c>
      <c r="F715" s="4">
        <f>IFERROR(__xludf.DUMMYFUNCTION("""COMPUTED_VALUE"""),0.0)</f>
        <v>0</v>
      </c>
      <c r="G715" s="4">
        <f>IFERROR(__xludf.DUMMYFUNCTION("""COMPUTED_VALUE"""),0.0)</f>
        <v>0</v>
      </c>
      <c r="H715" s="9">
        <f>IFERROR(__xludf.DUMMYFUNCTION("""COMPUTED_VALUE"""),1.32264)</f>
        <v>1.32264</v>
      </c>
      <c r="I715" s="4">
        <f>IFERROR(__xludf.DUMMYFUNCTION("""COMPUTED_VALUE"""),0.0)</f>
        <v>0</v>
      </c>
      <c r="J715" s="4">
        <f>IFERROR(__xludf.DUMMYFUNCTION("""COMPUTED_VALUE"""),565.5316666666668)</f>
        <v>565.5316667</v>
      </c>
      <c r="K715" s="4">
        <f>IFERROR(__xludf.DUMMYFUNCTION("""COMPUTED_VALUE"""),565.5316666666668)</f>
        <v>565.5316667</v>
      </c>
    </row>
    <row r="716" ht="22.5" customHeight="1">
      <c r="A716" s="2" t="str">
        <f>IFERROR(__xludf.DUMMYFUNCTION("""COMPUTED_VALUE"""),"L2")</f>
        <v>L2</v>
      </c>
      <c r="B716" s="2" t="str">
        <f>IFERROR(__xludf.DUMMYFUNCTION("""COMPUTED_VALUE"""),"2026-07")</f>
        <v>2026-07</v>
      </c>
      <c r="C716" s="2" t="str">
        <f>IFERROR(__xludf.DUMMYFUNCTION("""COMPUTED_VALUE"""),"WINREG-SUV - LX")</f>
        <v>WINREG-SUV - LX</v>
      </c>
      <c r="D716" s="2">
        <f>IFERROR(__xludf.DUMMYFUNCTION("""COMPUTED_VALUE"""),0.0)</f>
        <v>0</v>
      </c>
      <c r="E716" s="2">
        <f>IFERROR(__xludf.DUMMYFUNCTION("""COMPUTED_VALUE"""),0.0)</f>
        <v>0</v>
      </c>
      <c r="F716" s="4">
        <f>IFERROR(__xludf.DUMMYFUNCTION("""COMPUTED_VALUE"""),0.0)</f>
        <v>0</v>
      </c>
      <c r="G716" s="4">
        <f>IFERROR(__xludf.DUMMYFUNCTION("""COMPUTED_VALUE"""),0.0)</f>
        <v>0</v>
      </c>
      <c r="H716" s="9">
        <f>IFERROR(__xludf.DUMMYFUNCTION("""COMPUTED_VALUE"""),1.32264)</f>
        <v>1.32264</v>
      </c>
      <c r="I716" s="4">
        <f>IFERROR(__xludf.DUMMYFUNCTION("""COMPUTED_VALUE"""),0.0)</f>
        <v>0</v>
      </c>
      <c r="J716" s="4">
        <f>IFERROR(__xludf.DUMMYFUNCTION("""COMPUTED_VALUE"""),565.5316666666668)</f>
        <v>565.5316667</v>
      </c>
      <c r="K716" s="4">
        <f>IFERROR(__xludf.DUMMYFUNCTION("""COMPUTED_VALUE"""),565.5316666666668)</f>
        <v>565.5316667</v>
      </c>
    </row>
    <row r="717" ht="22.5" customHeight="1">
      <c r="A717" s="2" t="str">
        <f>IFERROR(__xludf.DUMMYFUNCTION("""COMPUTED_VALUE"""),"L2")</f>
        <v>L2</v>
      </c>
      <c r="B717" s="2" t="str">
        <f>IFERROR(__xludf.DUMMYFUNCTION("""COMPUTED_VALUE"""),"2026-08")</f>
        <v>2026-08</v>
      </c>
      <c r="C717" s="2" t="str">
        <f>IFERROR(__xludf.DUMMYFUNCTION("""COMPUTED_VALUE"""),"WINREG-SUV - LX")</f>
        <v>WINREG-SUV - LX</v>
      </c>
      <c r="D717" s="2">
        <f>IFERROR(__xludf.DUMMYFUNCTION("""COMPUTED_VALUE"""),0.0)</f>
        <v>0</v>
      </c>
      <c r="E717" s="2">
        <f>IFERROR(__xludf.DUMMYFUNCTION("""COMPUTED_VALUE"""),0.0)</f>
        <v>0</v>
      </c>
      <c r="F717" s="4">
        <f>IFERROR(__xludf.DUMMYFUNCTION("""COMPUTED_VALUE"""),0.0)</f>
        <v>0</v>
      </c>
      <c r="G717" s="4">
        <f>IFERROR(__xludf.DUMMYFUNCTION("""COMPUTED_VALUE"""),0.0)</f>
        <v>0</v>
      </c>
      <c r="H717" s="9">
        <f>IFERROR(__xludf.DUMMYFUNCTION("""COMPUTED_VALUE"""),1.32264)</f>
        <v>1.32264</v>
      </c>
      <c r="I717" s="4">
        <f>IFERROR(__xludf.DUMMYFUNCTION("""COMPUTED_VALUE"""),0.0)</f>
        <v>0</v>
      </c>
      <c r="J717" s="4">
        <f>IFERROR(__xludf.DUMMYFUNCTION("""COMPUTED_VALUE"""),565.5316666666668)</f>
        <v>565.5316667</v>
      </c>
      <c r="K717" s="4">
        <f>IFERROR(__xludf.DUMMYFUNCTION("""COMPUTED_VALUE"""),565.5316666666668)</f>
        <v>565.5316667</v>
      </c>
    </row>
    <row r="718" ht="22.5" customHeight="1">
      <c r="A718" s="2" t="str">
        <f>IFERROR(__xludf.DUMMYFUNCTION("""COMPUTED_VALUE"""),"L2")</f>
        <v>L2</v>
      </c>
      <c r="B718" s="2" t="str">
        <f>IFERROR(__xludf.DUMMYFUNCTION("""COMPUTED_VALUE"""),"2026-09")</f>
        <v>2026-09</v>
      </c>
      <c r="C718" s="2" t="str">
        <f>IFERROR(__xludf.DUMMYFUNCTION("""COMPUTED_VALUE"""),"WINREG-SUV - LX")</f>
        <v>WINREG-SUV - LX</v>
      </c>
      <c r="D718" s="2">
        <f>IFERROR(__xludf.DUMMYFUNCTION("""COMPUTED_VALUE"""),0.0)</f>
        <v>0</v>
      </c>
      <c r="E718" s="2">
        <f>IFERROR(__xludf.DUMMYFUNCTION("""COMPUTED_VALUE"""),0.0)</f>
        <v>0</v>
      </c>
      <c r="F718" s="4">
        <f>IFERROR(__xludf.DUMMYFUNCTION("""COMPUTED_VALUE"""),0.0)</f>
        <v>0</v>
      </c>
      <c r="G718" s="4">
        <f>IFERROR(__xludf.DUMMYFUNCTION("""COMPUTED_VALUE"""),0.0)</f>
        <v>0</v>
      </c>
      <c r="H718" s="9">
        <f>IFERROR(__xludf.DUMMYFUNCTION("""COMPUTED_VALUE"""),1.32264)</f>
        <v>1.32264</v>
      </c>
      <c r="I718" s="4">
        <f>IFERROR(__xludf.DUMMYFUNCTION("""COMPUTED_VALUE"""),0.0)</f>
        <v>0</v>
      </c>
      <c r="J718" s="4">
        <f>IFERROR(__xludf.DUMMYFUNCTION("""COMPUTED_VALUE"""),565.5316666666668)</f>
        <v>565.5316667</v>
      </c>
      <c r="K718" s="4">
        <f>IFERROR(__xludf.DUMMYFUNCTION("""COMPUTED_VALUE"""),565.5316666666668)</f>
        <v>565.5316667</v>
      </c>
    </row>
    <row r="719" ht="22.5" customHeight="1">
      <c r="A719" s="2" t="str">
        <f>IFERROR(__xludf.DUMMYFUNCTION("""COMPUTED_VALUE"""),"L2")</f>
        <v>L2</v>
      </c>
      <c r="B719" s="2" t="str">
        <f>IFERROR(__xludf.DUMMYFUNCTION("""COMPUTED_VALUE"""),"2026-10")</f>
        <v>2026-10</v>
      </c>
      <c r="C719" s="2" t="str">
        <f>IFERROR(__xludf.DUMMYFUNCTION("""COMPUTED_VALUE"""),"WINREG-SUV - LX")</f>
        <v>WINREG-SUV - LX</v>
      </c>
      <c r="D719" s="2">
        <f>IFERROR(__xludf.DUMMYFUNCTION("""COMPUTED_VALUE"""),0.0)</f>
        <v>0</v>
      </c>
      <c r="E719" s="2">
        <f>IFERROR(__xludf.DUMMYFUNCTION("""COMPUTED_VALUE"""),0.0)</f>
        <v>0</v>
      </c>
      <c r="F719" s="4">
        <f>IFERROR(__xludf.DUMMYFUNCTION("""COMPUTED_VALUE"""),0.0)</f>
        <v>0</v>
      </c>
      <c r="G719" s="4">
        <f>IFERROR(__xludf.DUMMYFUNCTION("""COMPUTED_VALUE"""),0.0)</f>
        <v>0</v>
      </c>
      <c r="H719" s="9">
        <f>IFERROR(__xludf.DUMMYFUNCTION("""COMPUTED_VALUE"""),1.32264)</f>
        <v>1.32264</v>
      </c>
      <c r="I719" s="4">
        <f>IFERROR(__xludf.DUMMYFUNCTION("""COMPUTED_VALUE"""),0.0)</f>
        <v>0</v>
      </c>
      <c r="J719" s="4">
        <f>IFERROR(__xludf.DUMMYFUNCTION("""COMPUTED_VALUE"""),565.5316666666668)</f>
        <v>565.5316667</v>
      </c>
      <c r="K719" s="4">
        <f>IFERROR(__xludf.DUMMYFUNCTION("""COMPUTED_VALUE"""),565.5316666666668)</f>
        <v>565.5316667</v>
      </c>
    </row>
    <row r="720" ht="22.5" customHeight="1">
      <c r="A720" s="2" t="str">
        <f>IFERROR(__xludf.DUMMYFUNCTION("""COMPUTED_VALUE"""),"L2")</f>
        <v>L2</v>
      </c>
      <c r="B720" s="2" t="str">
        <f>IFERROR(__xludf.DUMMYFUNCTION("""COMPUTED_VALUE"""),"2026-11")</f>
        <v>2026-11</v>
      </c>
      <c r="C720" s="2" t="str">
        <f>IFERROR(__xludf.DUMMYFUNCTION("""COMPUTED_VALUE"""),"WINREG-SUV - LX")</f>
        <v>WINREG-SUV - LX</v>
      </c>
      <c r="D720" s="2">
        <f>IFERROR(__xludf.DUMMYFUNCTION("""COMPUTED_VALUE"""),0.0)</f>
        <v>0</v>
      </c>
      <c r="E720" s="2">
        <f>IFERROR(__xludf.DUMMYFUNCTION("""COMPUTED_VALUE"""),0.0)</f>
        <v>0</v>
      </c>
      <c r="F720" s="4">
        <f>IFERROR(__xludf.DUMMYFUNCTION("""COMPUTED_VALUE"""),0.0)</f>
        <v>0</v>
      </c>
      <c r="G720" s="4">
        <f>IFERROR(__xludf.DUMMYFUNCTION("""COMPUTED_VALUE"""),0.0)</f>
        <v>0</v>
      </c>
      <c r="H720" s="9">
        <f>IFERROR(__xludf.DUMMYFUNCTION("""COMPUTED_VALUE"""),1.32264)</f>
        <v>1.32264</v>
      </c>
      <c r="I720" s="4">
        <f>IFERROR(__xludf.DUMMYFUNCTION("""COMPUTED_VALUE"""),0.0)</f>
        <v>0</v>
      </c>
      <c r="J720" s="4">
        <f>IFERROR(__xludf.DUMMYFUNCTION("""COMPUTED_VALUE"""),565.5316666666668)</f>
        <v>565.5316667</v>
      </c>
      <c r="K720" s="4">
        <f>IFERROR(__xludf.DUMMYFUNCTION("""COMPUTED_VALUE"""),565.5316666666668)</f>
        <v>565.5316667</v>
      </c>
    </row>
    <row r="721" ht="22.5" customHeight="1">
      <c r="A721" s="2" t="str">
        <f>IFERROR(__xludf.DUMMYFUNCTION("""COMPUTED_VALUE"""),"L2")</f>
        <v>L2</v>
      </c>
      <c r="B721" s="2" t="str">
        <f>IFERROR(__xludf.DUMMYFUNCTION("""COMPUTED_VALUE"""),"2026-12")</f>
        <v>2026-12</v>
      </c>
      <c r="C721" s="2" t="str">
        <f>IFERROR(__xludf.DUMMYFUNCTION("""COMPUTED_VALUE"""),"WINREG-SUV - LX")</f>
        <v>WINREG-SUV - LX</v>
      </c>
      <c r="D721" s="2">
        <f>IFERROR(__xludf.DUMMYFUNCTION("""COMPUTED_VALUE"""),0.0)</f>
        <v>0</v>
      </c>
      <c r="E721" s="2">
        <f>IFERROR(__xludf.DUMMYFUNCTION("""COMPUTED_VALUE"""),0.0)</f>
        <v>0</v>
      </c>
      <c r="F721" s="4">
        <f>IFERROR(__xludf.DUMMYFUNCTION("""COMPUTED_VALUE"""),0.0)</f>
        <v>0</v>
      </c>
      <c r="G721" s="4">
        <f>IFERROR(__xludf.DUMMYFUNCTION("""COMPUTED_VALUE"""),0.0)</f>
        <v>0</v>
      </c>
      <c r="H721" s="9">
        <f>IFERROR(__xludf.DUMMYFUNCTION("""COMPUTED_VALUE"""),1.32264)</f>
        <v>1.32264</v>
      </c>
      <c r="I721" s="4">
        <f>IFERROR(__xludf.DUMMYFUNCTION("""COMPUTED_VALUE"""),0.0)</f>
        <v>0</v>
      </c>
      <c r="J721" s="4">
        <f>IFERROR(__xludf.DUMMYFUNCTION("""COMPUTED_VALUE"""),565.5316666666668)</f>
        <v>565.5316667</v>
      </c>
      <c r="K721" s="4">
        <f>IFERROR(__xludf.DUMMYFUNCTION("""COMPUTED_VALUE"""),565.5316666666668)</f>
        <v>565.5316667</v>
      </c>
    </row>
  </sheetData>
  <dataValidations>
    <dataValidation type="custom" allowBlank="1" showDropDown="1" sqref="F2:F721 H2:H721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