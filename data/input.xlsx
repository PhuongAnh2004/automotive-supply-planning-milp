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l of Materials" sheetId="1" r:id="rId4"/>
    <sheet state="visible" name="Sales Forecast" sheetId="2" r:id="rId5"/>
    <sheet state="visible" name="Inventory Status" sheetId="3" r:id="rId6"/>
    <sheet state="visible" name="Assembly Capacity" sheetId="4" r:id="rId7"/>
    <sheet state="visible" name="Foreign Suppliers" sheetId="5" r:id="rId8"/>
    <sheet state="visible" name="Local Suppliers" sheetId="6" r:id="rId9"/>
    <sheet state="visible" name="Ocean Freight 2026" sheetId="7" r:id="rId10"/>
    <sheet state="visible" name="Parameters" sheetId="8" r:id="rId11"/>
    <sheet state="visible" name="Packing Specification" sheetId="9" r:id="rId12"/>
    <sheet state="visible" name="TAX" sheetId="10" r:id="rId13"/>
    <sheet state="visible" name="ASSUMPTIONS" sheetId="11" r:id="rId14"/>
    <sheet state="visible" name="BOM_FG_L1" sheetId="12" r:id="rId15"/>
    <sheet state="visible" name="BOM_L1_L2" sheetId="13" r:id="rId16"/>
    <sheet state="visible" name="DEMAND_FG" sheetId="14" r:id="rId17"/>
    <sheet state="visible" name="INV_START" sheetId="15" r:id="rId18"/>
    <sheet state="visible" name="CAP_FG" sheetId="16" r:id="rId19"/>
    <sheet state="visible" name="CONTAINER_COST_MONTH" sheetId="17" r:id="rId20"/>
    <sheet state="visible" name="ITEM_MASTER" sheetId="18" r:id="rId21"/>
    <sheet state="visible" name="COST_BUY_MONTHLY" sheetId="19" r:id="rId22"/>
  </sheets>
  <externalReferences>
    <externalReference r:id="rId23"/>
  </externalReferences>
  <definedNames>
    <definedName localSheetId="15" name="ExternalData_1">'CONTAINER_COST_MONTH'!#REF!</definedName>
    <definedName localSheetId="12" name="ExternalData_1">DEMAND_FG!#REF!</definedName>
  </definedNames>
  <calcPr/>
  <extLst>
    <ext uri="GoogleSheetsCustomDataVersion2">
      <go:sheetsCustomData xmlns:go="http://customooxmlschemas.google.com/" r:id="rId24" roundtripDataChecksum="7HJPAh+j0ybHXpXcGYeu4P4iCPbqt+1B1H+Fqa9XlXY="/>
    </ext>
  </extLst>
</workbook>
</file>

<file path=xl/sharedStrings.xml><?xml version="1.0" encoding="utf-8"?>
<sst xmlns="http://schemas.openxmlformats.org/spreadsheetml/2006/main" count="3939" uniqueCount="278">
  <si>
    <t>Level</t>
  </si>
  <si>
    <t>Vehicle Type</t>
  </si>
  <si>
    <t>Assembly Code</t>
  </si>
  <si>
    <t>Assembly Name</t>
  </si>
  <si>
    <t>Parent Code</t>
  </si>
  <si>
    <t>Quantity</t>
  </si>
  <si>
    <t>Unit</t>
  </si>
  <si>
    <t>Supplier</t>
  </si>
  <si>
    <t>Origin</t>
  </si>
  <si>
    <t>Product Item Code</t>
  </si>
  <si>
    <t>Sedan</t>
  </si>
  <si>
    <t>LSCENSD0001</t>
  </si>
  <si>
    <t>Engine - SD</t>
  </si>
  <si>
    <t/>
  </si>
  <si>
    <t>set</t>
  </si>
  <si>
    <t>LSC Automobile JP</t>
  </si>
  <si>
    <t>Japan</t>
  </si>
  <si>
    <t>SEDAN_001</t>
  </si>
  <si>
    <t>LSCTRSD0002</t>
  </si>
  <si>
    <t>Transmission - SD</t>
  </si>
  <si>
    <t>LSC Trans VN</t>
  </si>
  <si>
    <t>Vietnam</t>
  </si>
  <si>
    <t>LSCCHSD0003</t>
  </si>
  <si>
    <t>Chassis - SD</t>
  </si>
  <si>
    <t>LSCBDSD0004</t>
  </si>
  <si>
    <t>Body - SD</t>
  </si>
  <si>
    <t>LSCINSD0005</t>
  </si>
  <si>
    <t>Interior - SD</t>
  </si>
  <si>
    <t>VN Interiors Ltd</t>
  </si>
  <si>
    <t>Sedan Luxury</t>
  </si>
  <si>
    <t>LSCENSD0001-LX</t>
  </si>
  <si>
    <t>Engine - SD - LX</t>
  </si>
  <si>
    <t>SEDAN_LUXURY_001</t>
  </si>
  <si>
    <t>LSCTRSD0002-LX</t>
  </si>
  <si>
    <t>Transmission - SD - LX</t>
  </si>
  <si>
    <t>LSCCHSD0003-LX</t>
  </si>
  <si>
    <t>Chassis - SD - LX</t>
  </si>
  <si>
    <t>LSCBDSD0004-LX</t>
  </si>
  <si>
    <t>Body - SD - LX</t>
  </si>
  <si>
    <t>LSCINSD0005-LX</t>
  </si>
  <si>
    <t>Interior - SD - LX</t>
  </si>
  <si>
    <t>SUV</t>
  </si>
  <si>
    <t>LSCENSV0006</t>
  </si>
  <si>
    <t>Engine - SUV</t>
  </si>
  <si>
    <t>SUV_001</t>
  </si>
  <si>
    <t>LSCTRSV0007</t>
  </si>
  <si>
    <t>Transmission - SUV</t>
  </si>
  <si>
    <t>LSCHSV0008</t>
  </si>
  <si>
    <t>Chassis - SUV</t>
  </si>
  <si>
    <t>LSCBDSV0009</t>
  </si>
  <si>
    <t>Body - SUV</t>
  </si>
  <si>
    <t>LSCINSV0010</t>
  </si>
  <si>
    <t>Interior - SUV</t>
  </si>
  <si>
    <t>SUV Luxury</t>
  </si>
  <si>
    <t>LSCENSV0006-LX</t>
  </si>
  <si>
    <t>Engine - SUV - LX</t>
  </si>
  <si>
    <t>SUV_LUXURY_001</t>
  </si>
  <si>
    <t>LSCTRSV0007-LX</t>
  </si>
  <si>
    <t>Transmission - SUV - LX</t>
  </si>
  <si>
    <t>LSCHSV0008-LX</t>
  </si>
  <si>
    <t>Chassis - SUV - LX</t>
  </si>
  <si>
    <t>LSCBDSV0009-LX</t>
  </si>
  <si>
    <t>Body - SUV - LX</t>
  </si>
  <si>
    <t>LSCINSV0010-LX</t>
  </si>
  <si>
    <t>Interior - SUV - LX</t>
  </si>
  <si>
    <t>CYL-SD</t>
  </si>
  <si>
    <t>Cylinder Block - SD</t>
  </si>
  <si>
    <t>PIST-SD</t>
  </si>
  <si>
    <t>Pistons - SD</t>
  </si>
  <si>
    <t>pcs</t>
  </si>
  <si>
    <t>GEAR-SD</t>
  </si>
  <si>
    <t>Gear Set - SD</t>
  </si>
  <si>
    <t>SYNC-SD</t>
  </si>
  <si>
    <t>Synchronizer - SD</t>
  </si>
  <si>
    <t>FRAME-SD</t>
  </si>
  <si>
    <t>Chassis Frame - SD</t>
  </si>
  <si>
    <t>MEMBER-SD</t>
  </si>
  <si>
    <t>Cross Member - SD</t>
  </si>
  <si>
    <t>DOOR-SD</t>
  </si>
  <si>
    <t>Door - SD</t>
  </si>
  <si>
    <t>WINREG-SD</t>
  </si>
  <si>
    <t>Window Regulator - SD</t>
  </si>
  <si>
    <t>SEAT-SD</t>
  </si>
  <si>
    <t>Seat - SD</t>
  </si>
  <si>
    <t>FRAMESEAT-SD</t>
  </si>
  <si>
    <t>Seat Frame - SD</t>
  </si>
  <si>
    <t>CYL-SD - LX</t>
  </si>
  <si>
    <t>Cylinder Block - SD - LX</t>
  </si>
  <si>
    <t>PIST-SD - LX</t>
  </si>
  <si>
    <t>Pistons - SD - LX</t>
  </si>
  <si>
    <t>GEAR-SD - LX</t>
  </si>
  <si>
    <t>Gear Set - SD - LX</t>
  </si>
  <si>
    <t>SYNC-SD - LX</t>
  </si>
  <si>
    <t>Synchronizer - SD - LX</t>
  </si>
  <si>
    <t>FRAME-SD - LX</t>
  </si>
  <si>
    <t>Chassis Frame - SD - LX</t>
  </si>
  <si>
    <t>MEMBER-SD - LX</t>
  </si>
  <si>
    <t>Cross Member - SD - LX</t>
  </si>
  <si>
    <t>DOOR-SD - LX</t>
  </si>
  <si>
    <t>Door - SD - LX</t>
  </si>
  <si>
    <t>WINREG-SD - LX</t>
  </si>
  <si>
    <t>Window Regulator - SD - LX</t>
  </si>
  <si>
    <t>SEAT-SD - LX</t>
  </si>
  <si>
    <t>Seat - SD - LX</t>
  </si>
  <si>
    <t>FRAMESEAT-SD - LX</t>
  </si>
  <si>
    <t>Seat Frame - SD - LX</t>
  </si>
  <si>
    <t>CYL-SUV</t>
  </si>
  <si>
    <t>Cylinder Block - SUV</t>
  </si>
  <si>
    <t>PIST-SUV</t>
  </si>
  <si>
    <t>Pistons - SUV</t>
  </si>
  <si>
    <t>GEAR-SUV</t>
  </si>
  <si>
    <t>Gear Set - SUV</t>
  </si>
  <si>
    <t>SYNC-SUV</t>
  </si>
  <si>
    <t>Synchronizer - SUV</t>
  </si>
  <si>
    <t>FRAME-SUV</t>
  </si>
  <si>
    <t>Chassis Frame - SUV</t>
  </si>
  <si>
    <t>MEMBER-SUV</t>
  </si>
  <si>
    <t>Cross Member - SUV</t>
  </si>
  <si>
    <t>DOOR-SUV</t>
  </si>
  <si>
    <t>Door - SUV</t>
  </si>
  <si>
    <t>WINREG-SUV</t>
  </si>
  <si>
    <t>Window Regulator - SUV</t>
  </si>
  <si>
    <t>SEAT-SUV</t>
  </si>
  <si>
    <t>Seat - SUV</t>
  </si>
  <si>
    <t>FRAMESEAT-SUV</t>
  </si>
  <si>
    <t>Seat Frame - SUV</t>
  </si>
  <si>
    <t>CYL-SUV - LX</t>
  </si>
  <si>
    <t>Cylinder Block - SUV - LX</t>
  </si>
  <si>
    <t>PIST-SUV - LX</t>
  </si>
  <si>
    <t>Pistons - SUV - LX</t>
  </si>
  <si>
    <t>GEAR-SUV - LX</t>
  </si>
  <si>
    <t>Gear Set - SUV - LX</t>
  </si>
  <si>
    <t>SYNC-SUV - LX</t>
  </si>
  <si>
    <t>Synchronizer - SUV - LX</t>
  </si>
  <si>
    <t>FRAME-SUV - LX</t>
  </si>
  <si>
    <t>Chassis Frame - SUV - LX</t>
  </si>
  <si>
    <t>MEMBER-SUV - LX</t>
  </si>
  <si>
    <t>Cross Member - SUV - LX</t>
  </si>
  <si>
    <t>DOOR-SUV - LX</t>
  </si>
  <si>
    <t>Door - SUV - LX</t>
  </si>
  <si>
    <t>WINREG-SUV - LX</t>
  </si>
  <si>
    <t>Window Regulator - SUV - LX</t>
  </si>
  <si>
    <t>SEAT-SUV - LX</t>
  </si>
  <si>
    <t>Seat - SUV - LX</t>
  </si>
  <si>
    <t>FRAMESEAT-SUV - LX</t>
  </si>
  <si>
    <t>Seat Frame - SUV - LX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</si>
  <si>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</si>
  <si>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</si>
  <si>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</si>
  <si>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</si>
  <si>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</si>
  <si>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</si>
  <si>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</si>
  <si>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</si>
  <si>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</si>
  <si>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</si>
  <si>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</si>
  <si>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</si>
  <si>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</si>
  <si>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Part Code</t>
  </si>
  <si>
    <t>Part Name</t>
  </si>
  <si>
    <t>Parent Assembly Code</t>
  </si>
  <si>
    <t>Parent Assembly Name</t>
  </si>
  <si>
    <t>UoM</t>
  </si>
  <si>
    <t>Production Lead Time (days)</t>
  </si>
  <si>
    <t>MOQ</t>
  </si>
  <si>
    <t>Safety Stock Policy</t>
  </si>
  <si>
    <t>On-hand Qty</t>
  </si>
  <si>
    <t>On-order Qty</t>
  </si>
  <si>
    <t>Next Delivery Date</t>
  </si>
  <si>
    <t>Warehouse</t>
  </si>
  <si>
    <t>2026 Open Inventory</t>
  </si>
  <si>
    <t>Sedan - SEDAN_001</t>
  </si>
  <si>
    <t>WH-VP-01</t>
  </si>
  <si>
    <t>WH-SG-01</t>
  </si>
  <si>
    <t>Sedan Luxury - SEDAN_LUXURY_001</t>
  </si>
  <si>
    <t>SUV - SUV_001</t>
  </si>
  <si>
    <t>WH-VP-02</t>
  </si>
  <si>
    <t>SUV Luxury - SUV_LUXURY_001</t>
  </si>
  <si>
    <t>Process Step</t>
  </si>
  <si>
    <t>Monthly Capacity (units)</t>
  </si>
  <si>
    <t>1. Stamping</t>
  </si>
  <si>
    <t>2. Body/Welding</t>
  </si>
  <si>
    <t>3. Paint Shop</t>
  </si>
  <si>
    <t>4. Powertrain Sub-assembly</t>
  </si>
  <si>
    <t>5. Trim &amp; Final Assembly</t>
  </si>
  <si>
    <t>6. QA/Testing &amp; Rework Buffer</t>
  </si>
  <si>
    <t>Country</t>
  </si>
  <si>
    <t>Factory Capacity (units/month)</t>
  </si>
  <si>
    <t>Shipping Time Tokyo -&gt; Vinh Phuc (days)</t>
  </si>
  <si>
    <t>FOB Unit Price (USD)</t>
  </si>
  <si>
    <t>Shipping Time Local Supplier -&gt; Vinh Phuc (days)</t>
  </si>
  <si>
    <t>EXW Unit Price (USD)</t>
  </si>
  <si>
    <t>Trucking Bac Giang -&gt; Vinh Phuc (USD/cont)</t>
  </si>
  <si>
    <t>Factory Unstuffing &amp; Handling (USD/cont)</t>
  </si>
  <si>
    <t>Local Customs &amp; Admin (USD/cont)</t>
  </si>
  <si>
    <t>Total Logistics and Handling costs (USD/cont)</t>
  </si>
  <si>
    <t>Freight Rate Tokyo - HPH (USD/40HC)</t>
  </si>
  <si>
    <t>POL Local Charges (Tokyo, USD/cont)</t>
  </si>
  <si>
    <t>POD Local Charges (Haiphong, USD/cont)</t>
  </si>
  <si>
    <t>Lift on/Lift off at HPH (USD/cont)</t>
  </si>
  <si>
    <t>Trucking HPH → Vinh Phuc (USD/cont)</t>
  </si>
  <si>
    <t>Customs Brokerage (USD/cont)</t>
  </si>
  <si>
    <t>Total Logistics &amp; Handling (USD/cont)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</si>
  <si>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</si>
  <si>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</si>
  <si>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</si>
  <si>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</si>
  <si>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</si>
  <si>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</si>
  <si>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</si>
  <si>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</si>
  <si>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</si>
  <si>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</si>
  <si>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</si>
  <si>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Parameter</t>
  </si>
  <si>
    <t>Value</t>
  </si>
  <si>
    <t>Notes</t>
  </si>
  <si>
    <t>Default Import Duty Rate (%)</t>
  </si>
  <si>
    <t>%</t>
  </si>
  <si>
    <t>Giả định 20% (dao động 15–20%). Các đội có thể xây chiến lược đăng ký ưu đãi NĐ 26/2023 để giảm dần về 0%.</t>
  </si>
  <si>
    <t>VAT Rate (%)</t>
  </si>
  <si>
    <t>Applied on dutiable value per VN customs</t>
  </si>
  <si>
    <t>Exchange Rate (VND per USD)</t>
  </si>
  <si>
    <t>VND/USD</t>
  </si>
  <si>
    <t>Planning/budget rate for 2026</t>
  </si>
  <si>
    <t>Marine Insurance Rate (%)</t>
  </si>
  <si>
    <t>Applied on (FOB + Freight) if buyer insures</t>
  </si>
  <si>
    <t>Default Container Type</t>
  </si>
  <si>
    <t>40HC</t>
  </si>
  <si>
    <t>Freight rate column is USD/40HC</t>
  </si>
  <si>
    <t>Units per 40HC</t>
  </si>
  <si>
    <t>origin_type</t>
  </si>
  <si>
    <t>insurance</t>
  </si>
  <si>
    <t>import_duty</t>
  </si>
  <si>
    <t>VAT</t>
  </si>
  <si>
    <t>FOB_JP</t>
  </si>
  <si>
    <t>EXW_VN</t>
  </si>
  <si>
    <t>ASSUMPTIONS</t>
  </si>
  <si>
    <t>1. Opening inventory of FG/L1 in 2026-01 = 0</t>
  </si>
  <si>
    <t>2. Capacity of making L1 is unlimited</t>
  </si>
  <si>
    <t>3. Holding cost = 20%/year</t>
  </si>
  <si>
    <t>item_level</t>
  </si>
  <si>
    <t>fg_code (Product Item Code)</t>
  </si>
  <si>
    <t>l1_code (Assembly Code)</t>
  </si>
  <si>
    <t>l1_name (Assembly Name)</t>
  </si>
  <si>
    <t>qty_per_fg (Quantity)</t>
  </si>
  <si>
    <t>unit</t>
  </si>
  <si>
    <t>l1_code (Parent Code)</t>
  </si>
  <si>
    <t>l1_name (Parent)</t>
  </si>
  <si>
    <t>l2_code (Assembly Code)</t>
  </si>
  <si>
    <t>l2_name (Assembly Name)</t>
  </si>
  <si>
    <t>qty_per_l1 (Quantity)</t>
  </si>
  <si>
    <t>month</t>
  </si>
  <si>
    <t>fg_code</t>
  </si>
  <si>
    <t>demand_qty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</si>
  <si>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</si>
  <si>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</si>
  <si>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</si>
  <si>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</si>
  <si>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</si>
  <si>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</si>
  <si>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</si>
  <si>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</si>
  <si>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</si>
  <si>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</si>
  <si>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</si>
  <si>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</si>
  <si>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item_code</t>
  </si>
  <si>
    <t>on_hand_qty</t>
  </si>
  <si>
    <t>cap_fg_per_month</t>
  </si>
  <si>
    <t>FOB_cost_per_containers</t>
  </si>
  <si>
    <t>unit_material_cost</t>
  </si>
  <si>
    <t>units_per_container</t>
  </si>
  <si>
    <t>moq</t>
  </si>
  <si>
    <t>container_cost</t>
  </si>
  <si>
    <t>unit_logistics_cost</t>
  </si>
  <si>
    <t>landed_cost_per_unit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</si>
</sst>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\ hh:mm:ss"/>
    <numFmt numFmtId="165" formatCode="0.0%"/>
    <numFmt numFmtId="166" formatCode="_(&quot;$&quot;* #,##0.00_);_(&quot;$&quot;* \(#,##0.00\);_(&quot;$&quot;* &quot;-&quot;??_);_(@_)"/>
  </numFmts>
  <fonts count="9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0"/>
      <name val="Calibri"/>
    </font>
    <font>
      <b/>
      <color theme="1"/>
      <name val="Calibri"/>
      <scheme val="minor"/>
    </font>
    <font>
      <color rgb="FFFFFFFF"/>
      <name val="Calibri"/>
      <scheme val="minor"/>
    </font>
    <font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right style="thin">
        <color rgb="FF9CC2E5"/>
      </right>
      <top style="thin">
        <color rgb="FF9CC2E5"/>
      </top>
      <bottom style="thin">
        <color rgb="FF9CC2E5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right" shrinkToFit="0" vertical="center" wrapText="1"/>
    </xf>
    <xf borderId="1" fillId="0" fontId="4" numFmtId="0" xfId="0" applyAlignment="1" applyBorder="1" applyFont="1">
      <alignment horizontal="center" vertical="top"/>
    </xf>
    <xf borderId="1" fillId="0" fontId="3" numFmtId="0" xfId="0" applyBorder="1" applyFont="1"/>
    <xf borderId="1" fillId="0" fontId="3" numFmtId="164" xfId="0" applyBorder="1" applyFont="1" applyNumberFormat="1"/>
    <xf borderId="1" fillId="2" fontId="3" numFmtId="0" xfId="0" applyBorder="1" applyFill="1" applyFont="1"/>
    <xf borderId="2" fillId="0" fontId="2" numFmtId="0" xfId="0" applyAlignment="1" applyBorder="1" applyFont="1">
      <alignment horizontal="center" vertical="top"/>
    </xf>
    <xf borderId="3" fillId="0" fontId="2" numFmtId="0" xfId="0" applyAlignment="1" applyBorder="1" applyFont="1">
      <alignment horizontal="center" vertical="top"/>
    </xf>
    <xf borderId="4" fillId="0" fontId="2" numFmtId="0" xfId="0" applyAlignment="1" applyBorder="1" applyFont="1">
      <alignment horizontal="center" vertical="top"/>
    </xf>
    <xf borderId="5" fillId="0" fontId="3" numFmtId="0" xfId="0" applyBorder="1" applyFont="1"/>
    <xf borderId="1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" fillId="0" fontId="4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0" fillId="3" fontId="5" numFmtId="0" xfId="0" applyBorder="1" applyFill="1" applyFont="1"/>
    <xf borderId="11" fillId="3" fontId="5" numFmtId="0" xfId="0" applyBorder="1" applyFont="1"/>
    <xf borderId="10" fillId="4" fontId="3" numFmtId="0" xfId="0" applyBorder="1" applyFill="1" applyFont="1"/>
    <xf borderId="10" fillId="4" fontId="3" numFmtId="165" xfId="0" applyBorder="1" applyFont="1" applyNumberFormat="1"/>
    <xf borderId="11" fillId="4" fontId="3" numFmtId="165" xfId="0" applyBorder="1" applyFont="1" applyNumberFormat="1"/>
    <xf borderId="12" fillId="0" fontId="3" numFmtId="0" xfId="0" applyBorder="1" applyFont="1"/>
    <xf borderId="12" fillId="0" fontId="3" numFmtId="165" xfId="0" applyBorder="1" applyFont="1" applyNumberFormat="1"/>
    <xf borderId="13" fillId="0" fontId="3" numFmtId="165" xfId="0" applyBorder="1" applyFont="1" applyNumberFormat="1"/>
    <xf borderId="1" fillId="0" fontId="6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readingOrder="0"/>
    </xf>
    <xf borderId="0" fillId="0" fontId="7" numFmtId="0" xfId="0" applyFont="1"/>
    <xf borderId="0" fillId="0" fontId="1" numFmtId="0" xfId="0" applyFont="1"/>
    <xf borderId="0" fillId="0" fontId="8" numFmtId="166" xfId="0" applyFont="1" applyNumberFormat="1"/>
    <xf borderId="0" fillId="0" fontId="3" numFmtId="166" xfId="0" applyFont="1" applyNumberFormat="1"/>
    <xf borderId="0" fillId="0" fontId="3" numFmtId="166" xfId="0" applyFont="1" applyNumberFormat="1"/>
    <xf borderId="0" fillId="0" fontId="8" numFmtId="0" xfId="0" applyFont="1"/>
    <xf borderId="0" fillId="0" fontId="3" numFmtId="165" xfId="0" applyFont="1" applyNumberFormat="1"/>
    <xf borderId="0" fillId="0" fontId="3" numFmtId="9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0">
    <tableStyle count="3" pivot="0" name="Sales Forecast-style">
      <tableStyleElement dxfId="1" type="headerRow"/>
      <tableStyleElement dxfId="2" type="firstRowStripe"/>
      <tableStyleElement dxfId="3" type="secondRowStripe"/>
    </tableStyle>
    <tableStyle count="3" pivot="0" name="Ocean Freight 2026-style">
      <tableStyleElement dxfId="1" type="headerRow"/>
      <tableStyleElement dxfId="2" type="firstRowStripe"/>
      <tableStyleElement dxfId="3" type="secondRowStripe"/>
    </tableStyle>
    <tableStyle count="3" pivot="0" name="BOM_FG_L1-style">
      <tableStyleElement dxfId="1" type="headerRow"/>
      <tableStyleElement dxfId="2" type="firstRowStripe"/>
      <tableStyleElement dxfId="3" type="secondRowStripe"/>
    </tableStyle>
    <tableStyle count="3" pivot="0" name="BOM_L1_L2-style">
      <tableStyleElement dxfId="1" type="headerRow"/>
      <tableStyleElement dxfId="2" type="firstRowStripe"/>
      <tableStyleElement dxfId="3" type="secondRowStripe"/>
    </tableStyle>
    <tableStyle count="3" pivot="0" name="DEMAND_FG-style">
      <tableStyleElement dxfId="1" type="headerRow"/>
      <tableStyleElement dxfId="2" type="firstRowStripe"/>
      <tableStyleElement dxfId="3" type="secondRowStripe"/>
    </tableStyle>
    <tableStyle count="3" pivot="0" name="INV_START-style">
      <tableStyleElement dxfId="1" type="headerRow"/>
      <tableStyleElement dxfId="2" type="firstRowStripe"/>
      <tableStyleElement dxfId="3" type="secondRowStripe"/>
    </tableStyle>
    <tableStyle count="3" pivot="0" name="CAP_FG-style">
      <tableStyleElement dxfId="1" type="headerRow"/>
      <tableStyleElement dxfId="2" type="firstRowStripe"/>
      <tableStyleElement dxfId="3" type="secondRowStripe"/>
    </tableStyle>
    <tableStyle count="3" pivot="0" name="CONTAINER_COST_MONTH-style">
      <tableStyleElement dxfId="1" type="headerRow"/>
      <tableStyleElement dxfId="2" type="firstRowStripe"/>
      <tableStyleElement dxfId="3" type="secondRowStripe"/>
    </tableStyle>
    <tableStyle count="3" pivot="0" name="ITEM_MASTER-style">
      <tableStyleElement dxfId="1" type="headerRow"/>
      <tableStyleElement dxfId="2" type="firstRowStripe"/>
      <tableStyleElement dxfId="3" type="secondRowStripe"/>
    </tableStyle>
    <tableStyle count="3" pivot="0" name="COST_BUY_MONTHL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externalLink" Target="externalLinks/externalLink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LogiChain%202025_Data%20Case%20Study%202B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ill Of Materials"/>
      <sheetName val="MRP1"/>
      <sheetName val="MRP2"/>
      <sheetName val="OrderCost1"/>
      <sheetName val="CostMaster1"/>
      <sheetName val="OrderCost2"/>
      <sheetName val="CostMaster2"/>
      <sheetName val="Make-Buy Decision"/>
      <sheetName val="Ocean Freight 2026"/>
      <sheetName val="Packing Specification"/>
      <sheetName val="Foreign Suppliers"/>
      <sheetName val="Local Suppliers"/>
      <sheetName val="Suppliers Merged"/>
      <sheetName val="Parameters"/>
      <sheetName val="Assembly Capacity"/>
      <sheetName val="2026 Sale Forecasts"/>
      <sheetName val="Inventory Status"/>
      <sheetName val="Vessel 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ables/table1.xml><?xml version="1.0" encoding="utf-8"?>
<table xmlns="http://schemas.openxmlformats.org/spreadsheetml/2006/main" ref="A1:E13" displayName="Table_1" name="Table_1" id="1">
  <tableColumns count="5">
    <tableColumn name="Month" id="1"/>
    <tableColumn name="SEDAN_001" id="2"/>
    <tableColumn name="SEDAN_LUXURY_001" id="3"/>
    <tableColumn name="SUV_001" id="4"/>
    <tableColumn name="SUV_LUXURY_001" id="5"/>
  </tableColumns>
  <tableStyleInfo name="Sales Forecast-style" showColumnStripes="0" showFirstColumn="1" showLastColumn="1" showRowStripes="1"/>
</table>
</file>

<file path=xl/tables/table2.xml><?xml version="1.0" encoding="utf-8"?>
<table xmlns="http://schemas.openxmlformats.org/spreadsheetml/2006/main" ref="A1:I13" displayName="Table_2" name="Table_2" id="2">
  <tableColumns count="9">
    <tableColumn name="Month" id="1"/>
    <tableColumn name="Freight Rate Tokyo - HPH (USD/40HC)" id="2"/>
    <tableColumn name="POL Local Charges (Tokyo, USD/cont)" id="3"/>
    <tableColumn name="POD Local Charges (Haiphong, USD/cont)" id="4"/>
    <tableColumn name="Lift on/Lift off at HPH (USD/cont)" id="5"/>
    <tableColumn name="Trucking HPH → Vinh Phuc (USD/cont)" id="6"/>
    <tableColumn name="Factory Unstuffing &amp; Handling (USD/cont)" id="7"/>
    <tableColumn name="Customs Brokerage (USD/cont)" id="8"/>
    <tableColumn name="Total Logistics &amp; Handling (USD/cont)" id="9"/>
  </tableColumns>
  <tableStyleInfo name="Ocean Freight 2026-style" showColumnStripes="0" showFirstColumn="1" showLastColumn="1" showRowStripes="1"/>
</table>
</file>

<file path=xl/tables/table3.xml><?xml version="1.0" encoding="utf-8"?>
<table xmlns="http://schemas.openxmlformats.org/spreadsheetml/2006/main" ref="A1:F21" displayName="Table_3" name="Table_3" id="3">
  <tableColumns count="6">
    <tableColumn name="item_level" id="1"/>
    <tableColumn name="fg_code (Product Item Code)" id="2"/>
    <tableColumn name="l1_code (Assembly Code)" id="3"/>
    <tableColumn name="l1_name (Assembly Name)" id="4"/>
    <tableColumn name="qty_per_fg (Quantity)" id="5"/>
    <tableColumn name="unit" id="6"/>
  </tableColumns>
  <tableStyleInfo name="BOM_FG_L1-style" showColumnStripes="0" showFirstColumn="1" showLastColumn="1" showRowStripes="1"/>
</table>
</file>

<file path=xl/tables/table4.xml><?xml version="1.0" encoding="utf-8"?>
<table xmlns="http://schemas.openxmlformats.org/spreadsheetml/2006/main" ref="A1:G41" displayName="Table_4" name="Table_4" id="4">
  <tableColumns count="7">
    <tableColumn name="item_level" id="1"/>
    <tableColumn name="l1_code (Parent Code)" id="2"/>
    <tableColumn name="l1_name (Parent)" id="3"/>
    <tableColumn name="l2_code (Assembly Code)" id="4"/>
    <tableColumn name="l2_name (Assembly Name)" id="5"/>
    <tableColumn name="qty_per_l1 (Quantity)" id="6"/>
    <tableColumn name="unit" id="7"/>
  </tableColumns>
  <tableStyleInfo name="BOM_L1_L2-style" showColumnStripes="0" showFirstColumn="1" showLastColumn="1" showRowStripes="1"/>
</table>
</file>

<file path=xl/tables/table5.xml><?xml version="1.0" encoding="utf-8"?>
<table xmlns="http://schemas.openxmlformats.org/spreadsheetml/2006/main" ref="A1:C49" displayName="Table_5" name="Table_5" id="5">
  <tableColumns count="3">
    <tableColumn name="month" id="1"/>
    <tableColumn name="fg_code" id="2"/>
    <tableColumn name="demand_qty" id="3"/>
  </tableColumns>
  <tableStyleInfo name="DEMAND_FG-style" showColumnStripes="0" showFirstColumn="1" showLastColumn="1" showRowStripes="1"/>
</table>
</file>

<file path=xl/tables/table6.xml><?xml version="1.0" encoding="utf-8"?>
<table xmlns="http://schemas.openxmlformats.org/spreadsheetml/2006/main" ref="A1:C41" displayName="Table_6" name="Table_6" id="6">
  <tableColumns count="3">
    <tableColumn name="item_code" id="1"/>
    <tableColumn name="item_level" id="2"/>
    <tableColumn name="on_hand_qty" id="3"/>
  </tableColumns>
  <tableStyleInfo name="INV_START-style" showColumnStripes="0" showFirstColumn="1" showLastColumn="1" showRowStripes="1"/>
</table>
</file>

<file path=xl/tables/table7.xml><?xml version="1.0" encoding="utf-8"?>
<table xmlns="http://schemas.openxmlformats.org/spreadsheetml/2006/main" ref="A1:B5" displayName="Table_7" name="Table_7" id="7">
  <tableColumns count="2">
    <tableColumn name="fg_code" id="1"/>
    <tableColumn name="cap_fg_per_month" id="2"/>
  </tableColumns>
  <tableStyleInfo name="CAP_FG-style" showColumnStripes="0" showFirstColumn="1" showLastColumn="1" showRowStripes="1"/>
</table>
</file>

<file path=xl/tables/table8.xml><?xml version="1.0" encoding="utf-8"?>
<table xmlns="http://schemas.openxmlformats.org/spreadsheetml/2006/main" ref="A1:B13" displayName="Table_8" name="Table_8" id="8">
  <tableColumns count="2">
    <tableColumn name="month" id="1"/>
    <tableColumn name="FOB_cost_per_containers" id="2"/>
  </tableColumns>
  <tableStyleInfo name="CONTAINER_COST_MONTH-style" showColumnStripes="0" showFirstColumn="1" showLastColumn="1" showRowStripes="1"/>
</table>
</file>

<file path=xl/tables/table9.xml><?xml version="1.0" encoding="utf-8"?>
<table xmlns="http://schemas.openxmlformats.org/spreadsheetml/2006/main" ref="A1:F61" displayName="Table_9" name="Table_9" id="9">
  <tableColumns count="6">
    <tableColumn name="item_code" id="1"/>
    <tableColumn name="item_level" id="2"/>
    <tableColumn name="origin_type" id="3"/>
    <tableColumn name="unit_material_cost" id="4"/>
    <tableColumn name="units_per_container" id="5"/>
    <tableColumn name="moq" id="6"/>
  </tableColumns>
  <tableStyleInfo name="ITEM_MASTER-style" showColumnStripes="0" showFirstColumn="1" showLastColumn="1" showRowStripes="1"/>
</table>
</file>

<file path=xl/tables/table10.xml><?xml version="1.0" encoding="utf-8"?>
<table xmlns="http://schemas.openxmlformats.org/spreadsheetml/2006/main" ref="A1:K721" displayName="Table_10" name="Table_10" id="10">
  <tableColumns count="11">
    <tableColumn name="month" id="1"/>
    <tableColumn name="item_code" id="2"/>
    <tableColumn name="origin_type" id="3"/>
    <tableColumn name="unit_material_cost" id="4"/>
    <tableColumn name="units_per_container" id="5"/>
    <tableColumn name="container_cost" id="6"/>
    <tableColumn name="unit_logistics_cost" id="7"/>
    <tableColumn name="insurance" id="8"/>
    <tableColumn name="import_duty" id="9"/>
    <tableColumn name="VAT" id="10"/>
    <tableColumn name="landed_cost_per_unit" id="11"/>
  </tableColumns>
  <tableStyleInfo name="COST_BUY_MONTHL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6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7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8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9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1.71"/>
    <col customWidth="1" min="3" max="3" width="18.43"/>
    <col customWidth="1" min="4" max="4" width="24.71"/>
    <col customWidth="1" min="5" max="5" width="15.0"/>
    <col customWidth="1" min="6" max="6" width="8.0"/>
    <col customWidth="1" min="7" max="7" width="4.43"/>
    <col customWidth="1" min="8" max="8" width="16.0"/>
    <col customWidth="1" min="9" max="9" width="7.71"/>
    <col customWidth="1" min="10" max="10" width="18.43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>
        <v>1.0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1.0</v>
      </c>
      <c r="G2" s="1" t="s">
        <v>14</v>
      </c>
      <c r="H2" s="1" t="s">
        <v>15</v>
      </c>
      <c r="I2" s="1" t="s">
        <v>16</v>
      </c>
      <c r="J2" s="1" t="s">
        <v>17</v>
      </c>
    </row>
    <row r="3" ht="14.25" customHeight="1">
      <c r="A3" s="1">
        <v>1.0</v>
      </c>
      <c r="B3" s="1" t="s">
        <v>10</v>
      </c>
      <c r="C3" s="1" t="s">
        <v>18</v>
      </c>
      <c r="D3" s="1" t="s">
        <v>19</v>
      </c>
      <c r="E3" s="1" t="s">
        <v>13</v>
      </c>
      <c r="F3" s="1">
        <v>1.0</v>
      </c>
      <c r="G3" s="1" t="s">
        <v>14</v>
      </c>
      <c r="H3" s="1" t="s">
        <v>20</v>
      </c>
      <c r="I3" s="1" t="s">
        <v>21</v>
      </c>
      <c r="J3" s="1" t="s">
        <v>17</v>
      </c>
    </row>
    <row r="4" ht="14.25" customHeight="1">
      <c r="A4" s="1">
        <v>1.0</v>
      </c>
      <c r="B4" s="1" t="s">
        <v>10</v>
      </c>
      <c r="C4" s="1" t="s">
        <v>22</v>
      </c>
      <c r="D4" s="1" t="s">
        <v>23</v>
      </c>
      <c r="E4" s="1" t="s">
        <v>13</v>
      </c>
      <c r="F4" s="1">
        <v>1.0</v>
      </c>
      <c r="G4" s="1" t="s">
        <v>14</v>
      </c>
      <c r="H4" s="1" t="s">
        <v>15</v>
      </c>
      <c r="I4" s="1" t="s">
        <v>16</v>
      </c>
      <c r="J4" s="1" t="s">
        <v>17</v>
      </c>
    </row>
    <row r="5" ht="14.25" customHeight="1">
      <c r="A5" s="1">
        <v>1.0</v>
      </c>
      <c r="B5" s="1" t="s">
        <v>10</v>
      </c>
      <c r="C5" s="1" t="s">
        <v>24</v>
      </c>
      <c r="D5" s="1" t="s">
        <v>25</v>
      </c>
      <c r="E5" s="1" t="s">
        <v>13</v>
      </c>
      <c r="F5" s="1">
        <v>1.0</v>
      </c>
      <c r="G5" s="1" t="s">
        <v>14</v>
      </c>
      <c r="H5" s="1" t="s">
        <v>15</v>
      </c>
      <c r="I5" s="1" t="s">
        <v>16</v>
      </c>
      <c r="J5" s="1" t="s">
        <v>17</v>
      </c>
    </row>
    <row r="6" ht="14.25" customHeight="1">
      <c r="A6" s="1">
        <v>1.0</v>
      </c>
      <c r="B6" s="1" t="s">
        <v>10</v>
      </c>
      <c r="C6" s="1" t="s">
        <v>26</v>
      </c>
      <c r="D6" s="1" t="s">
        <v>27</v>
      </c>
      <c r="E6" s="1" t="s">
        <v>13</v>
      </c>
      <c r="F6" s="1">
        <v>1.0</v>
      </c>
      <c r="G6" s="1" t="s">
        <v>14</v>
      </c>
      <c r="H6" s="1" t="s">
        <v>28</v>
      </c>
      <c r="I6" s="1" t="s">
        <v>21</v>
      </c>
      <c r="J6" s="1" t="s">
        <v>17</v>
      </c>
    </row>
    <row r="7" ht="14.25" customHeight="1">
      <c r="A7" s="1">
        <v>1.0</v>
      </c>
      <c r="B7" s="1" t="s">
        <v>29</v>
      </c>
      <c r="C7" s="1" t="s">
        <v>30</v>
      </c>
      <c r="D7" s="1" t="s">
        <v>31</v>
      </c>
      <c r="E7" s="1" t="s">
        <v>13</v>
      </c>
      <c r="F7" s="1">
        <v>1.0</v>
      </c>
      <c r="G7" s="1" t="s">
        <v>14</v>
      </c>
      <c r="H7" s="1" t="s">
        <v>15</v>
      </c>
      <c r="I7" s="1" t="s">
        <v>16</v>
      </c>
      <c r="J7" s="1" t="s">
        <v>32</v>
      </c>
    </row>
    <row r="8" ht="14.25" customHeight="1">
      <c r="A8" s="1">
        <v>1.0</v>
      </c>
      <c r="B8" s="1" t="s">
        <v>29</v>
      </c>
      <c r="C8" s="1" t="s">
        <v>33</v>
      </c>
      <c r="D8" s="1" t="s">
        <v>34</v>
      </c>
      <c r="E8" s="1" t="s">
        <v>13</v>
      </c>
      <c r="F8" s="1">
        <v>1.0</v>
      </c>
      <c r="G8" s="1" t="s">
        <v>14</v>
      </c>
      <c r="H8" s="1" t="s">
        <v>20</v>
      </c>
      <c r="I8" s="1" t="s">
        <v>21</v>
      </c>
      <c r="J8" s="1" t="s">
        <v>32</v>
      </c>
    </row>
    <row r="9" ht="14.25" customHeight="1">
      <c r="A9" s="1">
        <v>1.0</v>
      </c>
      <c r="B9" s="1" t="s">
        <v>29</v>
      </c>
      <c r="C9" s="1" t="s">
        <v>35</v>
      </c>
      <c r="D9" s="1" t="s">
        <v>36</v>
      </c>
      <c r="E9" s="1" t="s">
        <v>13</v>
      </c>
      <c r="F9" s="1">
        <v>1.0</v>
      </c>
      <c r="G9" s="1" t="s">
        <v>14</v>
      </c>
      <c r="H9" s="1" t="s">
        <v>15</v>
      </c>
      <c r="I9" s="1" t="s">
        <v>16</v>
      </c>
      <c r="J9" s="1" t="s">
        <v>32</v>
      </c>
    </row>
    <row r="10" ht="14.25" customHeight="1">
      <c r="A10" s="1">
        <v>1.0</v>
      </c>
      <c r="B10" s="1" t="s">
        <v>29</v>
      </c>
      <c r="C10" s="1" t="s">
        <v>37</v>
      </c>
      <c r="D10" s="1" t="s">
        <v>38</v>
      </c>
      <c r="E10" s="1" t="s">
        <v>13</v>
      </c>
      <c r="F10" s="1">
        <v>1.0</v>
      </c>
      <c r="G10" s="1" t="s">
        <v>14</v>
      </c>
      <c r="H10" s="1" t="s">
        <v>15</v>
      </c>
      <c r="I10" s="1" t="s">
        <v>16</v>
      </c>
      <c r="J10" s="1" t="s">
        <v>32</v>
      </c>
    </row>
    <row r="11" ht="14.25" customHeight="1">
      <c r="A11" s="1">
        <v>1.0</v>
      </c>
      <c r="B11" s="1" t="s">
        <v>29</v>
      </c>
      <c r="C11" s="1" t="s">
        <v>39</v>
      </c>
      <c r="D11" s="1" t="s">
        <v>40</v>
      </c>
      <c r="E11" s="1" t="s">
        <v>13</v>
      </c>
      <c r="F11" s="1">
        <v>1.0</v>
      </c>
      <c r="G11" s="1" t="s">
        <v>14</v>
      </c>
      <c r="H11" s="1" t="s">
        <v>28</v>
      </c>
      <c r="I11" s="1" t="s">
        <v>21</v>
      </c>
      <c r="J11" s="1" t="s">
        <v>32</v>
      </c>
    </row>
    <row r="12" ht="14.25" customHeight="1">
      <c r="A12" s="1">
        <v>1.0</v>
      </c>
      <c r="B12" s="1" t="s">
        <v>41</v>
      </c>
      <c r="C12" s="1" t="s">
        <v>42</v>
      </c>
      <c r="D12" s="1" t="s">
        <v>43</v>
      </c>
      <c r="E12" s="1" t="s">
        <v>13</v>
      </c>
      <c r="F12" s="1">
        <v>1.0</v>
      </c>
      <c r="G12" s="1" t="s">
        <v>14</v>
      </c>
      <c r="H12" s="1" t="s">
        <v>15</v>
      </c>
      <c r="I12" s="1" t="s">
        <v>16</v>
      </c>
      <c r="J12" s="1" t="s">
        <v>44</v>
      </c>
    </row>
    <row r="13" ht="14.25" customHeight="1">
      <c r="A13" s="1">
        <v>1.0</v>
      </c>
      <c r="B13" s="1" t="s">
        <v>41</v>
      </c>
      <c r="C13" s="1" t="s">
        <v>45</v>
      </c>
      <c r="D13" s="1" t="s">
        <v>46</v>
      </c>
      <c r="E13" s="1" t="s">
        <v>13</v>
      </c>
      <c r="F13" s="1">
        <v>1.0</v>
      </c>
      <c r="G13" s="1" t="s">
        <v>14</v>
      </c>
      <c r="H13" s="1" t="s">
        <v>20</v>
      </c>
      <c r="I13" s="1" t="s">
        <v>21</v>
      </c>
      <c r="J13" s="1" t="s">
        <v>44</v>
      </c>
    </row>
    <row r="14" ht="14.25" customHeight="1">
      <c r="A14" s="1">
        <v>1.0</v>
      </c>
      <c r="B14" s="1" t="s">
        <v>41</v>
      </c>
      <c r="C14" s="1" t="s">
        <v>47</v>
      </c>
      <c r="D14" s="1" t="s">
        <v>48</v>
      </c>
      <c r="E14" s="1" t="s">
        <v>13</v>
      </c>
      <c r="F14" s="1">
        <v>1.0</v>
      </c>
      <c r="G14" s="1" t="s">
        <v>14</v>
      </c>
      <c r="H14" s="1" t="s">
        <v>15</v>
      </c>
      <c r="I14" s="1" t="s">
        <v>16</v>
      </c>
      <c r="J14" s="1" t="s">
        <v>44</v>
      </c>
    </row>
    <row r="15" ht="14.25" customHeight="1">
      <c r="A15" s="1">
        <v>1.0</v>
      </c>
      <c r="B15" s="1" t="s">
        <v>41</v>
      </c>
      <c r="C15" s="1" t="s">
        <v>49</v>
      </c>
      <c r="D15" s="1" t="s">
        <v>50</v>
      </c>
      <c r="E15" s="1" t="s">
        <v>13</v>
      </c>
      <c r="F15" s="1">
        <v>1.0</v>
      </c>
      <c r="G15" s="1" t="s">
        <v>14</v>
      </c>
      <c r="H15" s="1" t="s">
        <v>15</v>
      </c>
      <c r="I15" s="1" t="s">
        <v>16</v>
      </c>
      <c r="J15" s="1" t="s">
        <v>44</v>
      </c>
    </row>
    <row r="16" ht="14.25" customHeight="1">
      <c r="A16" s="1">
        <v>1.0</v>
      </c>
      <c r="B16" s="1" t="s">
        <v>41</v>
      </c>
      <c r="C16" s="1" t="s">
        <v>51</v>
      </c>
      <c r="D16" s="1" t="s">
        <v>52</v>
      </c>
      <c r="E16" s="1" t="s">
        <v>13</v>
      </c>
      <c r="F16" s="1">
        <v>1.0</v>
      </c>
      <c r="G16" s="1" t="s">
        <v>14</v>
      </c>
      <c r="H16" s="1" t="s">
        <v>28</v>
      </c>
      <c r="I16" s="1" t="s">
        <v>21</v>
      </c>
      <c r="J16" s="1" t="s">
        <v>44</v>
      </c>
    </row>
    <row r="17" ht="14.25" customHeight="1">
      <c r="A17" s="1">
        <v>1.0</v>
      </c>
      <c r="B17" s="1" t="s">
        <v>53</v>
      </c>
      <c r="C17" s="1" t="s">
        <v>54</v>
      </c>
      <c r="D17" s="1" t="s">
        <v>55</v>
      </c>
      <c r="E17" s="1" t="s">
        <v>13</v>
      </c>
      <c r="F17" s="1">
        <v>1.0</v>
      </c>
      <c r="G17" s="1" t="s">
        <v>14</v>
      </c>
      <c r="H17" s="1" t="s">
        <v>15</v>
      </c>
      <c r="I17" s="1" t="s">
        <v>16</v>
      </c>
      <c r="J17" s="1" t="s">
        <v>56</v>
      </c>
    </row>
    <row r="18" ht="14.25" customHeight="1">
      <c r="A18" s="1">
        <v>1.0</v>
      </c>
      <c r="B18" s="1" t="s">
        <v>53</v>
      </c>
      <c r="C18" s="1" t="s">
        <v>57</v>
      </c>
      <c r="D18" s="1" t="s">
        <v>58</v>
      </c>
      <c r="E18" s="1" t="s">
        <v>13</v>
      </c>
      <c r="F18" s="1">
        <v>1.0</v>
      </c>
      <c r="G18" s="1" t="s">
        <v>14</v>
      </c>
      <c r="H18" s="1" t="s">
        <v>20</v>
      </c>
      <c r="I18" s="1" t="s">
        <v>21</v>
      </c>
      <c r="J18" s="1" t="s">
        <v>56</v>
      </c>
    </row>
    <row r="19" ht="14.25" customHeight="1">
      <c r="A19" s="1">
        <v>1.0</v>
      </c>
      <c r="B19" s="1" t="s">
        <v>53</v>
      </c>
      <c r="C19" s="1" t="s">
        <v>59</v>
      </c>
      <c r="D19" s="1" t="s">
        <v>60</v>
      </c>
      <c r="E19" s="1" t="s">
        <v>13</v>
      </c>
      <c r="F19" s="1">
        <v>1.0</v>
      </c>
      <c r="G19" s="1" t="s">
        <v>14</v>
      </c>
      <c r="H19" s="1" t="s">
        <v>15</v>
      </c>
      <c r="I19" s="1" t="s">
        <v>16</v>
      </c>
      <c r="J19" s="1" t="s">
        <v>56</v>
      </c>
    </row>
    <row r="20" ht="14.25" customHeight="1">
      <c r="A20" s="1">
        <v>1.0</v>
      </c>
      <c r="B20" s="1" t="s">
        <v>53</v>
      </c>
      <c r="C20" s="1" t="s">
        <v>61</v>
      </c>
      <c r="D20" s="1" t="s">
        <v>62</v>
      </c>
      <c r="E20" s="1" t="s">
        <v>13</v>
      </c>
      <c r="F20" s="1">
        <v>1.0</v>
      </c>
      <c r="G20" s="1" t="s">
        <v>14</v>
      </c>
      <c r="H20" s="1" t="s">
        <v>15</v>
      </c>
      <c r="I20" s="1" t="s">
        <v>16</v>
      </c>
      <c r="J20" s="1" t="s">
        <v>56</v>
      </c>
    </row>
    <row r="21" ht="14.25" customHeight="1">
      <c r="A21" s="1">
        <v>1.0</v>
      </c>
      <c r="B21" s="1" t="s">
        <v>53</v>
      </c>
      <c r="C21" s="1" t="s">
        <v>63</v>
      </c>
      <c r="D21" s="1" t="s">
        <v>64</v>
      </c>
      <c r="E21" s="1" t="s">
        <v>13</v>
      </c>
      <c r="F21" s="1">
        <v>1.0</v>
      </c>
      <c r="G21" s="1" t="s">
        <v>14</v>
      </c>
      <c r="H21" s="1" t="s">
        <v>28</v>
      </c>
      <c r="I21" s="1" t="s">
        <v>21</v>
      </c>
      <c r="J21" s="1" t="s">
        <v>56</v>
      </c>
    </row>
    <row r="22" ht="14.25" customHeight="1">
      <c r="A22" s="1">
        <v>2.0</v>
      </c>
      <c r="B22" s="1" t="s">
        <v>10</v>
      </c>
      <c r="C22" s="1" t="s">
        <v>65</v>
      </c>
      <c r="D22" s="1" t="s">
        <v>66</v>
      </c>
      <c r="E22" s="1" t="s">
        <v>11</v>
      </c>
      <c r="F22" s="1">
        <v>1.0</v>
      </c>
      <c r="G22" s="1" t="s">
        <v>14</v>
      </c>
      <c r="H22" s="1" t="s">
        <v>15</v>
      </c>
      <c r="I22" s="1" t="s">
        <v>16</v>
      </c>
      <c r="J22" s="1" t="s">
        <v>17</v>
      </c>
    </row>
    <row r="23" ht="14.25" customHeight="1">
      <c r="A23" s="1">
        <v>2.0</v>
      </c>
      <c r="B23" s="1" t="s">
        <v>10</v>
      </c>
      <c r="C23" s="1" t="s">
        <v>67</v>
      </c>
      <c r="D23" s="1" t="s">
        <v>68</v>
      </c>
      <c r="E23" s="1" t="s">
        <v>11</v>
      </c>
      <c r="F23" s="1">
        <v>4.0</v>
      </c>
      <c r="G23" s="1" t="s">
        <v>69</v>
      </c>
      <c r="H23" s="1" t="s">
        <v>15</v>
      </c>
      <c r="I23" s="1" t="s">
        <v>16</v>
      </c>
      <c r="J23" s="1" t="s">
        <v>17</v>
      </c>
    </row>
    <row r="24" ht="14.25" customHeight="1">
      <c r="A24" s="1">
        <v>2.0</v>
      </c>
      <c r="B24" s="1" t="s">
        <v>10</v>
      </c>
      <c r="C24" s="1" t="s">
        <v>70</v>
      </c>
      <c r="D24" s="1" t="s">
        <v>71</v>
      </c>
      <c r="E24" s="1" t="s">
        <v>18</v>
      </c>
      <c r="F24" s="1">
        <v>1.0</v>
      </c>
      <c r="G24" s="1" t="s">
        <v>14</v>
      </c>
      <c r="H24" s="1" t="s">
        <v>20</v>
      </c>
      <c r="I24" s="1" t="s">
        <v>21</v>
      </c>
      <c r="J24" s="1" t="s">
        <v>17</v>
      </c>
    </row>
    <row r="25" ht="14.25" customHeight="1">
      <c r="A25" s="1">
        <v>2.0</v>
      </c>
      <c r="B25" s="1" t="s">
        <v>10</v>
      </c>
      <c r="C25" s="1" t="s">
        <v>72</v>
      </c>
      <c r="D25" s="1" t="s">
        <v>73</v>
      </c>
      <c r="E25" s="1" t="s">
        <v>18</v>
      </c>
      <c r="F25" s="1">
        <v>1.0</v>
      </c>
      <c r="G25" s="1" t="s">
        <v>69</v>
      </c>
      <c r="H25" s="1" t="s">
        <v>20</v>
      </c>
      <c r="I25" s="1" t="s">
        <v>21</v>
      </c>
      <c r="J25" s="1" t="s">
        <v>17</v>
      </c>
    </row>
    <row r="26" ht="14.25" customHeight="1">
      <c r="A26" s="1">
        <v>2.0</v>
      </c>
      <c r="B26" s="1" t="s">
        <v>10</v>
      </c>
      <c r="C26" s="1" t="s">
        <v>74</v>
      </c>
      <c r="D26" s="1" t="s">
        <v>75</v>
      </c>
      <c r="E26" s="1" t="s">
        <v>22</v>
      </c>
      <c r="F26" s="1">
        <v>1.0</v>
      </c>
      <c r="G26" s="1" t="s">
        <v>14</v>
      </c>
      <c r="H26" s="1" t="s">
        <v>15</v>
      </c>
      <c r="I26" s="1" t="s">
        <v>16</v>
      </c>
      <c r="J26" s="1" t="s">
        <v>17</v>
      </c>
    </row>
    <row r="27" ht="14.25" customHeight="1">
      <c r="A27" s="1">
        <v>2.0</v>
      </c>
      <c r="B27" s="1" t="s">
        <v>10</v>
      </c>
      <c r="C27" s="1" t="s">
        <v>76</v>
      </c>
      <c r="D27" s="1" t="s">
        <v>77</v>
      </c>
      <c r="E27" s="1" t="s">
        <v>22</v>
      </c>
      <c r="F27" s="1">
        <v>1.0</v>
      </c>
      <c r="G27" s="1" t="s">
        <v>14</v>
      </c>
      <c r="H27" s="1" t="s">
        <v>15</v>
      </c>
      <c r="I27" s="1" t="s">
        <v>16</v>
      </c>
      <c r="J27" s="1" t="s">
        <v>17</v>
      </c>
    </row>
    <row r="28" ht="14.25" customHeight="1">
      <c r="A28" s="1">
        <v>2.0</v>
      </c>
      <c r="B28" s="1" t="s">
        <v>10</v>
      </c>
      <c r="C28" s="1" t="s">
        <v>78</v>
      </c>
      <c r="D28" s="1" t="s">
        <v>79</v>
      </c>
      <c r="E28" s="1" t="s">
        <v>24</v>
      </c>
      <c r="F28" s="1">
        <v>5.0</v>
      </c>
      <c r="G28" s="1" t="s">
        <v>69</v>
      </c>
      <c r="H28" s="1" t="s">
        <v>15</v>
      </c>
      <c r="I28" s="1" t="s">
        <v>16</v>
      </c>
      <c r="J28" s="1" t="s">
        <v>17</v>
      </c>
    </row>
    <row r="29" ht="14.25" customHeight="1">
      <c r="A29" s="1">
        <v>2.0</v>
      </c>
      <c r="B29" s="1" t="s">
        <v>10</v>
      </c>
      <c r="C29" s="1" t="s">
        <v>80</v>
      </c>
      <c r="D29" s="1" t="s">
        <v>81</v>
      </c>
      <c r="E29" s="1" t="s">
        <v>24</v>
      </c>
      <c r="F29" s="1">
        <v>1.0</v>
      </c>
      <c r="G29" s="1" t="s">
        <v>69</v>
      </c>
      <c r="H29" s="1" t="s">
        <v>15</v>
      </c>
      <c r="I29" s="1" t="s">
        <v>16</v>
      </c>
      <c r="J29" s="1" t="s">
        <v>17</v>
      </c>
    </row>
    <row r="30" ht="14.25" customHeight="1">
      <c r="A30" s="1">
        <v>2.0</v>
      </c>
      <c r="B30" s="1" t="s">
        <v>10</v>
      </c>
      <c r="C30" s="1" t="s">
        <v>82</v>
      </c>
      <c r="D30" s="1" t="s">
        <v>83</v>
      </c>
      <c r="E30" s="1" t="s">
        <v>26</v>
      </c>
      <c r="F30" s="1">
        <v>5.0</v>
      </c>
      <c r="G30" s="1" t="s">
        <v>69</v>
      </c>
      <c r="H30" s="1" t="s">
        <v>28</v>
      </c>
      <c r="I30" s="1" t="s">
        <v>21</v>
      </c>
      <c r="J30" s="1" t="s">
        <v>17</v>
      </c>
    </row>
    <row r="31" ht="14.25" customHeight="1">
      <c r="A31" s="1">
        <v>2.0</v>
      </c>
      <c r="B31" s="1" t="s">
        <v>10</v>
      </c>
      <c r="C31" s="1" t="s">
        <v>84</v>
      </c>
      <c r="D31" s="1" t="s">
        <v>85</v>
      </c>
      <c r="E31" s="1" t="s">
        <v>26</v>
      </c>
      <c r="F31" s="1">
        <v>1.0</v>
      </c>
      <c r="G31" s="1" t="s">
        <v>69</v>
      </c>
      <c r="H31" s="1" t="s">
        <v>28</v>
      </c>
      <c r="I31" s="1" t="s">
        <v>21</v>
      </c>
      <c r="J31" s="1" t="s">
        <v>17</v>
      </c>
    </row>
    <row r="32" ht="14.25" customHeight="1">
      <c r="A32" s="1">
        <v>2.0</v>
      </c>
      <c r="B32" s="1" t="s">
        <v>29</v>
      </c>
      <c r="C32" s="1" t="s">
        <v>86</v>
      </c>
      <c r="D32" s="1" t="s">
        <v>87</v>
      </c>
      <c r="E32" s="1" t="s">
        <v>30</v>
      </c>
      <c r="F32" s="1">
        <v>1.0</v>
      </c>
      <c r="G32" s="1" t="s">
        <v>14</v>
      </c>
      <c r="H32" s="1" t="s">
        <v>15</v>
      </c>
      <c r="I32" s="1" t="s">
        <v>16</v>
      </c>
      <c r="J32" s="1" t="s">
        <v>32</v>
      </c>
    </row>
    <row r="33" ht="14.25" customHeight="1">
      <c r="A33" s="1">
        <v>2.0</v>
      </c>
      <c r="B33" s="1" t="s">
        <v>29</v>
      </c>
      <c r="C33" s="1" t="s">
        <v>88</v>
      </c>
      <c r="D33" s="1" t="s">
        <v>89</v>
      </c>
      <c r="E33" s="1" t="s">
        <v>30</v>
      </c>
      <c r="F33" s="1">
        <v>4.0</v>
      </c>
      <c r="G33" s="1" t="s">
        <v>69</v>
      </c>
      <c r="H33" s="1" t="s">
        <v>15</v>
      </c>
      <c r="I33" s="1" t="s">
        <v>16</v>
      </c>
      <c r="J33" s="1" t="s">
        <v>32</v>
      </c>
    </row>
    <row r="34" ht="14.25" customHeight="1">
      <c r="A34" s="1">
        <v>2.0</v>
      </c>
      <c r="B34" s="1" t="s">
        <v>29</v>
      </c>
      <c r="C34" s="1" t="s">
        <v>90</v>
      </c>
      <c r="D34" s="1" t="s">
        <v>91</v>
      </c>
      <c r="E34" s="1" t="s">
        <v>33</v>
      </c>
      <c r="F34" s="1">
        <v>1.0</v>
      </c>
      <c r="G34" s="1" t="s">
        <v>14</v>
      </c>
      <c r="H34" s="1" t="s">
        <v>20</v>
      </c>
      <c r="I34" s="1" t="s">
        <v>21</v>
      </c>
      <c r="J34" s="1" t="s">
        <v>32</v>
      </c>
    </row>
    <row r="35" ht="14.25" customHeight="1">
      <c r="A35" s="1">
        <v>2.0</v>
      </c>
      <c r="B35" s="1" t="s">
        <v>29</v>
      </c>
      <c r="C35" s="1" t="s">
        <v>92</v>
      </c>
      <c r="D35" s="1" t="s">
        <v>93</v>
      </c>
      <c r="E35" s="1" t="s">
        <v>33</v>
      </c>
      <c r="F35" s="1">
        <v>1.0</v>
      </c>
      <c r="G35" s="1" t="s">
        <v>69</v>
      </c>
      <c r="H35" s="1" t="s">
        <v>20</v>
      </c>
      <c r="I35" s="1" t="s">
        <v>21</v>
      </c>
      <c r="J35" s="1" t="s">
        <v>32</v>
      </c>
    </row>
    <row r="36" ht="14.25" customHeight="1">
      <c r="A36" s="1">
        <v>2.0</v>
      </c>
      <c r="B36" s="1" t="s">
        <v>29</v>
      </c>
      <c r="C36" s="1" t="s">
        <v>94</v>
      </c>
      <c r="D36" s="1" t="s">
        <v>95</v>
      </c>
      <c r="E36" s="1" t="s">
        <v>35</v>
      </c>
      <c r="F36" s="1">
        <v>1.0</v>
      </c>
      <c r="G36" s="1" t="s">
        <v>14</v>
      </c>
      <c r="H36" s="1" t="s">
        <v>15</v>
      </c>
      <c r="I36" s="1" t="s">
        <v>16</v>
      </c>
      <c r="J36" s="1" t="s">
        <v>32</v>
      </c>
    </row>
    <row r="37" ht="14.25" customHeight="1">
      <c r="A37" s="1">
        <v>2.0</v>
      </c>
      <c r="B37" s="1" t="s">
        <v>29</v>
      </c>
      <c r="C37" s="1" t="s">
        <v>96</v>
      </c>
      <c r="D37" s="1" t="s">
        <v>97</v>
      </c>
      <c r="E37" s="1" t="s">
        <v>35</v>
      </c>
      <c r="F37" s="1">
        <v>1.0</v>
      </c>
      <c r="G37" s="1" t="s">
        <v>14</v>
      </c>
      <c r="H37" s="1" t="s">
        <v>15</v>
      </c>
      <c r="I37" s="1" t="s">
        <v>16</v>
      </c>
      <c r="J37" s="1" t="s">
        <v>32</v>
      </c>
    </row>
    <row r="38" ht="14.25" customHeight="1">
      <c r="A38" s="1">
        <v>2.0</v>
      </c>
      <c r="B38" s="1" t="s">
        <v>29</v>
      </c>
      <c r="C38" s="1" t="s">
        <v>98</v>
      </c>
      <c r="D38" s="1" t="s">
        <v>99</v>
      </c>
      <c r="E38" s="1" t="s">
        <v>37</v>
      </c>
      <c r="F38" s="1">
        <v>5.0</v>
      </c>
      <c r="G38" s="1" t="s">
        <v>69</v>
      </c>
      <c r="H38" s="1" t="s">
        <v>15</v>
      </c>
      <c r="I38" s="1" t="s">
        <v>16</v>
      </c>
      <c r="J38" s="1" t="s">
        <v>32</v>
      </c>
    </row>
    <row r="39" ht="14.25" customHeight="1">
      <c r="A39" s="1">
        <v>2.0</v>
      </c>
      <c r="B39" s="1" t="s">
        <v>29</v>
      </c>
      <c r="C39" s="1" t="s">
        <v>100</v>
      </c>
      <c r="D39" s="1" t="s">
        <v>101</v>
      </c>
      <c r="E39" s="1" t="s">
        <v>37</v>
      </c>
      <c r="F39" s="1">
        <v>1.0</v>
      </c>
      <c r="G39" s="1" t="s">
        <v>69</v>
      </c>
      <c r="H39" s="1" t="s">
        <v>15</v>
      </c>
      <c r="I39" s="1" t="s">
        <v>16</v>
      </c>
      <c r="J39" s="1" t="s">
        <v>32</v>
      </c>
    </row>
    <row r="40" ht="14.25" customHeight="1">
      <c r="A40" s="1">
        <v>2.0</v>
      </c>
      <c r="B40" s="1" t="s">
        <v>29</v>
      </c>
      <c r="C40" s="1" t="s">
        <v>102</v>
      </c>
      <c r="D40" s="1" t="s">
        <v>103</v>
      </c>
      <c r="E40" s="1" t="s">
        <v>39</v>
      </c>
      <c r="F40" s="1">
        <v>5.0</v>
      </c>
      <c r="G40" s="1" t="s">
        <v>69</v>
      </c>
      <c r="H40" s="1" t="s">
        <v>28</v>
      </c>
      <c r="I40" s="1" t="s">
        <v>21</v>
      </c>
      <c r="J40" s="1" t="s">
        <v>32</v>
      </c>
    </row>
    <row r="41" ht="14.25" customHeight="1">
      <c r="A41" s="1">
        <v>2.0</v>
      </c>
      <c r="B41" s="1" t="s">
        <v>29</v>
      </c>
      <c r="C41" s="1" t="s">
        <v>104</v>
      </c>
      <c r="D41" s="1" t="s">
        <v>105</v>
      </c>
      <c r="E41" s="1" t="s">
        <v>39</v>
      </c>
      <c r="F41" s="1">
        <v>1.0</v>
      </c>
      <c r="G41" s="1" t="s">
        <v>69</v>
      </c>
      <c r="H41" s="1" t="s">
        <v>28</v>
      </c>
      <c r="I41" s="1" t="s">
        <v>21</v>
      </c>
      <c r="J41" s="1" t="s">
        <v>32</v>
      </c>
    </row>
    <row r="42" ht="14.25" customHeight="1">
      <c r="A42" s="1">
        <v>2.0</v>
      </c>
      <c r="B42" s="1" t="s">
        <v>41</v>
      </c>
      <c r="C42" s="1" t="s">
        <v>106</v>
      </c>
      <c r="D42" s="1" t="s">
        <v>107</v>
      </c>
      <c r="E42" s="1" t="s">
        <v>42</v>
      </c>
      <c r="F42" s="1">
        <v>1.0</v>
      </c>
      <c r="G42" s="1" t="s">
        <v>14</v>
      </c>
      <c r="H42" s="1" t="s">
        <v>15</v>
      </c>
      <c r="I42" s="1" t="s">
        <v>16</v>
      </c>
      <c r="J42" s="1" t="s">
        <v>44</v>
      </c>
    </row>
    <row r="43" ht="14.25" customHeight="1">
      <c r="A43" s="1">
        <v>2.0</v>
      </c>
      <c r="B43" s="1" t="s">
        <v>41</v>
      </c>
      <c r="C43" s="1" t="s">
        <v>108</v>
      </c>
      <c r="D43" s="1" t="s">
        <v>109</v>
      </c>
      <c r="E43" s="1" t="s">
        <v>42</v>
      </c>
      <c r="F43" s="1">
        <v>6.0</v>
      </c>
      <c r="G43" s="1" t="s">
        <v>69</v>
      </c>
      <c r="H43" s="1" t="s">
        <v>15</v>
      </c>
      <c r="I43" s="1" t="s">
        <v>16</v>
      </c>
      <c r="J43" s="1" t="s">
        <v>44</v>
      </c>
    </row>
    <row r="44" ht="14.25" customHeight="1">
      <c r="A44" s="1">
        <v>2.0</v>
      </c>
      <c r="B44" s="1" t="s">
        <v>41</v>
      </c>
      <c r="C44" s="1" t="s">
        <v>110</v>
      </c>
      <c r="D44" s="1" t="s">
        <v>111</v>
      </c>
      <c r="E44" s="1" t="s">
        <v>45</v>
      </c>
      <c r="F44" s="1">
        <v>1.0</v>
      </c>
      <c r="G44" s="1" t="s">
        <v>14</v>
      </c>
      <c r="H44" s="1" t="s">
        <v>20</v>
      </c>
      <c r="I44" s="1" t="s">
        <v>21</v>
      </c>
      <c r="J44" s="1" t="s">
        <v>44</v>
      </c>
    </row>
    <row r="45" ht="14.25" customHeight="1">
      <c r="A45" s="1">
        <v>2.0</v>
      </c>
      <c r="B45" s="1" t="s">
        <v>41</v>
      </c>
      <c r="C45" s="1" t="s">
        <v>112</v>
      </c>
      <c r="D45" s="1" t="s">
        <v>113</v>
      </c>
      <c r="E45" s="1" t="s">
        <v>45</v>
      </c>
      <c r="F45" s="1">
        <v>1.0</v>
      </c>
      <c r="G45" s="1" t="s">
        <v>69</v>
      </c>
      <c r="H45" s="1" t="s">
        <v>20</v>
      </c>
      <c r="I45" s="1" t="s">
        <v>21</v>
      </c>
      <c r="J45" s="1" t="s">
        <v>44</v>
      </c>
    </row>
    <row r="46" ht="14.25" customHeight="1">
      <c r="A46" s="1">
        <v>2.0</v>
      </c>
      <c r="B46" s="1" t="s">
        <v>41</v>
      </c>
      <c r="C46" s="1" t="s">
        <v>114</v>
      </c>
      <c r="D46" s="1" t="s">
        <v>115</v>
      </c>
      <c r="E46" s="1" t="s">
        <v>47</v>
      </c>
      <c r="F46" s="1">
        <v>1.0</v>
      </c>
      <c r="G46" s="1" t="s">
        <v>14</v>
      </c>
      <c r="H46" s="1" t="s">
        <v>15</v>
      </c>
      <c r="I46" s="1" t="s">
        <v>16</v>
      </c>
      <c r="J46" s="1" t="s">
        <v>44</v>
      </c>
    </row>
    <row r="47" ht="14.25" customHeight="1">
      <c r="A47" s="1">
        <v>2.0</v>
      </c>
      <c r="B47" s="1" t="s">
        <v>41</v>
      </c>
      <c r="C47" s="1" t="s">
        <v>116</v>
      </c>
      <c r="D47" s="1" t="s">
        <v>117</v>
      </c>
      <c r="E47" s="1" t="s">
        <v>47</v>
      </c>
      <c r="F47" s="1">
        <v>1.0</v>
      </c>
      <c r="G47" s="1" t="s">
        <v>14</v>
      </c>
      <c r="H47" s="1" t="s">
        <v>15</v>
      </c>
      <c r="I47" s="1" t="s">
        <v>16</v>
      </c>
      <c r="J47" s="1" t="s">
        <v>44</v>
      </c>
    </row>
    <row r="48" ht="14.25" customHeight="1">
      <c r="A48" s="1">
        <v>2.0</v>
      </c>
      <c r="B48" s="1" t="s">
        <v>41</v>
      </c>
      <c r="C48" s="1" t="s">
        <v>118</v>
      </c>
      <c r="D48" s="1" t="s">
        <v>119</v>
      </c>
      <c r="E48" s="1" t="s">
        <v>49</v>
      </c>
      <c r="F48" s="1">
        <v>5.0</v>
      </c>
      <c r="G48" s="1" t="s">
        <v>69</v>
      </c>
      <c r="H48" s="1" t="s">
        <v>15</v>
      </c>
      <c r="I48" s="1" t="s">
        <v>16</v>
      </c>
      <c r="J48" s="1" t="s">
        <v>44</v>
      </c>
    </row>
    <row r="49" ht="14.25" customHeight="1">
      <c r="A49" s="1">
        <v>2.0</v>
      </c>
      <c r="B49" s="1" t="s">
        <v>41</v>
      </c>
      <c r="C49" s="1" t="s">
        <v>120</v>
      </c>
      <c r="D49" s="1" t="s">
        <v>121</v>
      </c>
      <c r="E49" s="1" t="s">
        <v>49</v>
      </c>
      <c r="F49" s="1">
        <v>1.0</v>
      </c>
      <c r="G49" s="1" t="s">
        <v>69</v>
      </c>
      <c r="H49" s="1" t="s">
        <v>15</v>
      </c>
      <c r="I49" s="1" t="s">
        <v>16</v>
      </c>
      <c r="J49" s="1" t="s">
        <v>44</v>
      </c>
    </row>
    <row r="50" ht="14.25" customHeight="1">
      <c r="A50" s="1">
        <v>2.0</v>
      </c>
      <c r="B50" s="1" t="s">
        <v>41</v>
      </c>
      <c r="C50" s="1" t="s">
        <v>122</v>
      </c>
      <c r="D50" s="1" t="s">
        <v>123</v>
      </c>
      <c r="E50" s="1" t="s">
        <v>51</v>
      </c>
      <c r="F50" s="1">
        <v>7.0</v>
      </c>
      <c r="G50" s="1" t="s">
        <v>69</v>
      </c>
      <c r="H50" s="1" t="s">
        <v>28</v>
      </c>
      <c r="I50" s="1" t="s">
        <v>21</v>
      </c>
      <c r="J50" s="1" t="s">
        <v>44</v>
      </c>
    </row>
    <row r="51" ht="14.25" customHeight="1">
      <c r="A51" s="1">
        <v>2.0</v>
      </c>
      <c r="B51" s="1" t="s">
        <v>41</v>
      </c>
      <c r="C51" s="1" t="s">
        <v>124</v>
      </c>
      <c r="D51" s="1" t="s">
        <v>125</v>
      </c>
      <c r="E51" s="1" t="s">
        <v>51</v>
      </c>
      <c r="F51" s="1">
        <v>1.0</v>
      </c>
      <c r="G51" s="1" t="s">
        <v>69</v>
      </c>
      <c r="H51" s="1" t="s">
        <v>28</v>
      </c>
      <c r="I51" s="1" t="s">
        <v>21</v>
      </c>
      <c r="J51" s="1" t="s">
        <v>44</v>
      </c>
    </row>
    <row r="52" ht="14.25" customHeight="1">
      <c r="A52" s="1">
        <v>2.0</v>
      </c>
      <c r="B52" s="1" t="s">
        <v>53</v>
      </c>
      <c r="C52" s="1" t="s">
        <v>126</v>
      </c>
      <c r="D52" s="1" t="s">
        <v>127</v>
      </c>
      <c r="E52" s="1" t="s">
        <v>54</v>
      </c>
      <c r="F52" s="1">
        <v>1.0</v>
      </c>
      <c r="G52" s="1" t="s">
        <v>14</v>
      </c>
      <c r="H52" s="1" t="s">
        <v>15</v>
      </c>
      <c r="I52" s="1" t="s">
        <v>16</v>
      </c>
      <c r="J52" s="1" t="s">
        <v>56</v>
      </c>
    </row>
    <row r="53" ht="14.25" customHeight="1">
      <c r="A53" s="1">
        <v>2.0</v>
      </c>
      <c r="B53" s="1" t="s">
        <v>53</v>
      </c>
      <c r="C53" s="1" t="s">
        <v>128</v>
      </c>
      <c r="D53" s="1" t="s">
        <v>129</v>
      </c>
      <c r="E53" s="1" t="s">
        <v>54</v>
      </c>
      <c r="F53" s="1">
        <v>6.0</v>
      </c>
      <c r="G53" s="1" t="s">
        <v>69</v>
      </c>
      <c r="H53" s="1" t="s">
        <v>15</v>
      </c>
      <c r="I53" s="1" t="s">
        <v>16</v>
      </c>
      <c r="J53" s="1" t="s">
        <v>56</v>
      </c>
    </row>
    <row r="54" ht="14.25" customHeight="1">
      <c r="A54" s="1">
        <v>2.0</v>
      </c>
      <c r="B54" s="1" t="s">
        <v>53</v>
      </c>
      <c r="C54" s="1" t="s">
        <v>130</v>
      </c>
      <c r="D54" s="1" t="s">
        <v>131</v>
      </c>
      <c r="E54" s="1" t="s">
        <v>57</v>
      </c>
      <c r="F54" s="1">
        <v>1.0</v>
      </c>
      <c r="G54" s="1" t="s">
        <v>14</v>
      </c>
      <c r="H54" s="1" t="s">
        <v>20</v>
      </c>
      <c r="I54" s="1" t="s">
        <v>21</v>
      </c>
      <c r="J54" s="1" t="s">
        <v>56</v>
      </c>
    </row>
    <row r="55" ht="14.25" customHeight="1">
      <c r="A55" s="1">
        <v>2.0</v>
      </c>
      <c r="B55" s="1" t="s">
        <v>53</v>
      </c>
      <c r="C55" s="1" t="s">
        <v>132</v>
      </c>
      <c r="D55" s="1" t="s">
        <v>133</v>
      </c>
      <c r="E55" s="1" t="s">
        <v>57</v>
      </c>
      <c r="F55" s="1">
        <v>1.0</v>
      </c>
      <c r="G55" s="1" t="s">
        <v>69</v>
      </c>
      <c r="H55" s="1" t="s">
        <v>20</v>
      </c>
      <c r="I55" s="1" t="s">
        <v>21</v>
      </c>
      <c r="J55" s="1" t="s">
        <v>56</v>
      </c>
    </row>
    <row r="56" ht="14.25" customHeight="1">
      <c r="A56" s="1">
        <v>2.0</v>
      </c>
      <c r="B56" s="1" t="s">
        <v>53</v>
      </c>
      <c r="C56" s="1" t="s">
        <v>134</v>
      </c>
      <c r="D56" s="1" t="s">
        <v>135</v>
      </c>
      <c r="E56" s="1" t="s">
        <v>59</v>
      </c>
      <c r="F56" s="1">
        <v>1.0</v>
      </c>
      <c r="G56" s="1" t="s">
        <v>14</v>
      </c>
      <c r="H56" s="1" t="s">
        <v>15</v>
      </c>
      <c r="I56" s="1" t="s">
        <v>16</v>
      </c>
      <c r="J56" s="1" t="s">
        <v>56</v>
      </c>
    </row>
    <row r="57" ht="14.25" customHeight="1">
      <c r="A57" s="1">
        <v>2.0</v>
      </c>
      <c r="B57" s="1" t="s">
        <v>53</v>
      </c>
      <c r="C57" s="1" t="s">
        <v>136</v>
      </c>
      <c r="D57" s="1" t="s">
        <v>137</v>
      </c>
      <c r="E57" s="1" t="s">
        <v>59</v>
      </c>
      <c r="F57" s="1">
        <v>1.0</v>
      </c>
      <c r="G57" s="1" t="s">
        <v>14</v>
      </c>
      <c r="H57" s="1" t="s">
        <v>15</v>
      </c>
      <c r="I57" s="1" t="s">
        <v>16</v>
      </c>
      <c r="J57" s="1" t="s">
        <v>56</v>
      </c>
    </row>
    <row r="58" ht="14.25" customHeight="1">
      <c r="A58" s="1">
        <v>2.0</v>
      </c>
      <c r="B58" s="1" t="s">
        <v>53</v>
      </c>
      <c r="C58" s="1" t="s">
        <v>138</v>
      </c>
      <c r="D58" s="1" t="s">
        <v>139</v>
      </c>
      <c r="E58" s="1" t="s">
        <v>61</v>
      </c>
      <c r="F58" s="1">
        <v>5.0</v>
      </c>
      <c r="G58" s="1" t="s">
        <v>69</v>
      </c>
      <c r="H58" s="1" t="s">
        <v>15</v>
      </c>
      <c r="I58" s="1" t="s">
        <v>16</v>
      </c>
      <c r="J58" s="1" t="s">
        <v>56</v>
      </c>
    </row>
    <row r="59" ht="14.25" customHeight="1">
      <c r="A59" s="1">
        <v>2.0</v>
      </c>
      <c r="B59" s="1" t="s">
        <v>53</v>
      </c>
      <c r="C59" s="1" t="s">
        <v>140</v>
      </c>
      <c r="D59" s="1" t="s">
        <v>141</v>
      </c>
      <c r="E59" s="1" t="s">
        <v>61</v>
      </c>
      <c r="F59" s="1">
        <v>1.0</v>
      </c>
      <c r="G59" s="1" t="s">
        <v>69</v>
      </c>
      <c r="H59" s="1" t="s">
        <v>15</v>
      </c>
      <c r="I59" s="1" t="s">
        <v>16</v>
      </c>
      <c r="J59" s="1" t="s">
        <v>56</v>
      </c>
    </row>
    <row r="60" ht="14.25" customHeight="1">
      <c r="A60" s="1">
        <v>2.0</v>
      </c>
      <c r="B60" s="1" t="s">
        <v>53</v>
      </c>
      <c r="C60" s="1" t="s">
        <v>142</v>
      </c>
      <c r="D60" s="1" t="s">
        <v>143</v>
      </c>
      <c r="E60" s="1" t="s">
        <v>63</v>
      </c>
      <c r="F60" s="1">
        <v>7.0</v>
      </c>
      <c r="G60" s="1" t="s">
        <v>69</v>
      </c>
      <c r="H60" s="1" t="s">
        <v>28</v>
      </c>
      <c r="I60" s="1" t="s">
        <v>21</v>
      </c>
      <c r="J60" s="1" t="s">
        <v>56</v>
      </c>
    </row>
    <row r="61" ht="14.25" customHeight="1">
      <c r="A61" s="1">
        <v>2.0</v>
      </c>
      <c r="B61" s="1" t="s">
        <v>53</v>
      </c>
      <c r="C61" s="1" t="s">
        <v>144</v>
      </c>
      <c r="D61" s="1" t="s">
        <v>145</v>
      </c>
      <c r="E61" s="1" t="s">
        <v>63</v>
      </c>
      <c r="F61" s="1">
        <v>1.0</v>
      </c>
      <c r="G61" s="1" t="s">
        <v>69</v>
      </c>
      <c r="H61" s="1" t="s">
        <v>28</v>
      </c>
      <c r="I61" s="1" t="s">
        <v>21</v>
      </c>
      <c r="J61" s="1" t="s">
        <v>56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14"/>
    <col customWidth="1" min="3" max="3" width="20.43"/>
    <col customWidth="1" min="4" max="5" width="19.14"/>
    <col customWidth="1" min="6" max="26" width="8.71"/>
  </cols>
  <sheetData>
    <row r="1" ht="14.25" customHeight="1">
      <c r="A1" s="2" t="s">
        <v>146</v>
      </c>
      <c r="B1" s="3" t="s">
        <v>17</v>
      </c>
      <c r="C1" s="3" t="s">
        <v>32</v>
      </c>
      <c r="D1" s="3" t="s">
        <v>44</v>
      </c>
      <c r="E1" s="3" t="s">
        <v>56</v>
      </c>
    </row>
    <row r="2" ht="14.25" customHeight="1">
      <c r="A2" s="4" t="s">
        <v>147</v>
      </c>
      <c r="B2" s="5">
        <v>591.0</v>
      </c>
      <c r="C2" s="5">
        <v>401.0</v>
      </c>
      <c r="D2" s="5">
        <v>574.0</v>
      </c>
      <c r="E2" s="5">
        <v>379.0</v>
      </c>
    </row>
    <row r="3" ht="14.25" customHeight="1">
      <c r="A3" s="4" t="s">
        <v>148</v>
      </c>
      <c r="B3" s="5">
        <v>548.0</v>
      </c>
      <c r="C3" s="5">
        <v>363.0</v>
      </c>
      <c r="D3" s="5">
        <v>544.0</v>
      </c>
      <c r="E3" s="5">
        <v>343.0</v>
      </c>
    </row>
    <row r="4" ht="14.25" customHeight="1">
      <c r="A4" s="4" t="s">
        <v>149</v>
      </c>
      <c r="B4" s="5">
        <v>601.0</v>
      </c>
      <c r="C4" s="5">
        <v>387.0</v>
      </c>
      <c r="D4" s="5">
        <v>613.0</v>
      </c>
      <c r="E4" s="5">
        <v>409.0</v>
      </c>
    </row>
    <row r="5" ht="14.25" customHeight="1">
      <c r="A5" s="4" t="s">
        <v>150</v>
      </c>
      <c r="B5" s="5">
        <v>662.0</v>
      </c>
      <c r="C5" s="5">
        <v>451.0</v>
      </c>
      <c r="D5" s="5">
        <v>682.0</v>
      </c>
      <c r="E5" s="5">
        <v>443.0</v>
      </c>
    </row>
    <row r="6" ht="14.25" customHeight="1">
      <c r="A6" s="4" t="s">
        <v>151</v>
      </c>
      <c r="B6" s="5">
        <v>742.0</v>
      </c>
      <c r="C6" s="5">
        <v>476.0</v>
      </c>
      <c r="D6" s="5">
        <v>737.0</v>
      </c>
      <c r="E6" s="5">
        <v>483.0</v>
      </c>
    </row>
    <row r="7" ht="14.25" customHeight="1">
      <c r="A7" s="4" t="s">
        <v>152</v>
      </c>
      <c r="B7" s="5">
        <v>828.0</v>
      </c>
      <c r="C7" s="5">
        <v>543.0</v>
      </c>
      <c r="D7" s="5">
        <v>804.0</v>
      </c>
      <c r="E7" s="5">
        <v>545.0</v>
      </c>
    </row>
    <row r="8" ht="14.25" customHeight="1">
      <c r="A8" s="4" t="s">
        <v>153</v>
      </c>
      <c r="B8" s="5">
        <v>841.0</v>
      </c>
      <c r="C8" s="5">
        <v>571.0</v>
      </c>
      <c r="D8" s="5">
        <v>825.0</v>
      </c>
      <c r="E8" s="5">
        <v>543.0</v>
      </c>
    </row>
    <row r="9" ht="14.25" customHeight="1">
      <c r="A9" s="4" t="s">
        <v>154</v>
      </c>
      <c r="B9" s="5">
        <v>812.0</v>
      </c>
      <c r="C9" s="5">
        <v>557.0</v>
      </c>
      <c r="D9" s="5">
        <v>826.0</v>
      </c>
      <c r="E9" s="5">
        <v>539.0</v>
      </c>
    </row>
    <row r="10" ht="14.25" customHeight="1">
      <c r="A10" s="4" t="s">
        <v>155</v>
      </c>
      <c r="B10" s="5">
        <v>732.0</v>
      </c>
      <c r="C10" s="5">
        <v>476.0</v>
      </c>
      <c r="D10" s="5">
        <v>728.0</v>
      </c>
      <c r="E10" s="5">
        <v>502.0</v>
      </c>
    </row>
    <row r="11" ht="14.25" customHeight="1">
      <c r="A11" s="4" t="s">
        <v>156</v>
      </c>
      <c r="B11" s="5">
        <v>698.0</v>
      </c>
      <c r="C11" s="5">
        <v>472.0</v>
      </c>
      <c r="D11" s="5">
        <v>708.0</v>
      </c>
      <c r="E11" s="5">
        <v>458.0</v>
      </c>
    </row>
    <row r="12" ht="14.25" customHeight="1">
      <c r="A12" s="4" t="s">
        <v>157</v>
      </c>
      <c r="B12" s="5">
        <v>779.0</v>
      </c>
      <c r="C12" s="5">
        <v>529.0</v>
      </c>
      <c r="D12" s="5">
        <v>764.0</v>
      </c>
      <c r="E12" s="5">
        <v>504.0</v>
      </c>
    </row>
    <row r="13" ht="14.25" customHeight="1">
      <c r="A13" s="4" t="s">
        <v>158</v>
      </c>
      <c r="B13" s="5">
        <v>959.0</v>
      </c>
      <c r="C13" s="5">
        <v>621.0</v>
      </c>
      <c r="D13" s="5">
        <v>962.0</v>
      </c>
      <c r="E13" s="5">
        <v>644.0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4.71"/>
    <col customWidth="1" min="3" max="3" width="20.0"/>
    <col customWidth="1" min="4" max="4" width="31.0"/>
    <col customWidth="1" min="5" max="5" width="5.29"/>
    <col customWidth="1" min="6" max="6" width="16.0"/>
    <col customWidth="1" min="7" max="7" width="7.71"/>
    <col customWidth="1" min="8" max="8" width="25.43"/>
    <col customWidth="1" min="9" max="9" width="5.43"/>
    <col customWidth="1" min="10" max="10" width="17.0"/>
    <col customWidth="1" min="11" max="11" width="11.86"/>
    <col customWidth="1" min="12" max="12" width="12.14"/>
    <col customWidth="1" min="13" max="13" width="18.14"/>
    <col customWidth="1" min="14" max="14" width="10.57"/>
    <col customWidth="1" min="15" max="15" width="18.86"/>
    <col customWidth="1" min="16" max="26" width="8.71"/>
  </cols>
  <sheetData>
    <row r="1" ht="14.25" customHeight="1">
      <c r="A1" s="6" t="s">
        <v>159</v>
      </c>
      <c r="B1" s="6" t="s">
        <v>160</v>
      </c>
      <c r="C1" s="6" t="s">
        <v>161</v>
      </c>
      <c r="D1" s="6" t="s">
        <v>162</v>
      </c>
      <c r="E1" s="6" t="s">
        <v>163</v>
      </c>
      <c r="F1" s="6" t="s">
        <v>7</v>
      </c>
      <c r="G1" s="6" t="s">
        <v>8</v>
      </c>
      <c r="H1" s="6" t="s">
        <v>164</v>
      </c>
      <c r="I1" s="6" t="s">
        <v>165</v>
      </c>
      <c r="J1" s="6" t="s">
        <v>166</v>
      </c>
      <c r="K1" s="6" t="s">
        <v>167</v>
      </c>
      <c r="L1" s="6" t="s">
        <v>168</v>
      </c>
      <c r="M1" s="6" t="s">
        <v>169</v>
      </c>
      <c r="N1" s="6" t="s">
        <v>170</v>
      </c>
      <c r="O1" s="6" t="s">
        <v>171</v>
      </c>
    </row>
    <row r="2" ht="14.25" customHeight="1">
      <c r="A2" s="7" t="s">
        <v>78</v>
      </c>
      <c r="B2" s="7" t="s">
        <v>79</v>
      </c>
      <c r="C2" s="7" t="s">
        <v>24</v>
      </c>
      <c r="D2" s="7" t="s">
        <v>172</v>
      </c>
      <c r="E2" s="7" t="s">
        <v>69</v>
      </c>
      <c r="F2" s="7" t="s">
        <v>15</v>
      </c>
      <c r="G2" s="7" t="s">
        <v>16</v>
      </c>
      <c r="H2" s="7">
        <v>25.0</v>
      </c>
      <c r="I2" s="7">
        <v>197.0</v>
      </c>
      <c r="J2" s="7">
        <v>346.0</v>
      </c>
      <c r="K2" s="7">
        <v>232.0</v>
      </c>
      <c r="L2" s="7">
        <v>197.0</v>
      </c>
      <c r="M2" s="8">
        <v>45990.0</v>
      </c>
      <c r="N2" s="7" t="s">
        <v>173</v>
      </c>
      <c r="O2" s="7">
        <f t="shared" ref="O2:O41" si="1">K2+L2</f>
        <v>429</v>
      </c>
    </row>
    <row r="3" ht="14.25" customHeight="1">
      <c r="A3" s="7" t="s">
        <v>80</v>
      </c>
      <c r="B3" s="7" t="s">
        <v>81</v>
      </c>
      <c r="C3" s="7" t="s">
        <v>24</v>
      </c>
      <c r="D3" s="7" t="s">
        <v>172</v>
      </c>
      <c r="E3" s="7" t="s">
        <v>69</v>
      </c>
      <c r="F3" s="7" t="s">
        <v>15</v>
      </c>
      <c r="G3" s="7" t="s">
        <v>16</v>
      </c>
      <c r="H3" s="7">
        <v>29.0</v>
      </c>
      <c r="I3" s="7">
        <v>181.0</v>
      </c>
      <c r="J3" s="7">
        <v>28.0</v>
      </c>
      <c r="K3" s="7">
        <v>691.0</v>
      </c>
      <c r="L3" s="7">
        <v>510.0</v>
      </c>
      <c r="M3" s="8">
        <v>45969.0</v>
      </c>
      <c r="N3" s="7" t="s">
        <v>174</v>
      </c>
      <c r="O3" s="7">
        <f t="shared" si="1"/>
        <v>1201</v>
      </c>
    </row>
    <row r="4" ht="14.25" customHeight="1">
      <c r="A4" s="7" t="s">
        <v>98</v>
      </c>
      <c r="B4" s="7" t="s">
        <v>99</v>
      </c>
      <c r="C4" s="7" t="s">
        <v>37</v>
      </c>
      <c r="D4" s="7" t="s">
        <v>175</v>
      </c>
      <c r="E4" s="7" t="s">
        <v>69</v>
      </c>
      <c r="F4" s="7" t="s">
        <v>15</v>
      </c>
      <c r="G4" s="7" t="s">
        <v>16</v>
      </c>
      <c r="H4" s="7">
        <v>30.0</v>
      </c>
      <c r="I4" s="7">
        <v>11.0</v>
      </c>
      <c r="J4" s="7">
        <v>398.0</v>
      </c>
      <c r="K4" s="7">
        <v>112.0</v>
      </c>
      <c r="L4" s="7">
        <v>345.0</v>
      </c>
      <c r="M4" s="8">
        <v>45954.0</v>
      </c>
      <c r="N4" s="7" t="s">
        <v>173</v>
      </c>
      <c r="O4" s="7">
        <f t="shared" si="1"/>
        <v>457</v>
      </c>
    </row>
    <row r="5" ht="14.25" customHeight="1">
      <c r="A5" s="7" t="s">
        <v>100</v>
      </c>
      <c r="B5" s="7" t="s">
        <v>101</v>
      </c>
      <c r="C5" s="7" t="s">
        <v>37</v>
      </c>
      <c r="D5" s="7" t="s">
        <v>175</v>
      </c>
      <c r="E5" s="7" t="s">
        <v>69</v>
      </c>
      <c r="F5" s="7" t="s">
        <v>15</v>
      </c>
      <c r="G5" s="7" t="s">
        <v>16</v>
      </c>
      <c r="H5" s="7">
        <v>36.0</v>
      </c>
      <c r="I5" s="7">
        <v>143.0</v>
      </c>
      <c r="J5" s="7">
        <v>280.0</v>
      </c>
      <c r="K5" s="7">
        <v>612.0</v>
      </c>
      <c r="L5" s="7">
        <v>510.0</v>
      </c>
      <c r="M5" s="8">
        <v>46018.0</v>
      </c>
      <c r="N5" s="7" t="s">
        <v>173</v>
      </c>
      <c r="O5" s="7">
        <f t="shared" si="1"/>
        <v>1122</v>
      </c>
    </row>
    <row r="6" ht="14.25" customHeight="1">
      <c r="A6" s="7" t="s">
        <v>118</v>
      </c>
      <c r="B6" s="7" t="s">
        <v>119</v>
      </c>
      <c r="C6" s="7" t="s">
        <v>49</v>
      </c>
      <c r="D6" s="7" t="s">
        <v>176</v>
      </c>
      <c r="E6" s="7" t="s">
        <v>69</v>
      </c>
      <c r="F6" s="7" t="s">
        <v>15</v>
      </c>
      <c r="G6" s="7" t="s">
        <v>16</v>
      </c>
      <c r="H6" s="7">
        <v>34.0</v>
      </c>
      <c r="I6" s="7">
        <v>199.0</v>
      </c>
      <c r="J6" s="7">
        <v>67.0</v>
      </c>
      <c r="K6" s="7">
        <v>735.0</v>
      </c>
      <c r="L6" s="7">
        <v>297.0</v>
      </c>
      <c r="M6" s="8">
        <v>45969.0</v>
      </c>
      <c r="N6" s="7" t="s">
        <v>173</v>
      </c>
      <c r="O6" s="7">
        <f t="shared" si="1"/>
        <v>1032</v>
      </c>
    </row>
    <row r="7" ht="14.25" customHeight="1">
      <c r="A7" s="7" t="s">
        <v>120</v>
      </c>
      <c r="B7" s="7" t="s">
        <v>121</v>
      </c>
      <c r="C7" s="7" t="s">
        <v>49</v>
      </c>
      <c r="D7" s="7" t="s">
        <v>176</v>
      </c>
      <c r="E7" s="7" t="s">
        <v>69</v>
      </c>
      <c r="F7" s="7" t="s">
        <v>15</v>
      </c>
      <c r="G7" s="7" t="s">
        <v>16</v>
      </c>
      <c r="H7" s="7">
        <v>22.0</v>
      </c>
      <c r="I7" s="7">
        <v>23.0</v>
      </c>
      <c r="J7" s="7">
        <v>81.0</v>
      </c>
      <c r="K7" s="7">
        <v>224.0</v>
      </c>
      <c r="L7" s="7">
        <v>262.0</v>
      </c>
      <c r="M7" s="8">
        <v>45950.0</v>
      </c>
      <c r="N7" s="7" t="s">
        <v>177</v>
      </c>
      <c r="O7" s="7">
        <f t="shared" si="1"/>
        <v>486</v>
      </c>
    </row>
    <row r="8" ht="14.25" customHeight="1">
      <c r="A8" s="7" t="s">
        <v>138</v>
      </c>
      <c r="B8" s="7" t="s">
        <v>139</v>
      </c>
      <c r="C8" s="7" t="s">
        <v>61</v>
      </c>
      <c r="D8" s="7" t="s">
        <v>178</v>
      </c>
      <c r="E8" s="7" t="s">
        <v>69</v>
      </c>
      <c r="F8" s="7" t="s">
        <v>15</v>
      </c>
      <c r="G8" s="7" t="s">
        <v>16</v>
      </c>
      <c r="H8" s="7">
        <v>10.0</v>
      </c>
      <c r="I8" s="7">
        <v>33.0</v>
      </c>
      <c r="J8" s="7">
        <v>120.0</v>
      </c>
      <c r="K8" s="7">
        <v>709.0</v>
      </c>
      <c r="L8" s="7">
        <v>159.0</v>
      </c>
      <c r="M8" s="8">
        <v>45984.0</v>
      </c>
      <c r="N8" s="7" t="s">
        <v>174</v>
      </c>
      <c r="O8" s="7">
        <f t="shared" si="1"/>
        <v>868</v>
      </c>
    </row>
    <row r="9" ht="14.25" customHeight="1">
      <c r="A9" s="7" t="s">
        <v>140</v>
      </c>
      <c r="B9" s="7" t="s">
        <v>141</v>
      </c>
      <c r="C9" s="7" t="s">
        <v>61</v>
      </c>
      <c r="D9" s="7" t="s">
        <v>178</v>
      </c>
      <c r="E9" s="7" t="s">
        <v>69</v>
      </c>
      <c r="F9" s="7" t="s">
        <v>15</v>
      </c>
      <c r="G9" s="7" t="s">
        <v>16</v>
      </c>
      <c r="H9" s="7">
        <v>31.0</v>
      </c>
      <c r="I9" s="7">
        <v>163.0</v>
      </c>
      <c r="J9" s="7">
        <v>150.0</v>
      </c>
      <c r="K9" s="7">
        <v>415.0</v>
      </c>
      <c r="L9" s="7">
        <v>8.0</v>
      </c>
      <c r="M9" s="8">
        <v>46012.0</v>
      </c>
      <c r="N9" s="7" t="s">
        <v>173</v>
      </c>
      <c r="O9" s="7">
        <f t="shared" si="1"/>
        <v>423</v>
      </c>
    </row>
    <row r="10" ht="14.25" customHeight="1">
      <c r="A10" s="7" t="s">
        <v>74</v>
      </c>
      <c r="B10" s="7" t="s">
        <v>75</v>
      </c>
      <c r="C10" s="7" t="s">
        <v>22</v>
      </c>
      <c r="D10" s="7" t="s">
        <v>172</v>
      </c>
      <c r="E10" s="7" t="s">
        <v>14</v>
      </c>
      <c r="F10" s="7" t="s">
        <v>15</v>
      </c>
      <c r="G10" s="7" t="s">
        <v>16</v>
      </c>
      <c r="H10" s="7">
        <v>27.0</v>
      </c>
      <c r="I10" s="7">
        <v>101.0</v>
      </c>
      <c r="J10" s="7">
        <v>84.0</v>
      </c>
      <c r="K10" s="7">
        <v>607.0</v>
      </c>
      <c r="L10" s="7">
        <v>293.0</v>
      </c>
      <c r="M10" s="8">
        <v>45956.0</v>
      </c>
      <c r="N10" s="7" t="s">
        <v>177</v>
      </c>
      <c r="O10" s="7">
        <f t="shared" si="1"/>
        <v>900</v>
      </c>
    </row>
    <row r="11" ht="14.25" customHeight="1">
      <c r="A11" s="7" t="s">
        <v>76</v>
      </c>
      <c r="B11" s="7" t="s">
        <v>77</v>
      </c>
      <c r="C11" s="7" t="s">
        <v>22</v>
      </c>
      <c r="D11" s="7" t="s">
        <v>172</v>
      </c>
      <c r="E11" s="7" t="s">
        <v>14</v>
      </c>
      <c r="F11" s="7" t="s">
        <v>15</v>
      </c>
      <c r="G11" s="7" t="s">
        <v>16</v>
      </c>
      <c r="H11" s="7">
        <v>45.0</v>
      </c>
      <c r="I11" s="7">
        <v>120.0</v>
      </c>
      <c r="J11" s="7">
        <v>364.0</v>
      </c>
      <c r="K11" s="7">
        <v>471.0</v>
      </c>
      <c r="L11" s="7">
        <v>279.0</v>
      </c>
      <c r="M11" s="8">
        <v>45960.0</v>
      </c>
      <c r="N11" s="7" t="s">
        <v>177</v>
      </c>
      <c r="O11" s="7">
        <f t="shared" si="1"/>
        <v>750</v>
      </c>
    </row>
    <row r="12" ht="14.25" customHeight="1">
      <c r="A12" s="7" t="s">
        <v>94</v>
      </c>
      <c r="B12" s="7" t="s">
        <v>95</v>
      </c>
      <c r="C12" s="7" t="s">
        <v>35</v>
      </c>
      <c r="D12" s="7" t="s">
        <v>175</v>
      </c>
      <c r="E12" s="7" t="s">
        <v>14</v>
      </c>
      <c r="F12" s="7" t="s">
        <v>15</v>
      </c>
      <c r="G12" s="7" t="s">
        <v>16</v>
      </c>
      <c r="H12" s="7">
        <v>28.0</v>
      </c>
      <c r="I12" s="7">
        <v>113.0</v>
      </c>
      <c r="J12" s="7">
        <v>182.0</v>
      </c>
      <c r="K12" s="7">
        <v>385.0</v>
      </c>
      <c r="L12" s="7">
        <v>348.0</v>
      </c>
      <c r="M12" s="8">
        <v>46025.0</v>
      </c>
      <c r="N12" s="7" t="s">
        <v>173</v>
      </c>
      <c r="O12" s="7">
        <f t="shared" si="1"/>
        <v>733</v>
      </c>
    </row>
    <row r="13" ht="14.25" customHeight="1">
      <c r="A13" s="7" t="s">
        <v>96</v>
      </c>
      <c r="B13" s="7" t="s">
        <v>97</v>
      </c>
      <c r="C13" s="7" t="s">
        <v>35</v>
      </c>
      <c r="D13" s="7" t="s">
        <v>175</v>
      </c>
      <c r="E13" s="7" t="s">
        <v>14</v>
      </c>
      <c r="F13" s="7" t="s">
        <v>15</v>
      </c>
      <c r="G13" s="7" t="s">
        <v>16</v>
      </c>
      <c r="H13" s="7">
        <v>8.0</v>
      </c>
      <c r="I13" s="7">
        <v>141.0</v>
      </c>
      <c r="J13" s="7">
        <v>308.0</v>
      </c>
      <c r="K13" s="7">
        <v>386.0</v>
      </c>
      <c r="L13" s="7">
        <v>402.0</v>
      </c>
      <c r="M13" s="8">
        <v>45961.0</v>
      </c>
      <c r="N13" s="7" t="s">
        <v>174</v>
      </c>
      <c r="O13" s="7">
        <f t="shared" si="1"/>
        <v>788</v>
      </c>
    </row>
    <row r="14" ht="14.25" customHeight="1">
      <c r="A14" s="7" t="s">
        <v>65</v>
      </c>
      <c r="B14" s="7" t="s">
        <v>66</v>
      </c>
      <c r="C14" s="7" t="s">
        <v>11</v>
      </c>
      <c r="D14" s="7" t="s">
        <v>172</v>
      </c>
      <c r="E14" s="7" t="s">
        <v>14</v>
      </c>
      <c r="F14" s="7" t="s">
        <v>15</v>
      </c>
      <c r="G14" s="7" t="s">
        <v>16</v>
      </c>
      <c r="H14" s="7">
        <v>45.0</v>
      </c>
      <c r="I14" s="7">
        <v>99.0</v>
      </c>
      <c r="J14" s="7">
        <v>60.0</v>
      </c>
      <c r="K14" s="7">
        <v>683.0</v>
      </c>
      <c r="L14" s="7">
        <v>202.0</v>
      </c>
      <c r="M14" s="8">
        <v>45955.0</v>
      </c>
      <c r="N14" s="7" t="s">
        <v>174</v>
      </c>
      <c r="O14" s="7">
        <f t="shared" si="1"/>
        <v>885</v>
      </c>
    </row>
    <row r="15" ht="14.25" customHeight="1">
      <c r="A15" s="7" t="s">
        <v>67</v>
      </c>
      <c r="B15" s="7" t="s">
        <v>68</v>
      </c>
      <c r="C15" s="7" t="s">
        <v>11</v>
      </c>
      <c r="D15" s="7" t="s">
        <v>172</v>
      </c>
      <c r="E15" s="7" t="s">
        <v>69</v>
      </c>
      <c r="F15" s="7" t="s">
        <v>15</v>
      </c>
      <c r="G15" s="7" t="s">
        <v>16</v>
      </c>
      <c r="H15" s="7">
        <v>35.0</v>
      </c>
      <c r="I15" s="7">
        <v>62.0</v>
      </c>
      <c r="J15" s="7">
        <v>176.0</v>
      </c>
      <c r="K15" s="7">
        <v>663.0</v>
      </c>
      <c r="L15" s="7">
        <v>183.0</v>
      </c>
      <c r="M15" s="8">
        <v>45984.0</v>
      </c>
      <c r="N15" s="7" t="s">
        <v>177</v>
      </c>
      <c r="O15" s="7">
        <f t="shared" si="1"/>
        <v>846</v>
      </c>
    </row>
    <row r="16" ht="14.25" customHeight="1">
      <c r="A16" s="7" t="s">
        <v>86</v>
      </c>
      <c r="B16" s="7" t="s">
        <v>87</v>
      </c>
      <c r="C16" s="7" t="s">
        <v>30</v>
      </c>
      <c r="D16" s="7" t="s">
        <v>175</v>
      </c>
      <c r="E16" s="7" t="s">
        <v>14</v>
      </c>
      <c r="F16" s="7" t="s">
        <v>15</v>
      </c>
      <c r="G16" s="7" t="s">
        <v>16</v>
      </c>
      <c r="H16" s="7">
        <v>30.0</v>
      </c>
      <c r="I16" s="7">
        <v>44.0</v>
      </c>
      <c r="J16" s="7">
        <v>155.0</v>
      </c>
      <c r="K16" s="7">
        <v>441.0</v>
      </c>
      <c r="L16" s="7">
        <v>123.0</v>
      </c>
      <c r="M16" s="8">
        <v>46008.0</v>
      </c>
      <c r="N16" s="7" t="s">
        <v>174</v>
      </c>
      <c r="O16" s="7">
        <f t="shared" si="1"/>
        <v>564</v>
      </c>
    </row>
    <row r="17" ht="14.25" customHeight="1">
      <c r="A17" s="7" t="s">
        <v>88</v>
      </c>
      <c r="B17" s="7" t="s">
        <v>89</v>
      </c>
      <c r="C17" s="7" t="s">
        <v>30</v>
      </c>
      <c r="D17" s="7" t="s">
        <v>175</v>
      </c>
      <c r="E17" s="7" t="s">
        <v>69</v>
      </c>
      <c r="F17" s="7" t="s">
        <v>15</v>
      </c>
      <c r="G17" s="7" t="s">
        <v>16</v>
      </c>
      <c r="H17" s="7">
        <v>42.0</v>
      </c>
      <c r="I17" s="7">
        <v>90.0</v>
      </c>
      <c r="J17" s="7">
        <v>82.0</v>
      </c>
      <c r="K17" s="7">
        <v>563.0</v>
      </c>
      <c r="L17" s="7">
        <v>186.0</v>
      </c>
      <c r="M17" s="8">
        <v>45972.0</v>
      </c>
      <c r="N17" s="7" t="s">
        <v>177</v>
      </c>
      <c r="O17" s="7">
        <f t="shared" si="1"/>
        <v>749</v>
      </c>
    </row>
    <row r="18" ht="14.25" customHeight="1">
      <c r="A18" s="7" t="s">
        <v>106</v>
      </c>
      <c r="B18" s="7" t="s">
        <v>107</v>
      </c>
      <c r="C18" s="7" t="s">
        <v>42</v>
      </c>
      <c r="D18" s="7" t="s">
        <v>176</v>
      </c>
      <c r="E18" s="7" t="s">
        <v>14</v>
      </c>
      <c r="F18" s="7" t="s">
        <v>15</v>
      </c>
      <c r="G18" s="7" t="s">
        <v>16</v>
      </c>
      <c r="H18" s="7">
        <v>27.0</v>
      </c>
      <c r="I18" s="7">
        <v>13.0</v>
      </c>
      <c r="J18" s="7">
        <v>47.0</v>
      </c>
      <c r="K18" s="7">
        <v>698.0</v>
      </c>
      <c r="L18" s="7">
        <v>488.0</v>
      </c>
      <c r="M18" s="8">
        <v>45971.0</v>
      </c>
      <c r="N18" s="7" t="s">
        <v>174</v>
      </c>
      <c r="O18" s="7">
        <f t="shared" si="1"/>
        <v>1186</v>
      </c>
    </row>
    <row r="19" ht="14.25" customHeight="1">
      <c r="A19" s="7" t="s">
        <v>108</v>
      </c>
      <c r="B19" s="7" t="s">
        <v>109</v>
      </c>
      <c r="C19" s="7" t="s">
        <v>42</v>
      </c>
      <c r="D19" s="7" t="s">
        <v>176</v>
      </c>
      <c r="E19" s="7" t="s">
        <v>69</v>
      </c>
      <c r="F19" s="7" t="s">
        <v>15</v>
      </c>
      <c r="G19" s="7" t="s">
        <v>16</v>
      </c>
      <c r="H19" s="7">
        <v>39.0</v>
      </c>
      <c r="I19" s="7">
        <v>63.0</v>
      </c>
      <c r="J19" s="7">
        <v>154.0</v>
      </c>
      <c r="K19" s="7">
        <v>112.0</v>
      </c>
      <c r="L19" s="7">
        <v>550.0</v>
      </c>
      <c r="M19" s="8">
        <v>46016.0</v>
      </c>
      <c r="N19" s="7" t="s">
        <v>173</v>
      </c>
      <c r="O19" s="7">
        <f t="shared" si="1"/>
        <v>662</v>
      </c>
    </row>
    <row r="20" ht="14.25" customHeight="1">
      <c r="A20" s="7" t="s">
        <v>126</v>
      </c>
      <c r="B20" s="7" t="s">
        <v>127</v>
      </c>
      <c r="C20" s="7" t="s">
        <v>54</v>
      </c>
      <c r="D20" s="7" t="s">
        <v>178</v>
      </c>
      <c r="E20" s="7" t="s">
        <v>14</v>
      </c>
      <c r="F20" s="7" t="s">
        <v>15</v>
      </c>
      <c r="G20" s="7" t="s">
        <v>16</v>
      </c>
      <c r="H20" s="7">
        <v>43.0</v>
      </c>
      <c r="I20" s="7">
        <v>24.0</v>
      </c>
      <c r="J20" s="7">
        <v>118.0</v>
      </c>
      <c r="K20" s="7">
        <v>637.0</v>
      </c>
      <c r="L20" s="7">
        <v>571.0</v>
      </c>
      <c r="M20" s="8">
        <v>45956.0</v>
      </c>
      <c r="N20" s="7" t="s">
        <v>173</v>
      </c>
      <c r="O20" s="7">
        <f t="shared" si="1"/>
        <v>1208</v>
      </c>
    </row>
    <row r="21" ht="14.25" customHeight="1">
      <c r="A21" s="7" t="s">
        <v>128</v>
      </c>
      <c r="B21" s="7" t="s">
        <v>129</v>
      </c>
      <c r="C21" s="7" t="s">
        <v>54</v>
      </c>
      <c r="D21" s="7" t="s">
        <v>178</v>
      </c>
      <c r="E21" s="7" t="s">
        <v>69</v>
      </c>
      <c r="F21" s="7" t="s">
        <v>15</v>
      </c>
      <c r="G21" s="7" t="s">
        <v>16</v>
      </c>
      <c r="H21" s="7">
        <v>13.0</v>
      </c>
      <c r="I21" s="7">
        <v>199.0</v>
      </c>
      <c r="J21" s="7">
        <v>191.0</v>
      </c>
      <c r="K21" s="7">
        <v>129.0</v>
      </c>
      <c r="L21" s="7">
        <v>1.0</v>
      </c>
      <c r="M21" s="8">
        <v>45944.0</v>
      </c>
      <c r="N21" s="7" t="s">
        <v>173</v>
      </c>
      <c r="O21" s="7">
        <f t="shared" si="1"/>
        <v>130</v>
      </c>
    </row>
    <row r="22" ht="14.25" customHeight="1">
      <c r="A22" s="7" t="s">
        <v>114</v>
      </c>
      <c r="B22" s="7" t="s">
        <v>115</v>
      </c>
      <c r="C22" s="7" t="s">
        <v>47</v>
      </c>
      <c r="D22" s="7" t="s">
        <v>176</v>
      </c>
      <c r="E22" s="7" t="s">
        <v>14</v>
      </c>
      <c r="F22" s="7" t="s">
        <v>15</v>
      </c>
      <c r="G22" s="7" t="s">
        <v>16</v>
      </c>
      <c r="H22" s="7">
        <v>31.0</v>
      </c>
      <c r="I22" s="7">
        <v>53.0</v>
      </c>
      <c r="J22" s="7">
        <v>287.0</v>
      </c>
      <c r="K22" s="7">
        <v>219.0</v>
      </c>
      <c r="L22" s="7">
        <v>150.0</v>
      </c>
      <c r="M22" s="8">
        <v>45969.0</v>
      </c>
      <c r="N22" s="7" t="s">
        <v>173</v>
      </c>
      <c r="O22" s="7">
        <f t="shared" si="1"/>
        <v>369</v>
      </c>
    </row>
    <row r="23" ht="14.25" customHeight="1">
      <c r="A23" s="7" t="s">
        <v>116</v>
      </c>
      <c r="B23" s="7" t="s">
        <v>117</v>
      </c>
      <c r="C23" s="7" t="s">
        <v>47</v>
      </c>
      <c r="D23" s="7" t="s">
        <v>176</v>
      </c>
      <c r="E23" s="7" t="s">
        <v>14</v>
      </c>
      <c r="F23" s="7" t="s">
        <v>15</v>
      </c>
      <c r="G23" s="7" t="s">
        <v>16</v>
      </c>
      <c r="H23" s="7">
        <v>33.0</v>
      </c>
      <c r="I23" s="7">
        <v>171.0</v>
      </c>
      <c r="J23" s="7">
        <v>52.0</v>
      </c>
      <c r="K23" s="7">
        <v>565.0</v>
      </c>
      <c r="L23" s="7">
        <v>414.0</v>
      </c>
      <c r="M23" s="8">
        <v>46004.0</v>
      </c>
      <c r="N23" s="7" t="s">
        <v>177</v>
      </c>
      <c r="O23" s="7">
        <f t="shared" si="1"/>
        <v>979</v>
      </c>
    </row>
    <row r="24" ht="14.25" customHeight="1">
      <c r="A24" s="7" t="s">
        <v>134</v>
      </c>
      <c r="B24" s="7" t="s">
        <v>135</v>
      </c>
      <c r="C24" s="7" t="s">
        <v>59</v>
      </c>
      <c r="D24" s="7" t="s">
        <v>178</v>
      </c>
      <c r="E24" s="7" t="s">
        <v>14</v>
      </c>
      <c r="F24" s="7" t="s">
        <v>15</v>
      </c>
      <c r="G24" s="7" t="s">
        <v>16</v>
      </c>
      <c r="H24" s="7">
        <v>45.0</v>
      </c>
      <c r="I24" s="7">
        <v>120.0</v>
      </c>
      <c r="J24" s="7">
        <v>54.0</v>
      </c>
      <c r="K24" s="7">
        <v>729.0</v>
      </c>
      <c r="L24" s="7">
        <v>452.0</v>
      </c>
      <c r="M24" s="8">
        <v>45953.0</v>
      </c>
      <c r="N24" s="7" t="s">
        <v>173</v>
      </c>
      <c r="O24" s="7">
        <f t="shared" si="1"/>
        <v>1181</v>
      </c>
    </row>
    <row r="25" ht="14.25" customHeight="1">
      <c r="A25" s="7" t="s">
        <v>136</v>
      </c>
      <c r="B25" s="7" t="s">
        <v>137</v>
      </c>
      <c r="C25" s="7" t="s">
        <v>59</v>
      </c>
      <c r="D25" s="7" t="s">
        <v>178</v>
      </c>
      <c r="E25" s="7" t="s">
        <v>14</v>
      </c>
      <c r="F25" s="7" t="s">
        <v>15</v>
      </c>
      <c r="G25" s="7" t="s">
        <v>16</v>
      </c>
      <c r="H25" s="7">
        <v>24.0</v>
      </c>
      <c r="I25" s="7">
        <v>62.0</v>
      </c>
      <c r="J25" s="7">
        <v>246.0</v>
      </c>
      <c r="K25" s="7">
        <v>671.0</v>
      </c>
      <c r="L25" s="7">
        <v>36.0</v>
      </c>
      <c r="M25" s="8">
        <v>45969.0</v>
      </c>
      <c r="N25" s="7" t="s">
        <v>174</v>
      </c>
      <c r="O25" s="7">
        <f t="shared" si="1"/>
        <v>707</v>
      </c>
    </row>
    <row r="26" ht="14.25" customHeight="1">
      <c r="A26" s="7" t="s">
        <v>84</v>
      </c>
      <c r="B26" s="7" t="s">
        <v>85</v>
      </c>
      <c r="C26" s="7" t="s">
        <v>26</v>
      </c>
      <c r="D26" s="7" t="s">
        <v>172</v>
      </c>
      <c r="E26" s="7" t="s">
        <v>69</v>
      </c>
      <c r="F26" s="7" t="s">
        <v>28</v>
      </c>
      <c r="G26" s="7" t="s">
        <v>21</v>
      </c>
      <c r="H26" s="7">
        <v>17.0</v>
      </c>
      <c r="I26" s="7">
        <v>184.0</v>
      </c>
      <c r="J26" s="7">
        <v>148.0</v>
      </c>
      <c r="K26" s="7">
        <v>496.0</v>
      </c>
      <c r="L26" s="7">
        <v>200.0</v>
      </c>
      <c r="M26" s="8">
        <v>46011.0</v>
      </c>
      <c r="N26" s="7" t="s">
        <v>174</v>
      </c>
      <c r="O26" s="7">
        <f t="shared" si="1"/>
        <v>696</v>
      </c>
    </row>
    <row r="27" ht="14.25" customHeight="1">
      <c r="A27" s="7" t="s">
        <v>82</v>
      </c>
      <c r="B27" s="7" t="s">
        <v>83</v>
      </c>
      <c r="C27" s="7" t="s">
        <v>26</v>
      </c>
      <c r="D27" s="7" t="s">
        <v>172</v>
      </c>
      <c r="E27" s="7" t="s">
        <v>69</v>
      </c>
      <c r="F27" s="7" t="s">
        <v>28</v>
      </c>
      <c r="G27" s="7" t="s">
        <v>21</v>
      </c>
      <c r="H27" s="7">
        <v>17.0</v>
      </c>
      <c r="I27" s="7">
        <v>17.0</v>
      </c>
      <c r="J27" s="7">
        <v>363.0</v>
      </c>
      <c r="K27" s="7">
        <v>112.0</v>
      </c>
      <c r="L27" s="7">
        <v>143.0</v>
      </c>
      <c r="M27" s="8">
        <v>45960.0</v>
      </c>
      <c r="N27" s="7" t="s">
        <v>177</v>
      </c>
      <c r="O27" s="7">
        <f t="shared" si="1"/>
        <v>255</v>
      </c>
    </row>
    <row r="28" ht="14.25" customHeight="1">
      <c r="A28" s="7" t="s">
        <v>104</v>
      </c>
      <c r="B28" s="7" t="s">
        <v>105</v>
      </c>
      <c r="C28" s="7" t="s">
        <v>39</v>
      </c>
      <c r="D28" s="7" t="s">
        <v>175</v>
      </c>
      <c r="E28" s="7" t="s">
        <v>69</v>
      </c>
      <c r="F28" s="7" t="s">
        <v>28</v>
      </c>
      <c r="G28" s="7" t="s">
        <v>21</v>
      </c>
      <c r="H28" s="7">
        <v>8.0</v>
      </c>
      <c r="I28" s="7">
        <v>115.0</v>
      </c>
      <c r="J28" s="7">
        <v>60.0</v>
      </c>
      <c r="K28" s="7">
        <v>80.0</v>
      </c>
      <c r="L28" s="7">
        <v>147.0</v>
      </c>
      <c r="M28" s="8">
        <v>45990.0</v>
      </c>
      <c r="N28" s="7" t="s">
        <v>174</v>
      </c>
      <c r="O28" s="7">
        <f t="shared" si="1"/>
        <v>227</v>
      </c>
    </row>
    <row r="29" ht="14.25" customHeight="1">
      <c r="A29" s="7" t="s">
        <v>102</v>
      </c>
      <c r="B29" s="7" t="s">
        <v>103</v>
      </c>
      <c r="C29" s="7" t="s">
        <v>39</v>
      </c>
      <c r="D29" s="7" t="s">
        <v>175</v>
      </c>
      <c r="E29" s="7" t="s">
        <v>69</v>
      </c>
      <c r="F29" s="7" t="s">
        <v>28</v>
      </c>
      <c r="G29" s="7" t="s">
        <v>21</v>
      </c>
      <c r="H29" s="7">
        <v>44.0</v>
      </c>
      <c r="I29" s="7">
        <v>63.0</v>
      </c>
      <c r="J29" s="7">
        <v>250.0</v>
      </c>
      <c r="K29" s="7">
        <v>624.0</v>
      </c>
      <c r="L29" s="7">
        <v>146.0</v>
      </c>
      <c r="M29" s="8">
        <v>46002.0</v>
      </c>
      <c r="N29" s="7" t="s">
        <v>173</v>
      </c>
      <c r="O29" s="7">
        <f t="shared" si="1"/>
        <v>770</v>
      </c>
    </row>
    <row r="30" ht="14.25" customHeight="1">
      <c r="A30" s="7" t="s">
        <v>124</v>
      </c>
      <c r="B30" s="7" t="s">
        <v>125</v>
      </c>
      <c r="C30" s="7" t="s">
        <v>51</v>
      </c>
      <c r="D30" s="7" t="s">
        <v>176</v>
      </c>
      <c r="E30" s="7" t="s">
        <v>69</v>
      </c>
      <c r="F30" s="7" t="s">
        <v>28</v>
      </c>
      <c r="G30" s="7" t="s">
        <v>21</v>
      </c>
      <c r="H30" s="7">
        <v>9.0</v>
      </c>
      <c r="I30" s="7">
        <v>57.0</v>
      </c>
      <c r="J30" s="7">
        <v>312.0</v>
      </c>
      <c r="K30" s="7">
        <v>402.0</v>
      </c>
      <c r="L30" s="7">
        <v>345.0</v>
      </c>
      <c r="M30" s="8">
        <v>45984.0</v>
      </c>
      <c r="N30" s="7" t="s">
        <v>173</v>
      </c>
      <c r="O30" s="7">
        <f t="shared" si="1"/>
        <v>747</v>
      </c>
    </row>
    <row r="31" ht="14.25" customHeight="1">
      <c r="A31" s="7" t="s">
        <v>122</v>
      </c>
      <c r="B31" s="7" t="s">
        <v>123</v>
      </c>
      <c r="C31" s="7" t="s">
        <v>51</v>
      </c>
      <c r="D31" s="7" t="s">
        <v>176</v>
      </c>
      <c r="E31" s="7" t="s">
        <v>69</v>
      </c>
      <c r="F31" s="7" t="s">
        <v>28</v>
      </c>
      <c r="G31" s="7" t="s">
        <v>21</v>
      </c>
      <c r="H31" s="7">
        <v>21.0</v>
      </c>
      <c r="I31" s="7">
        <v>104.0</v>
      </c>
      <c r="J31" s="7">
        <v>235.0</v>
      </c>
      <c r="K31" s="7">
        <v>384.0</v>
      </c>
      <c r="L31" s="7">
        <v>143.0</v>
      </c>
      <c r="M31" s="8">
        <v>45957.0</v>
      </c>
      <c r="N31" s="7" t="s">
        <v>174</v>
      </c>
      <c r="O31" s="7">
        <f t="shared" si="1"/>
        <v>527</v>
      </c>
    </row>
    <row r="32" ht="14.25" customHeight="1">
      <c r="A32" s="7" t="s">
        <v>144</v>
      </c>
      <c r="B32" s="7" t="s">
        <v>145</v>
      </c>
      <c r="C32" s="7" t="s">
        <v>63</v>
      </c>
      <c r="D32" s="7" t="s">
        <v>178</v>
      </c>
      <c r="E32" s="7" t="s">
        <v>69</v>
      </c>
      <c r="F32" s="7" t="s">
        <v>28</v>
      </c>
      <c r="G32" s="7" t="s">
        <v>21</v>
      </c>
      <c r="H32" s="7">
        <v>15.0</v>
      </c>
      <c r="I32" s="7">
        <v>133.0</v>
      </c>
      <c r="J32" s="7">
        <v>24.0</v>
      </c>
      <c r="K32" s="7">
        <v>438.0</v>
      </c>
      <c r="L32" s="7">
        <v>98.0</v>
      </c>
      <c r="M32" s="8">
        <v>46022.0</v>
      </c>
      <c r="N32" s="7" t="s">
        <v>173</v>
      </c>
      <c r="O32" s="7">
        <f t="shared" si="1"/>
        <v>536</v>
      </c>
    </row>
    <row r="33" ht="14.25" customHeight="1">
      <c r="A33" s="7" t="s">
        <v>142</v>
      </c>
      <c r="B33" s="7" t="s">
        <v>143</v>
      </c>
      <c r="C33" s="7" t="s">
        <v>63</v>
      </c>
      <c r="D33" s="7" t="s">
        <v>178</v>
      </c>
      <c r="E33" s="7" t="s">
        <v>69</v>
      </c>
      <c r="F33" s="7" t="s">
        <v>28</v>
      </c>
      <c r="G33" s="7" t="s">
        <v>21</v>
      </c>
      <c r="H33" s="7">
        <v>20.0</v>
      </c>
      <c r="I33" s="7">
        <v>197.0</v>
      </c>
      <c r="J33" s="7">
        <v>276.0</v>
      </c>
      <c r="K33" s="7">
        <v>246.0</v>
      </c>
      <c r="L33" s="7">
        <v>232.0</v>
      </c>
      <c r="M33" s="8">
        <v>45995.0</v>
      </c>
      <c r="N33" s="7" t="s">
        <v>174</v>
      </c>
      <c r="O33" s="7">
        <f t="shared" si="1"/>
        <v>478</v>
      </c>
    </row>
    <row r="34" ht="14.25" customHeight="1">
      <c r="A34" s="7" t="s">
        <v>70</v>
      </c>
      <c r="B34" s="7" t="s">
        <v>71</v>
      </c>
      <c r="C34" s="7" t="s">
        <v>18</v>
      </c>
      <c r="D34" s="7" t="s">
        <v>172</v>
      </c>
      <c r="E34" s="7" t="s">
        <v>14</v>
      </c>
      <c r="F34" s="7" t="s">
        <v>20</v>
      </c>
      <c r="G34" s="7" t="s">
        <v>21</v>
      </c>
      <c r="H34" s="7">
        <v>21.0</v>
      </c>
      <c r="I34" s="7">
        <v>139.0</v>
      </c>
      <c r="J34" s="7">
        <v>34.0</v>
      </c>
      <c r="K34" s="7">
        <v>373.0</v>
      </c>
      <c r="L34" s="7">
        <v>122.0</v>
      </c>
      <c r="M34" s="8">
        <v>46016.0</v>
      </c>
      <c r="N34" s="7" t="s">
        <v>177</v>
      </c>
      <c r="O34" s="7">
        <f t="shared" si="1"/>
        <v>495</v>
      </c>
    </row>
    <row r="35" ht="14.25" customHeight="1">
      <c r="A35" s="7" t="s">
        <v>72</v>
      </c>
      <c r="B35" s="7" t="s">
        <v>73</v>
      </c>
      <c r="C35" s="7" t="s">
        <v>18</v>
      </c>
      <c r="D35" s="7" t="s">
        <v>172</v>
      </c>
      <c r="E35" s="7" t="s">
        <v>69</v>
      </c>
      <c r="F35" s="7" t="s">
        <v>20</v>
      </c>
      <c r="G35" s="7" t="s">
        <v>21</v>
      </c>
      <c r="H35" s="7">
        <v>14.0</v>
      </c>
      <c r="I35" s="7">
        <v>93.0</v>
      </c>
      <c r="J35" s="7">
        <v>320.0</v>
      </c>
      <c r="K35" s="7">
        <v>671.0</v>
      </c>
      <c r="L35" s="7">
        <v>400.0</v>
      </c>
      <c r="M35" s="8">
        <v>45939.0</v>
      </c>
      <c r="N35" s="7" t="s">
        <v>177</v>
      </c>
      <c r="O35" s="7">
        <f t="shared" si="1"/>
        <v>1071</v>
      </c>
    </row>
    <row r="36" ht="14.25" customHeight="1">
      <c r="A36" s="7" t="s">
        <v>90</v>
      </c>
      <c r="B36" s="7" t="s">
        <v>91</v>
      </c>
      <c r="C36" s="7" t="s">
        <v>33</v>
      </c>
      <c r="D36" s="7" t="s">
        <v>175</v>
      </c>
      <c r="E36" s="7" t="s">
        <v>14</v>
      </c>
      <c r="F36" s="7" t="s">
        <v>20</v>
      </c>
      <c r="G36" s="7" t="s">
        <v>21</v>
      </c>
      <c r="H36" s="7">
        <v>30.0</v>
      </c>
      <c r="I36" s="7">
        <v>173.0</v>
      </c>
      <c r="J36" s="7">
        <v>158.0</v>
      </c>
      <c r="K36" s="7">
        <v>267.0</v>
      </c>
      <c r="L36" s="7">
        <v>325.0</v>
      </c>
      <c r="M36" s="8">
        <v>45974.0</v>
      </c>
      <c r="N36" s="7" t="s">
        <v>173</v>
      </c>
      <c r="O36" s="7">
        <f t="shared" si="1"/>
        <v>592</v>
      </c>
    </row>
    <row r="37" ht="14.25" customHeight="1">
      <c r="A37" s="7" t="s">
        <v>92</v>
      </c>
      <c r="B37" s="7" t="s">
        <v>93</v>
      </c>
      <c r="C37" s="7" t="s">
        <v>33</v>
      </c>
      <c r="D37" s="7" t="s">
        <v>175</v>
      </c>
      <c r="E37" s="7" t="s">
        <v>69</v>
      </c>
      <c r="F37" s="7" t="s">
        <v>20</v>
      </c>
      <c r="G37" s="7" t="s">
        <v>21</v>
      </c>
      <c r="H37" s="7">
        <v>9.0</v>
      </c>
      <c r="I37" s="7">
        <v>59.0</v>
      </c>
      <c r="J37" s="7">
        <v>100.0</v>
      </c>
      <c r="K37" s="7">
        <v>509.0</v>
      </c>
      <c r="L37" s="7">
        <v>463.0</v>
      </c>
      <c r="M37" s="8">
        <v>46020.0</v>
      </c>
      <c r="N37" s="7" t="s">
        <v>177</v>
      </c>
      <c r="O37" s="7">
        <f t="shared" si="1"/>
        <v>972</v>
      </c>
    </row>
    <row r="38" ht="14.25" customHeight="1">
      <c r="A38" s="7" t="s">
        <v>110</v>
      </c>
      <c r="B38" s="7" t="s">
        <v>111</v>
      </c>
      <c r="C38" s="7" t="s">
        <v>45</v>
      </c>
      <c r="D38" s="7" t="s">
        <v>176</v>
      </c>
      <c r="E38" s="7" t="s">
        <v>14</v>
      </c>
      <c r="F38" s="7" t="s">
        <v>20</v>
      </c>
      <c r="G38" s="7" t="s">
        <v>21</v>
      </c>
      <c r="H38" s="7">
        <v>18.0</v>
      </c>
      <c r="I38" s="7">
        <v>200.0</v>
      </c>
      <c r="J38" s="7">
        <v>220.0</v>
      </c>
      <c r="K38" s="7">
        <v>1.0</v>
      </c>
      <c r="L38" s="7">
        <v>337.0</v>
      </c>
      <c r="M38" s="8">
        <v>45997.0</v>
      </c>
      <c r="N38" s="7" t="s">
        <v>173</v>
      </c>
      <c r="O38" s="7">
        <f t="shared" si="1"/>
        <v>338</v>
      </c>
    </row>
    <row r="39" ht="14.25" customHeight="1">
      <c r="A39" s="7" t="s">
        <v>112</v>
      </c>
      <c r="B39" s="7" t="s">
        <v>113</v>
      </c>
      <c r="C39" s="7" t="s">
        <v>45</v>
      </c>
      <c r="D39" s="7" t="s">
        <v>176</v>
      </c>
      <c r="E39" s="7" t="s">
        <v>69</v>
      </c>
      <c r="F39" s="7" t="s">
        <v>20</v>
      </c>
      <c r="G39" s="7" t="s">
        <v>21</v>
      </c>
      <c r="H39" s="7">
        <v>28.0</v>
      </c>
      <c r="I39" s="7">
        <v>155.0</v>
      </c>
      <c r="J39" s="7">
        <v>347.0</v>
      </c>
      <c r="K39" s="7">
        <v>641.0</v>
      </c>
      <c r="L39" s="7">
        <v>472.0</v>
      </c>
      <c r="M39" s="8">
        <v>45977.0</v>
      </c>
      <c r="N39" s="7" t="s">
        <v>177</v>
      </c>
      <c r="O39" s="7">
        <f t="shared" si="1"/>
        <v>1113</v>
      </c>
    </row>
    <row r="40" ht="14.25" customHeight="1">
      <c r="A40" s="7" t="s">
        <v>130</v>
      </c>
      <c r="B40" s="7" t="s">
        <v>131</v>
      </c>
      <c r="C40" s="7" t="s">
        <v>57</v>
      </c>
      <c r="D40" s="7" t="s">
        <v>178</v>
      </c>
      <c r="E40" s="7" t="s">
        <v>14</v>
      </c>
      <c r="F40" s="7" t="s">
        <v>20</v>
      </c>
      <c r="G40" s="7" t="s">
        <v>21</v>
      </c>
      <c r="H40" s="7">
        <v>27.0</v>
      </c>
      <c r="I40" s="7">
        <v>49.0</v>
      </c>
      <c r="J40" s="7">
        <v>379.0</v>
      </c>
      <c r="K40" s="7">
        <v>52.0</v>
      </c>
      <c r="L40" s="7">
        <v>303.0</v>
      </c>
      <c r="M40" s="8">
        <v>45943.0</v>
      </c>
      <c r="N40" s="7" t="s">
        <v>173</v>
      </c>
      <c r="O40" s="7">
        <f t="shared" si="1"/>
        <v>355</v>
      </c>
    </row>
    <row r="41" ht="14.25" customHeight="1">
      <c r="A41" s="7" t="s">
        <v>132</v>
      </c>
      <c r="B41" s="7" t="s">
        <v>133</v>
      </c>
      <c r="C41" s="7" t="s">
        <v>57</v>
      </c>
      <c r="D41" s="7" t="s">
        <v>178</v>
      </c>
      <c r="E41" s="7" t="s">
        <v>69</v>
      </c>
      <c r="F41" s="7" t="s">
        <v>20</v>
      </c>
      <c r="G41" s="7" t="s">
        <v>21</v>
      </c>
      <c r="H41" s="7">
        <v>15.0</v>
      </c>
      <c r="I41" s="7">
        <v>91.0</v>
      </c>
      <c r="J41" s="7">
        <v>233.0</v>
      </c>
      <c r="K41" s="7">
        <v>683.0</v>
      </c>
      <c r="L41" s="7">
        <v>253.0</v>
      </c>
      <c r="M41" s="8">
        <v>46003.0</v>
      </c>
      <c r="N41" s="7" t="s">
        <v>177</v>
      </c>
      <c r="O41" s="7">
        <f t="shared" si="1"/>
        <v>936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6.43"/>
    <col customWidth="1" min="3" max="3" width="22.14"/>
    <col customWidth="1" min="4" max="26" width="8.71"/>
  </cols>
  <sheetData>
    <row r="1" ht="14.25" customHeight="1">
      <c r="A1" s="6" t="s">
        <v>9</v>
      </c>
      <c r="B1" s="6" t="s">
        <v>179</v>
      </c>
      <c r="C1" s="6" t="s">
        <v>180</v>
      </c>
    </row>
    <row r="2" ht="14.25" customHeight="1">
      <c r="A2" s="7" t="s">
        <v>17</v>
      </c>
      <c r="B2" s="7" t="s">
        <v>181</v>
      </c>
      <c r="C2" s="7">
        <v>824.0</v>
      </c>
    </row>
    <row r="3" ht="14.25" customHeight="1">
      <c r="A3" s="7" t="s">
        <v>17</v>
      </c>
      <c r="B3" s="7" t="s">
        <v>182</v>
      </c>
      <c r="C3" s="7">
        <v>834.0</v>
      </c>
    </row>
    <row r="4" ht="14.25" customHeight="1">
      <c r="A4" s="7" t="s">
        <v>17</v>
      </c>
      <c r="B4" s="7" t="s">
        <v>183</v>
      </c>
      <c r="C4" s="9">
        <v>750.0</v>
      </c>
    </row>
    <row r="5" ht="14.25" customHeight="1">
      <c r="A5" s="7" t="s">
        <v>17</v>
      </c>
      <c r="B5" s="7" t="s">
        <v>184</v>
      </c>
      <c r="C5" s="7">
        <v>948.0</v>
      </c>
    </row>
    <row r="6" ht="14.25" customHeight="1">
      <c r="A6" s="7" t="s">
        <v>17</v>
      </c>
      <c r="B6" s="7" t="s">
        <v>185</v>
      </c>
      <c r="C6" s="7">
        <v>930.0</v>
      </c>
    </row>
    <row r="7" ht="14.25" customHeight="1">
      <c r="A7" s="7" t="s">
        <v>17</v>
      </c>
      <c r="B7" s="7" t="s">
        <v>186</v>
      </c>
      <c r="C7" s="7">
        <v>904.0</v>
      </c>
    </row>
    <row r="8" ht="14.25" customHeight="1">
      <c r="A8" s="7" t="s">
        <v>32</v>
      </c>
      <c r="B8" s="7" t="s">
        <v>181</v>
      </c>
      <c r="C8" s="7">
        <v>591.0</v>
      </c>
    </row>
    <row r="9" ht="14.25" customHeight="1">
      <c r="A9" s="7" t="s">
        <v>32</v>
      </c>
      <c r="B9" s="7" t="s">
        <v>182</v>
      </c>
      <c r="C9" s="7">
        <v>552.0</v>
      </c>
    </row>
    <row r="10" ht="14.25" customHeight="1">
      <c r="A10" s="7" t="s">
        <v>32</v>
      </c>
      <c r="B10" s="7" t="s">
        <v>183</v>
      </c>
      <c r="C10" s="7">
        <v>556.0</v>
      </c>
    </row>
    <row r="11" ht="14.25" customHeight="1">
      <c r="A11" s="7" t="s">
        <v>32</v>
      </c>
      <c r="B11" s="7" t="s">
        <v>184</v>
      </c>
      <c r="C11" s="7">
        <v>631.0</v>
      </c>
    </row>
    <row r="12" ht="14.25" customHeight="1">
      <c r="A12" s="7" t="s">
        <v>32</v>
      </c>
      <c r="B12" s="7" t="s">
        <v>185</v>
      </c>
      <c r="C12" s="7">
        <v>640.0</v>
      </c>
    </row>
    <row r="13" ht="14.25" customHeight="1">
      <c r="A13" s="7" t="s">
        <v>32</v>
      </c>
      <c r="B13" s="7" t="s">
        <v>186</v>
      </c>
      <c r="C13" s="9">
        <v>499.0</v>
      </c>
    </row>
    <row r="14" ht="14.25" customHeight="1">
      <c r="A14" s="7" t="s">
        <v>44</v>
      </c>
      <c r="B14" s="7" t="s">
        <v>181</v>
      </c>
      <c r="C14" s="7">
        <v>956.0</v>
      </c>
    </row>
    <row r="15" ht="14.25" customHeight="1">
      <c r="A15" s="7" t="s">
        <v>44</v>
      </c>
      <c r="B15" s="7" t="s">
        <v>182</v>
      </c>
      <c r="C15" s="7">
        <v>915.0</v>
      </c>
    </row>
    <row r="16" ht="14.25" customHeight="1">
      <c r="A16" s="7" t="s">
        <v>44</v>
      </c>
      <c r="B16" s="7" t="s">
        <v>183</v>
      </c>
      <c r="C16" s="7">
        <v>951.0</v>
      </c>
    </row>
    <row r="17" ht="14.25" customHeight="1">
      <c r="A17" s="7" t="s">
        <v>44</v>
      </c>
      <c r="B17" s="7" t="s">
        <v>184</v>
      </c>
      <c r="C17" s="7">
        <v>818.0</v>
      </c>
    </row>
    <row r="18" ht="14.25" customHeight="1">
      <c r="A18" s="7" t="s">
        <v>44</v>
      </c>
      <c r="B18" s="7" t="s">
        <v>185</v>
      </c>
      <c r="C18" s="9">
        <v>740.0</v>
      </c>
    </row>
    <row r="19" ht="14.25" customHeight="1">
      <c r="A19" s="7" t="s">
        <v>44</v>
      </c>
      <c r="B19" s="7" t="s">
        <v>186</v>
      </c>
      <c r="C19" s="7">
        <v>957.0</v>
      </c>
    </row>
    <row r="20" ht="14.25" customHeight="1">
      <c r="A20" s="7" t="s">
        <v>56</v>
      </c>
      <c r="B20" s="7" t="s">
        <v>181</v>
      </c>
      <c r="C20" s="7">
        <v>544.0</v>
      </c>
    </row>
    <row r="21" ht="14.25" customHeight="1">
      <c r="A21" s="7" t="s">
        <v>56</v>
      </c>
      <c r="B21" s="7" t="s">
        <v>182</v>
      </c>
      <c r="C21" s="9">
        <v>492.0</v>
      </c>
    </row>
    <row r="22" ht="14.25" customHeight="1">
      <c r="A22" s="7" t="s">
        <v>56</v>
      </c>
      <c r="B22" s="7" t="s">
        <v>183</v>
      </c>
      <c r="C22" s="7">
        <v>590.0</v>
      </c>
    </row>
    <row r="23" ht="14.25" customHeight="1">
      <c r="A23" s="7" t="s">
        <v>56</v>
      </c>
      <c r="B23" s="7" t="s">
        <v>184</v>
      </c>
      <c r="C23" s="7">
        <v>566.0</v>
      </c>
    </row>
    <row r="24" ht="14.25" customHeight="1">
      <c r="A24" s="7" t="s">
        <v>56</v>
      </c>
      <c r="B24" s="7" t="s">
        <v>185</v>
      </c>
      <c r="C24" s="7">
        <v>566.0</v>
      </c>
    </row>
    <row r="25" ht="14.25" customHeight="1">
      <c r="A25" s="7" t="s">
        <v>56</v>
      </c>
      <c r="B25" s="7" t="s">
        <v>186</v>
      </c>
      <c r="C25" s="7">
        <v>562.0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4.71"/>
    <col customWidth="1" min="3" max="3" width="16.0"/>
    <col customWidth="1" min="4" max="4" width="7.71"/>
    <col customWidth="1" min="5" max="5" width="27.71"/>
    <col customWidth="1" min="6" max="6" width="25.43"/>
    <col customWidth="1" min="7" max="7" width="36.0"/>
    <col customWidth="1" min="8" max="8" width="18.43"/>
    <col customWidth="1" min="9" max="26" width="8.71"/>
  </cols>
  <sheetData>
    <row r="1" ht="14.25" customHeight="1">
      <c r="A1" s="6" t="s">
        <v>159</v>
      </c>
      <c r="B1" s="6" t="s">
        <v>160</v>
      </c>
      <c r="C1" s="6" t="s">
        <v>7</v>
      </c>
      <c r="D1" s="6" t="s">
        <v>187</v>
      </c>
      <c r="E1" s="6" t="s">
        <v>188</v>
      </c>
      <c r="F1" s="6" t="s">
        <v>164</v>
      </c>
      <c r="G1" s="6" t="s">
        <v>189</v>
      </c>
      <c r="H1" s="6" t="s">
        <v>190</v>
      </c>
    </row>
    <row r="2" ht="14.25" customHeight="1">
      <c r="A2" s="7" t="s">
        <v>11</v>
      </c>
      <c r="B2" s="7" t="s">
        <v>12</v>
      </c>
      <c r="C2" s="7" t="s">
        <v>15</v>
      </c>
      <c r="D2" s="7" t="s">
        <v>16</v>
      </c>
      <c r="E2" s="7">
        <v>15000.0</v>
      </c>
      <c r="F2" s="7">
        <v>18.0</v>
      </c>
      <c r="G2" s="7">
        <v>12.0</v>
      </c>
      <c r="H2" s="7">
        <v>4048.09</v>
      </c>
    </row>
    <row r="3" ht="14.25" customHeight="1">
      <c r="A3" s="7" t="s">
        <v>22</v>
      </c>
      <c r="B3" s="7" t="s">
        <v>23</v>
      </c>
      <c r="C3" s="7" t="s">
        <v>15</v>
      </c>
      <c r="D3" s="7" t="s">
        <v>16</v>
      </c>
      <c r="E3" s="7">
        <v>15000.0</v>
      </c>
      <c r="F3" s="7">
        <v>18.0</v>
      </c>
      <c r="G3" s="7">
        <v>12.0</v>
      </c>
      <c r="H3" s="7">
        <v>4048.09</v>
      </c>
    </row>
    <row r="4" ht="14.25" customHeight="1">
      <c r="A4" s="7" t="s">
        <v>24</v>
      </c>
      <c r="B4" s="7" t="s">
        <v>25</v>
      </c>
      <c r="C4" s="7" t="s">
        <v>15</v>
      </c>
      <c r="D4" s="7" t="s">
        <v>16</v>
      </c>
      <c r="E4" s="7">
        <v>15000.0</v>
      </c>
      <c r="F4" s="7">
        <v>18.0</v>
      </c>
      <c r="G4" s="7">
        <v>12.0</v>
      </c>
      <c r="H4" s="7">
        <v>4048.09</v>
      </c>
    </row>
    <row r="5" ht="14.25" customHeight="1">
      <c r="A5" s="7" t="s">
        <v>30</v>
      </c>
      <c r="B5" s="7" t="s">
        <v>31</v>
      </c>
      <c r="C5" s="7" t="s">
        <v>15</v>
      </c>
      <c r="D5" s="7" t="s">
        <v>16</v>
      </c>
      <c r="E5" s="7">
        <v>15000.0</v>
      </c>
      <c r="F5" s="7">
        <v>18.0</v>
      </c>
      <c r="G5" s="7">
        <v>12.0</v>
      </c>
      <c r="H5" s="7">
        <v>11025.48</v>
      </c>
    </row>
    <row r="6" ht="14.25" customHeight="1">
      <c r="A6" s="7" t="s">
        <v>35</v>
      </c>
      <c r="B6" s="7" t="s">
        <v>36</v>
      </c>
      <c r="C6" s="7" t="s">
        <v>15</v>
      </c>
      <c r="D6" s="7" t="s">
        <v>16</v>
      </c>
      <c r="E6" s="7">
        <v>15000.0</v>
      </c>
      <c r="F6" s="7">
        <v>18.0</v>
      </c>
      <c r="G6" s="7">
        <v>12.0</v>
      </c>
      <c r="H6" s="7">
        <v>11025.48</v>
      </c>
    </row>
    <row r="7" ht="14.25" customHeight="1">
      <c r="A7" s="7" t="s">
        <v>37</v>
      </c>
      <c r="B7" s="7" t="s">
        <v>38</v>
      </c>
      <c r="C7" s="7" t="s">
        <v>15</v>
      </c>
      <c r="D7" s="7" t="s">
        <v>16</v>
      </c>
      <c r="E7" s="7">
        <v>15000.0</v>
      </c>
      <c r="F7" s="7">
        <v>18.0</v>
      </c>
      <c r="G7" s="7">
        <v>12.0</v>
      </c>
      <c r="H7" s="7">
        <v>11025.48</v>
      </c>
    </row>
    <row r="8" ht="14.25" customHeight="1">
      <c r="A8" s="7" t="s">
        <v>42</v>
      </c>
      <c r="B8" s="7" t="s">
        <v>43</v>
      </c>
      <c r="C8" s="7" t="s">
        <v>15</v>
      </c>
      <c r="D8" s="7" t="s">
        <v>16</v>
      </c>
      <c r="E8" s="7">
        <v>15000.0</v>
      </c>
      <c r="F8" s="7">
        <v>18.0</v>
      </c>
      <c r="G8" s="7">
        <v>12.0</v>
      </c>
      <c r="H8" s="7">
        <v>5577.37</v>
      </c>
    </row>
    <row r="9" ht="14.25" customHeight="1">
      <c r="A9" s="7" t="s">
        <v>47</v>
      </c>
      <c r="B9" s="7" t="s">
        <v>48</v>
      </c>
      <c r="C9" s="7" t="s">
        <v>15</v>
      </c>
      <c r="D9" s="7" t="s">
        <v>16</v>
      </c>
      <c r="E9" s="7">
        <v>15000.0</v>
      </c>
      <c r="F9" s="7">
        <v>18.0</v>
      </c>
      <c r="G9" s="7">
        <v>12.0</v>
      </c>
      <c r="H9" s="7">
        <v>5577.37</v>
      </c>
    </row>
    <row r="10" ht="14.25" customHeight="1">
      <c r="A10" s="7" t="s">
        <v>49</v>
      </c>
      <c r="B10" s="7" t="s">
        <v>50</v>
      </c>
      <c r="C10" s="7" t="s">
        <v>15</v>
      </c>
      <c r="D10" s="7" t="s">
        <v>16</v>
      </c>
      <c r="E10" s="7">
        <v>15000.0</v>
      </c>
      <c r="F10" s="7">
        <v>18.0</v>
      </c>
      <c r="G10" s="7">
        <v>12.0</v>
      </c>
      <c r="H10" s="7">
        <v>5577.37</v>
      </c>
    </row>
    <row r="11" ht="14.25" customHeight="1">
      <c r="A11" s="7" t="s">
        <v>54</v>
      </c>
      <c r="B11" s="7" t="s">
        <v>55</v>
      </c>
      <c r="C11" s="7" t="s">
        <v>15</v>
      </c>
      <c r="D11" s="7" t="s">
        <v>16</v>
      </c>
      <c r="E11" s="7">
        <v>15000.0</v>
      </c>
      <c r="F11" s="7">
        <v>18.0</v>
      </c>
      <c r="G11" s="7">
        <v>12.0</v>
      </c>
      <c r="H11" s="7">
        <v>8643.97</v>
      </c>
    </row>
    <row r="12" ht="14.25" customHeight="1">
      <c r="A12" s="7" t="s">
        <v>59</v>
      </c>
      <c r="B12" s="7" t="s">
        <v>60</v>
      </c>
      <c r="C12" s="7" t="s">
        <v>15</v>
      </c>
      <c r="D12" s="7" t="s">
        <v>16</v>
      </c>
      <c r="E12" s="7">
        <v>15000.0</v>
      </c>
      <c r="F12" s="7">
        <v>18.0</v>
      </c>
      <c r="G12" s="7">
        <v>12.0</v>
      </c>
      <c r="H12" s="7">
        <v>8643.97</v>
      </c>
    </row>
    <row r="13" ht="14.25" customHeight="1">
      <c r="A13" s="7" t="s">
        <v>61</v>
      </c>
      <c r="B13" s="7" t="s">
        <v>62</v>
      </c>
      <c r="C13" s="7" t="s">
        <v>15</v>
      </c>
      <c r="D13" s="7" t="s">
        <v>16</v>
      </c>
      <c r="E13" s="7">
        <v>15000.0</v>
      </c>
      <c r="F13" s="7">
        <v>18.0</v>
      </c>
      <c r="G13" s="7">
        <v>12.0</v>
      </c>
      <c r="H13" s="7">
        <v>8643.97</v>
      </c>
    </row>
    <row r="14" ht="14.25" customHeight="1">
      <c r="A14" s="7" t="s">
        <v>65</v>
      </c>
      <c r="B14" s="7" t="s">
        <v>66</v>
      </c>
      <c r="C14" s="7" t="s">
        <v>15</v>
      </c>
      <c r="D14" s="7" t="s">
        <v>16</v>
      </c>
      <c r="E14" s="7">
        <v>15000.0</v>
      </c>
      <c r="F14" s="7">
        <v>18.0</v>
      </c>
      <c r="G14" s="7">
        <v>12.0</v>
      </c>
      <c r="H14" s="7">
        <v>1056.55</v>
      </c>
    </row>
    <row r="15" ht="14.25" customHeight="1">
      <c r="A15" s="7" t="s">
        <v>67</v>
      </c>
      <c r="B15" s="7" t="s">
        <v>68</v>
      </c>
      <c r="C15" s="7" t="s">
        <v>15</v>
      </c>
      <c r="D15" s="7" t="s">
        <v>16</v>
      </c>
      <c r="E15" s="7">
        <v>15000.0</v>
      </c>
      <c r="F15" s="7">
        <v>18.0</v>
      </c>
      <c r="G15" s="7">
        <v>12.0</v>
      </c>
      <c r="H15" s="7">
        <v>2991.54</v>
      </c>
    </row>
    <row r="16" ht="14.25" customHeight="1">
      <c r="A16" s="7" t="s">
        <v>74</v>
      </c>
      <c r="B16" s="7" t="s">
        <v>75</v>
      </c>
      <c r="C16" s="7" t="s">
        <v>15</v>
      </c>
      <c r="D16" s="7" t="s">
        <v>16</v>
      </c>
      <c r="E16" s="7">
        <v>15000.0</v>
      </c>
      <c r="F16" s="7">
        <v>18.0</v>
      </c>
      <c r="G16" s="7">
        <v>12.0</v>
      </c>
      <c r="H16" s="7">
        <v>828.24</v>
      </c>
    </row>
    <row r="17" ht="14.25" customHeight="1">
      <c r="A17" s="7" t="s">
        <v>76</v>
      </c>
      <c r="B17" s="7" t="s">
        <v>77</v>
      </c>
      <c r="C17" s="7" t="s">
        <v>15</v>
      </c>
      <c r="D17" s="7" t="s">
        <v>16</v>
      </c>
      <c r="E17" s="7">
        <v>15000.0</v>
      </c>
      <c r="F17" s="7">
        <v>18.0</v>
      </c>
      <c r="G17" s="7">
        <v>12.0</v>
      </c>
      <c r="H17" s="7">
        <v>3219.85</v>
      </c>
    </row>
    <row r="18" ht="14.25" customHeight="1">
      <c r="A18" s="7" t="s">
        <v>78</v>
      </c>
      <c r="B18" s="7" t="s">
        <v>79</v>
      </c>
      <c r="C18" s="7" t="s">
        <v>15</v>
      </c>
      <c r="D18" s="7" t="s">
        <v>16</v>
      </c>
      <c r="E18" s="7">
        <v>15000.0</v>
      </c>
      <c r="F18" s="7">
        <v>18.0</v>
      </c>
      <c r="G18" s="7">
        <v>12.0</v>
      </c>
      <c r="H18" s="7">
        <v>664.3</v>
      </c>
    </row>
    <row r="19" ht="14.25" customHeight="1">
      <c r="A19" s="7" t="s">
        <v>80</v>
      </c>
      <c r="B19" s="7" t="s">
        <v>81</v>
      </c>
      <c r="C19" s="7" t="s">
        <v>15</v>
      </c>
      <c r="D19" s="7" t="s">
        <v>16</v>
      </c>
      <c r="E19" s="7">
        <v>15000.0</v>
      </c>
      <c r="F19" s="7">
        <v>18.0</v>
      </c>
      <c r="G19" s="7">
        <v>12.0</v>
      </c>
      <c r="H19" s="7">
        <v>3383.8</v>
      </c>
    </row>
    <row r="20" ht="14.25" customHeight="1">
      <c r="A20" s="7" t="s">
        <v>86</v>
      </c>
      <c r="B20" s="7" t="s">
        <v>87</v>
      </c>
      <c r="C20" s="7" t="s">
        <v>15</v>
      </c>
      <c r="D20" s="7" t="s">
        <v>16</v>
      </c>
      <c r="E20" s="7">
        <v>15000.0</v>
      </c>
      <c r="F20" s="7">
        <v>18.0</v>
      </c>
      <c r="G20" s="7">
        <v>12.0</v>
      </c>
      <c r="H20" s="7">
        <v>4221.66</v>
      </c>
    </row>
    <row r="21" ht="14.25" customHeight="1">
      <c r="A21" s="7" t="s">
        <v>88</v>
      </c>
      <c r="B21" s="7" t="s">
        <v>89</v>
      </c>
      <c r="C21" s="7" t="s">
        <v>15</v>
      </c>
      <c r="D21" s="7" t="s">
        <v>16</v>
      </c>
      <c r="E21" s="7">
        <v>15000.0</v>
      </c>
      <c r="F21" s="7">
        <v>18.0</v>
      </c>
      <c r="G21" s="7">
        <v>12.0</v>
      </c>
      <c r="H21" s="7">
        <v>6803.82</v>
      </c>
    </row>
    <row r="22" ht="14.25" customHeight="1">
      <c r="A22" s="7" t="s">
        <v>94</v>
      </c>
      <c r="B22" s="7" t="s">
        <v>95</v>
      </c>
      <c r="C22" s="7" t="s">
        <v>15</v>
      </c>
      <c r="D22" s="7" t="s">
        <v>16</v>
      </c>
      <c r="E22" s="7">
        <v>15000.0</v>
      </c>
      <c r="F22" s="7">
        <v>18.0</v>
      </c>
      <c r="G22" s="7">
        <v>12.0</v>
      </c>
      <c r="H22" s="7">
        <v>5824.76</v>
      </c>
    </row>
    <row r="23" ht="14.25" customHeight="1">
      <c r="A23" s="7" t="s">
        <v>96</v>
      </c>
      <c r="B23" s="7" t="s">
        <v>97</v>
      </c>
      <c r="C23" s="7" t="s">
        <v>15</v>
      </c>
      <c r="D23" s="7" t="s">
        <v>16</v>
      </c>
      <c r="E23" s="7">
        <v>15000.0</v>
      </c>
      <c r="F23" s="7">
        <v>18.0</v>
      </c>
      <c r="G23" s="7">
        <v>12.0</v>
      </c>
      <c r="H23" s="7">
        <v>5200.72</v>
      </c>
    </row>
    <row r="24" ht="14.25" customHeight="1">
      <c r="A24" s="7" t="s">
        <v>98</v>
      </c>
      <c r="B24" s="7" t="s">
        <v>99</v>
      </c>
      <c r="C24" s="7" t="s">
        <v>15</v>
      </c>
      <c r="D24" s="7" t="s">
        <v>16</v>
      </c>
      <c r="E24" s="7">
        <v>15000.0</v>
      </c>
      <c r="F24" s="7">
        <v>18.0</v>
      </c>
      <c r="G24" s="7">
        <v>12.0</v>
      </c>
      <c r="H24" s="7">
        <v>8465.36</v>
      </c>
    </row>
    <row r="25" ht="14.25" customHeight="1">
      <c r="A25" s="7" t="s">
        <v>100</v>
      </c>
      <c r="B25" s="7" t="s">
        <v>101</v>
      </c>
      <c r="C25" s="7" t="s">
        <v>15</v>
      </c>
      <c r="D25" s="7" t="s">
        <v>16</v>
      </c>
      <c r="E25" s="7">
        <v>15000.0</v>
      </c>
      <c r="F25" s="7">
        <v>18.0</v>
      </c>
      <c r="G25" s="7">
        <v>12.0</v>
      </c>
      <c r="H25" s="7">
        <v>2560.12</v>
      </c>
    </row>
    <row r="26" ht="14.25" customHeight="1">
      <c r="A26" s="7" t="s">
        <v>106</v>
      </c>
      <c r="B26" s="7" t="s">
        <v>107</v>
      </c>
      <c r="C26" s="7" t="s">
        <v>15</v>
      </c>
      <c r="D26" s="7" t="s">
        <v>16</v>
      </c>
      <c r="E26" s="7">
        <v>15000.0</v>
      </c>
      <c r="F26" s="7">
        <v>18.0</v>
      </c>
      <c r="G26" s="7">
        <v>12.0</v>
      </c>
      <c r="H26" s="7">
        <v>3818.27</v>
      </c>
    </row>
    <row r="27" ht="14.25" customHeight="1">
      <c r="A27" s="7" t="s">
        <v>108</v>
      </c>
      <c r="B27" s="7" t="s">
        <v>109</v>
      </c>
      <c r="C27" s="7" t="s">
        <v>15</v>
      </c>
      <c r="D27" s="7" t="s">
        <v>16</v>
      </c>
      <c r="E27" s="7">
        <v>15000.0</v>
      </c>
      <c r="F27" s="7">
        <v>18.0</v>
      </c>
      <c r="G27" s="7">
        <v>12.0</v>
      </c>
      <c r="H27" s="7">
        <v>1759.11</v>
      </c>
    </row>
    <row r="28" ht="14.25" customHeight="1">
      <c r="A28" s="7" t="s">
        <v>114</v>
      </c>
      <c r="B28" s="7" t="s">
        <v>115</v>
      </c>
      <c r="C28" s="7" t="s">
        <v>15</v>
      </c>
      <c r="D28" s="7" t="s">
        <v>16</v>
      </c>
      <c r="E28" s="7">
        <v>15000.0</v>
      </c>
      <c r="F28" s="7">
        <v>18.0</v>
      </c>
      <c r="G28" s="7">
        <v>12.0</v>
      </c>
      <c r="H28" s="7">
        <v>4859.01</v>
      </c>
    </row>
    <row r="29" ht="14.25" customHeight="1">
      <c r="A29" s="7" t="s">
        <v>116</v>
      </c>
      <c r="B29" s="7" t="s">
        <v>117</v>
      </c>
      <c r="C29" s="7" t="s">
        <v>15</v>
      </c>
      <c r="D29" s="7" t="s">
        <v>16</v>
      </c>
      <c r="E29" s="7">
        <v>15000.0</v>
      </c>
      <c r="F29" s="7">
        <v>18.0</v>
      </c>
      <c r="G29" s="7">
        <v>12.0</v>
      </c>
      <c r="H29" s="7">
        <v>718.36</v>
      </c>
    </row>
    <row r="30" ht="14.25" customHeight="1">
      <c r="A30" s="7" t="s">
        <v>118</v>
      </c>
      <c r="B30" s="7" t="s">
        <v>119</v>
      </c>
      <c r="C30" s="7" t="s">
        <v>15</v>
      </c>
      <c r="D30" s="7" t="s">
        <v>16</v>
      </c>
      <c r="E30" s="7">
        <v>15000.0</v>
      </c>
      <c r="F30" s="7">
        <v>18.0</v>
      </c>
      <c r="G30" s="7">
        <v>12.0</v>
      </c>
      <c r="H30" s="7">
        <v>2169.04</v>
      </c>
    </row>
    <row r="31" ht="14.25" customHeight="1">
      <c r="A31" s="7" t="s">
        <v>120</v>
      </c>
      <c r="B31" s="7" t="s">
        <v>121</v>
      </c>
      <c r="C31" s="7" t="s">
        <v>15</v>
      </c>
      <c r="D31" s="7" t="s">
        <v>16</v>
      </c>
      <c r="E31" s="7">
        <v>15000.0</v>
      </c>
      <c r="F31" s="7">
        <v>18.0</v>
      </c>
      <c r="G31" s="7">
        <v>12.0</v>
      </c>
      <c r="H31" s="7">
        <v>3408.33</v>
      </c>
    </row>
    <row r="32" ht="14.25" customHeight="1">
      <c r="A32" s="7" t="s">
        <v>126</v>
      </c>
      <c r="B32" s="7" t="s">
        <v>127</v>
      </c>
      <c r="C32" s="7" t="s">
        <v>15</v>
      </c>
      <c r="D32" s="7" t="s">
        <v>16</v>
      </c>
      <c r="E32" s="7">
        <v>15000.0</v>
      </c>
      <c r="F32" s="7">
        <v>18.0</v>
      </c>
      <c r="G32" s="7">
        <v>12.0</v>
      </c>
      <c r="H32" s="7">
        <v>3638.25</v>
      </c>
    </row>
    <row r="33" ht="14.25" customHeight="1">
      <c r="A33" s="7" t="s">
        <v>128</v>
      </c>
      <c r="B33" s="7" t="s">
        <v>129</v>
      </c>
      <c r="C33" s="7" t="s">
        <v>15</v>
      </c>
      <c r="D33" s="7" t="s">
        <v>16</v>
      </c>
      <c r="E33" s="7">
        <v>15000.0</v>
      </c>
      <c r="F33" s="7">
        <v>18.0</v>
      </c>
      <c r="G33" s="7">
        <v>12.0</v>
      </c>
      <c r="H33" s="7">
        <v>5005.73</v>
      </c>
    </row>
    <row r="34" ht="14.25" customHeight="1">
      <c r="A34" s="7" t="s">
        <v>134</v>
      </c>
      <c r="B34" s="7" t="s">
        <v>135</v>
      </c>
      <c r="C34" s="7" t="s">
        <v>15</v>
      </c>
      <c r="D34" s="7" t="s">
        <v>16</v>
      </c>
      <c r="E34" s="7">
        <v>15000.0</v>
      </c>
      <c r="F34" s="7">
        <v>18.0</v>
      </c>
      <c r="G34" s="7">
        <v>12.0</v>
      </c>
      <c r="H34" s="7">
        <v>4169.85</v>
      </c>
    </row>
    <row r="35" ht="14.25" customHeight="1">
      <c r="A35" s="7" t="s">
        <v>136</v>
      </c>
      <c r="B35" s="7" t="s">
        <v>137</v>
      </c>
      <c r="C35" s="7" t="s">
        <v>15</v>
      </c>
      <c r="D35" s="7" t="s">
        <v>16</v>
      </c>
      <c r="E35" s="7">
        <v>15000.0</v>
      </c>
      <c r="F35" s="7">
        <v>18.0</v>
      </c>
      <c r="G35" s="7">
        <v>12.0</v>
      </c>
      <c r="H35" s="7">
        <v>4474.12</v>
      </c>
    </row>
    <row r="36" ht="14.25" customHeight="1">
      <c r="A36" s="7" t="s">
        <v>138</v>
      </c>
      <c r="B36" s="7" t="s">
        <v>139</v>
      </c>
      <c r="C36" s="7" t="s">
        <v>15</v>
      </c>
      <c r="D36" s="7" t="s">
        <v>16</v>
      </c>
      <c r="E36" s="7">
        <v>15000.0</v>
      </c>
      <c r="F36" s="7">
        <v>18.0</v>
      </c>
      <c r="G36" s="7">
        <v>12.0</v>
      </c>
      <c r="H36" s="7">
        <v>1857.59</v>
      </c>
    </row>
    <row r="37" ht="14.25" customHeight="1">
      <c r="A37" s="7" t="s">
        <v>140</v>
      </c>
      <c r="B37" s="7" t="s">
        <v>141</v>
      </c>
      <c r="C37" s="7" t="s">
        <v>15</v>
      </c>
      <c r="D37" s="7" t="s">
        <v>16</v>
      </c>
      <c r="E37" s="7">
        <v>15000.0</v>
      </c>
      <c r="F37" s="7">
        <v>18.0</v>
      </c>
      <c r="G37" s="7">
        <v>12.0</v>
      </c>
      <c r="H37" s="7">
        <v>6786.38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0.14"/>
    <col customWidth="1" min="3" max="3" width="13.86"/>
    <col customWidth="1" min="4" max="4" width="7.71"/>
    <col customWidth="1" min="5" max="5" width="27.71"/>
    <col customWidth="1" min="6" max="6" width="25.43"/>
    <col customWidth="1" min="7" max="7" width="42.71"/>
    <col customWidth="1" min="8" max="8" width="19.0"/>
    <col customWidth="1" min="9" max="9" width="38.71"/>
    <col customWidth="1" min="10" max="10" width="37.0"/>
    <col customWidth="1" min="11" max="11" width="31.43"/>
    <col customWidth="1" min="12" max="12" width="39.71"/>
    <col customWidth="1" min="13" max="26" width="8.71"/>
  </cols>
  <sheetData>
    <row r="1" ht="14.25" customHeight="1">
      <c r="A1" s="6" t="s">
        <v>159</v>
      </c>
      <c r="B1" s="6" t="s">
        <v>160</v>
      </c>
      <c r="C1" s="6" t="s">
        <v>7</v>
      </c>
      <c r="D1" s="6" t="s">
        <v>187</v>
      </c>
      <c r="E1" s="6" t="s">
        <v>188</v>
      </c>
      <c r="F1" s="6" t="s">
        <v>164</v>
      </c>
      <c r="G1" s="6" t="s">
        <v>191</v>
      </c>
      <c r="H1" s="6" t="s">
        <v>192</v>
      </c>
      <c r="I1" s="6" t="s">
        <v>193</v>
      </c>
      <c r="J1" s="6" t="s">
        <v>194</v>
      </c>
      <c r="K1" s="6" t="s">
        <v>195</v>
      </c>
      <c r="L1" s="6" t="s">
        <v>196</v>
      </c>
    </row>
    <row r="2" ht="14.25" customHeight="1">
      <c r="A2" s="7" t="s">
        <v>18</v>
      </c>
      <c r="B2" s="7" t="s">
        <v>19</v>
      </c>
      <c r="C2" s="7" t="s">
        <v>20</v>
      </c>
      <c r="D2" s="7" t="s">
        <v>21</v>
      </c>
      <c r="E2" s="7">
        <v>22000.0</v>
      </c>
      <c r="F2" s="7">
        <v>10.0</v>
      </c>
      <c r="G2" s="7">
        <v>2.0</v>
      </c>
      <c r="H2" s="7">
        <v>2173.3</v>
      </c>
      <c r="I2" s="7">
        <v>180.0</v>
      </c>
      <c r="J2" s="7">
        <v>65.0</v>
      </c>
      <c r="K2" s="7">
        <v>40.0</v>
      </c>
      <c r="L2" s="7">
        <f t="shared" ref="L2:L25" si="1">SUM(I2:K2)</f>
        <v>285</v>
      </c>
    </row>
    <row r="3" ht="14.25" customHeight="1">
      <c r="A3" s="7" t="s">
        <v>26</v>
      </c>
      <c r="B3" s="7" t="s">
        <v>27</v>
      </c>
      <c r="C3" s="7" t="s">
        <v>28</v>
      </c>
      <c r="D3" s="7" t="s">
        <v>21</v>
      </c>
      <c r="E3" s="7">
        <v>22000.0</v>
      </c>
      <c r="F3" s="7">
        <v>10.0</v>
      </c>
      <c r="G3" s="7">
        <v>2.0</v>
      </c>
      <c r="H3" s="7">
        <v>2173.3</v>
      </c>
      <c r="I3" s="7">
        <v>180.0</v>
      </c>
      <c r="J3" s="7">
        <v>65.0</v>
      </c>
      <c r="K3" s="7">
        <v>40.0</v>
      </c>
      <c r="L3" s="7">
        <f t="shared" si="1"/>
        <v>285</v>
      </c>
    </row>
    <row r="4" ht="14.25" customHeight="1">
      <c r="A4" s="7" t="s">
        <v>33</v>
      </c>
      <c r="B4" s="7" t="s">
        <v>34</v>
      </c>
      <c r="C4" s="7" t="s">
        <v>20</v>
      </c>
      <c r="D4" s="7" t="s">
        <v>21</v>
      </c>
      <c r="E4" s="7">
        <v>22000.0</v>
      </c>
      <c r="F4" s="7">
        <v>10.0</v>
      </c>
      <c r="G4" s="7">
        <v>2.0</v>
      </c>
      <c r="H4" s="7">
        <v>6364.62</v>
      </c>
      <c r="I4" s="7">
        <v>180.0</v>
      </c>
      <c r="J4" s="7">
        <v>65.0</v>
      </c>
      <c r="K4" s="7">
        <v>40.0</v>
      </c>
      <c r="L4" s="7">
        <f t="shared" si="1"/>
        <v>285</v>
      </c>
    </row>
    <row r="5" ht="14.25" customHeight="1">
      <c r="A5" s="7" t="s">
        <v>39</v>
      </c>
      <c r="B5" s="7" t="s">
        <v>40</v>
      </c>
      <c r="C5" s="7" t="s">
        <v>28</v>
      </c>
      <c r="D5" s="7" t="s">
        <v>21</v>
      </c>
      <c r="E5" s="7">
        <v>22000.0</v>
      </c>
      <c r="F5" s="7">
        <v>10.0</v>
      </c>
      <c r="G5" s="7">
        <v>2.0</v>
      </c>
      <c r="H5" s="7">
        <v>6364.62</v>
      </c>
      <c r="I5" s="7">
        <v>180.0</v>
      </c>
      <c r="J5" s="7">
        <v>65.0</v>
      </c>
      <c r="K5" s="7">
        <v>40.0</v>
      </c>
      <c r="L5" s="7">
        <f t="shared" si="1"/>
        <v>285</v>
      </c>
    </row>
    <row r="6" ht="14.25" customHeight="1">
      <c r="A6" s="7" t="s">
        <v>45</v>
      </c>
      <c r="B6" s="7" t="s">
        <v>46</v>
      </c>
      <c r="C6" s="7" t="s">
        <v>20</v>
      </c>
      <c r="D6" s="7" t="s">
        <v>21</v>
      </c>
      <c r="E6" s="7">
        <v>22000.0</v>
      </c>
      <c r="F6" s="7">
        <v>10.0</v>
      </c>
      <c r="G6" s="7">
        <v>2.0</v>
      </c>
      <c r="H6" s="7">
        <v>2994.32</v>
      </c>
      <c r="I6" s="7">
        <v>180.0</v>
      </c>
      <c r="J6" s="7">
        <v>65.0</v>
      </c>
      <c r="K6" s="7">
        <v>40.0</v>
      </c>
      <c r="L6" s="7">
        <f t="shared" si="1"/>
        <v>285</v>
      </c>
    </row>
    <row r="7" ht="14.25" customHeight="1">
      <c r="A7" s="7" t="s">
        <v>51</v>
      </c>
      <c r="B7" s="7" t="s">
        <v>52</v>
      </c>
      <c r="C7" s="7" t="s">
        <v>28</v>
      </c>
      <c r="D7" s="7" t="s">
        <v>21</v>
      </c>
      <c r="E7" s="7">
        <v>22000.0</v>
      </c>
      <c r="F7" s="7">
        <v>10.0</v>
      </c>
      <c r="G7" s="7">
        <v>2.0</v>
      </c>
      <c r="H7" s="7">
        <v>2994.32</v>
      </c>
      <c r="I7" s="7">
        <v>180.0</v>
      </c>
      <c r="J7" s="7">
        <v>65.0</v>
      </c>
      <c r="K7" s="7">
        <v>40.0</v>
      </c>
      <c r="L7" s="7">
        <f t="shared" si="1"/>
        <v>285</v>
      </c>
    </row>
    <row r="8" ht="14.25" customHeight="1">
      <c r="A8" s="7" t="s">
        <v>57</v>
      </c>
      <c r="B8" s="7" t="s">
        <v>58</v>
      </c>
      <c r="C8" s="7" t="s">
        <v>20</v>
      </c>
      <c r="D8" s="7" t="s">
        <v>21</v>
      </c>
      <c r="E8" s="7">
        <v>22000.0</v>
      </c>
      <c r="F8" s="7">
        <v>10.0</v>
      </c>
      <c r="G8" s="7">
        <v>2.0</v>
      </c>
      <c r="H8" s="7">
        <v>4989.86</v>
      </c>
      <c r="I8" s="7">
        <v>180.0</v>
      </c>
      <c r="J8" s="7">
        <v>65.0</v>
      </c>
      <c r="K8" s="7">
        <v>40.0</v>
      </c>
      <c r="L8" s="7">
        <f t="shared" si="1"/>
        <v>285</v>
      </c>
    </row>
    <row r="9" ht="14.25" customHeight="1">
      <c r="A9" s="7" t="s">
        <v>63</v>
      </c>
      <c r="B9" s="7" t="s">
        <v>64</v>
      </c>
      <c r="C9" s="7" t="s">
        <v>28</v>
      </c>
      <c r="D9" s="7" t="s">
        <v>21</v>
      </c>
      <c r="E9" s="7">
        <v>22000.0</v>
      </c>
      <c r="F9" s="7">
        <v>10.0</v>
      </c>
      <c r="G9" s="7">
        <v>2.0</v>
      </c>
      <c r="H9" s="7">
        <v>4989.86</v>
      </c>
      <c r="I9" s="7">
        <v>180.0</v>
      </c>
      <c r="J9" s="7">
        <v>65.0</v>
      </c>
      <c r="K9" s="7">
        <v>40.0</v>
      </c>
      <c r="L9" s="7">
        <f t="shared" si="1"/>
        <v>285</v>
      </c>
    </row>
    <row r="10" ht="14.25" customHeight="1">
      <c r="A10" s="7" t="s">
        <v>70</v>
      </c>
      <c r="B10" s="7" t="s">
        <v>71</v>
      </c>
      <c r="C10" s="7" t="s">
        <v>20</v>
      </c>
      <c r="D10" s="7" t="s">
        <v>21</v>
      </c>
      <c r="E10" s="7">
        <v>22000.0</v>
      </c>
      <c r="F10" s="7">
        <v>10.0</v>
      </c>
      <c r="G10" s="7">
        <v>2.0</v>
      </c>
      <c r="H10" s="7">
        <v>302.74</v>
      </c>
      <c r="I10" s="7">
        <v>180.0</v>
      </c>
      <c r="J10" s="7">
        <v>65.0</v>
      </c>
      <c r="K10" s="7">
        <v>40.0</v>
      </c>
      <c r="L10" s="7">
        <f t="shared" si="1"/>
        <v>285</v>
      </c>
    </row>
    <row r="11" ht="14.25" customHeight="1">
      <c r="A11" s="7" t="s">
        <v>72</v>
      </c>
      <c r="B11" s="7" t="s">
        <v>73</v>
      </c>
      <c r="C11" s="7" t="s">
        <v>20</v>
      </c>
      <c r="D11" s="7" t="s">
        <v>21</v>
      </c>
      <c r="E11" s="7">
        <v>22000.0</v>
      </c>
      <c r="F11" s="7">
        <v>10.0</v>
      </c>
      <c r="G11" s="7">
        <v>2.0</v>
      </c>
      <c r="H11" s="7">
        <v>1870.55</v>
      </c>
      <c r="I11" s="7">
        <v>180.0</v>
      </c>
      <c r="J11" s="7">
        <v>65.0</v>
      </c>
      <c r="K11" s="7">
        <v>40.0</v>
      </c>
      <c r="L11" s="7">
        <f t="shared" si="1"/>
        <v>285</v>
      </c>
    </row>
    <row r="12" ht="14.25" customHeight="1">
      <c r="A12" s="7" t="s">
        <v>82</v>
      </c>
      <c r="B12" s="7" t="s">
        <v>83</v>
      </c>
      <c r="C12" s="7" t="s">
        <v>28</v>
      </c>
      <c r="D12" s="7" t="s">
        <v>21</v>
      </c>
      <c r="E12" s="7">
        <v>22000.0</v>
      </c>
      <c r="F12" s="7">
        <v>10.0</v>
      </c>
      <c r="G12" s="7">
        <v>2.0</v>
      </c>
      <c r="H12" s="7">
        <v>1056.87</v>
      </c>
      <c r="I12" s="7">
        <v>180.0</v>
      </c>
      <c r="J12" s="7">
        <v>65.0</v>
      </c>
      <c r="K12" s="7">
        <v>40.0</v>
      </c>
      <c r="L12" s="7">
        <f t="shared" si="1"/>
        <v>285</v>
      </c>
    </row>
    <row r="13" ht="14.25" customHeight="1">
      <c r="A13" s="7" t="s">
        <v>84</v>
      </c>
      <c r="B13" s="7" t="s">
        <v>85</v>
      </c>
      <c r="C13" s="7" t="s">
        <v>28</v>
      </c>
      <c r="D13" s="7" t="s">
        <v>21</v>
      </c>
      <c r="E13" s="7">
        <v>22000.0</v>
      </c>
      <c r="F13" s="7">
        <v>10.0</v>
      </c>
      <c r="G13" s="7">
        <v>2.0</v>
      </c>
      <c r="H13" s="7">
        <v>1116.42</v>
      </c>
      <c r="I13" s="7">
        <v>180.0</v>
      </c>
      <c r="J13" s="7">
        <v>65.0</v>
      </c>
      <c r="K13" s="7">
        <v>40.0</v>
      </c>
      <c r="L13" s="7">
        <f t="shared" si="1"/>
        <v>285</v>
      </c>
    </row>
    <row r="14" ht="14.25" customHeight="1">
      <c r="A14" s="7" t="s">
        <v>90</v>
      </c>
      <c r="B14" s="7" t="s">
        <v>91</v>
      </c>
      <c r="C14" s="7" t="s">
        <v>20</v>
      </c>
      <c r="D14" s="7" t="s">
        <v>21</v>
      </c>
      <c r="E14" s="7">
        <v>22000.0</v>
      </c>
      <c r="F14" s="7">
        <v>10.0</v>
      </c>
      <c r="G14" s="7">
        <v>2.0</v>
      </c>
      <c r="H14" s="7">
        <v>4065.72</v>
      </c>
      <c r="I14" s="7">
        <v>180.0</v>
      </c>
      <c r="J14" s="7">
        <v>65.0</v>
      </c>
      <c r="K14" s="7">
        <v>40.0</v>
      </c>
      <c r="L14" s="7">
        <f t="shared" si="1"/>
        <v>285</v>
      </c>
    </row>
    <row r="15" ht="14.25" customHeight="1">
      <c r="A15" s="7" t="s">
        <v>92</v>
      </c>
      <c r="B15" s="7" t="s">
        <v>93</v>
      </c>
      <c r="C15" s="7" t="s">
        <v>20</v>
      </c>
      <c r="D15" s="7" t="s">
        <v>21</v>
      </c>
      <c r="E15" s="7">
        <v>22000.0</v>
      </c>
      <c r="F15" s="7">
        <v>10.0</v>
      </c>
      <c r="G15" s="7">
        <v>2.0</v>
      </c>
      <c r="H15" s="7">
        <v>2298.9</v>
      </c>
      <c r="I15" s="7">
        <v>180.0</v>
      </c>
      <c r="J15" s="7">
        <v>65.0</v>
      </c>
      <c r="K15" s="7">
        <v>40.0</v>
      </c>
      <c r="L15" s="7">
        <f t="shared" si="1"/>
        <v>285</v>
      </c>
    </row>
    <row r="16" ht="14.25" customHeight="1">
      <c r="A16" s="7" t="s">
        <v>102</v>
      </c>
      <c r="B16" s="7" t="s">
        <v>103</v>
      </c>
      <c r="C16" s="7" t="s">
        <v>28</v>
      </c>
      <c r="D16" s="7" t="s">
        <v>21</v>
      </c>
      <c r="E16" s="7">
        <v>22000.0</v>
      </c>
      <c r="F16" s="7">
        <v>10.0</v>
      </c>
      <c r="G16" s="7">
        <v>2.0</v>
      </c>
      <c r="H16" s="7">
        <v>2395.64</v>
      </c>
      <c r="I16" s="7">
        <v>180.0</v>
      </c>
      <c r="J16" s="7">
        <v>65.0</v>
      </c>
      <c r="K16" s="7">
        <v>40.0</v>
      </c>
      <c r="L16" s="7">
        <f t="shared" si="1"/>
        <v>285</v>
      </c>
    </row>
    <row r="17" ht="14.25" customHeight="1">
      <c r="A17" s="7" t="s">
        <v>104</v>
      </c>
      <c r="B17" s="7" t="s">
        <v>105</v>
      </c>
      <c r="C17" s="7" t="s">
        <v>28</v>
      </c>
      <c r="D17" s="7" t="s">
        <v>21</v>
      </c>
      <c r="E17" s="7">
        <v>22000.0</v>
      </c>
      <c r="F17" s="7">
        <v>10.0</v>
      </c>
      <c r="G17" s="7">
        <v>2.0</v>
      </c>
      <c r="H17" s="7">
        <v>3968.98</v>
      </c>
      <c r="I17" s="7">
        <v>180.0</v>
      </c>
      <c r="J17" s="7">
        <v>65.0</v>
      </c>
      <c r="K17" s="7">
        <v>40.0</v>
      </c>
      <c r="L17" s="7">
        <f t="shared" si="1"/>
        <v>285</v>
      </c>
    </row>
    <row r="18" ht="14.25" customHeight="1">
      <c r="A18" s="7" t="s">
        <v>110</v>
      </c>
      <c r="B18" s="7" t="s">
        <v>111</v>
      </c>
      <c r="C18" s="7" t="s">
        <v>20</v>
      </c>
      <c r="D18" s="7" t="s">
        <v>21</v>
      </c>
      <c r="E18" s="7">
        <v>22000.0</v>
      </c>
      <c r="F18" s="7">
        <v>10.0</v>
      </c>
      <c r="G18" s="7">
        <v>2.0</v>
      </c>
      <c r="H18" s="7">
        <v>1351.63</v>
      </c>
      <c r="I18" s="7">
        <v>180.0</v>
      </c>
      <c r="J18" s="7">
        <v>65.0</v>
      </c>
      <c r="K18" s="7">
        <v>40.0</v>
      </c>
      <c r="L18" s="7">
        <f t="shared" si="1"/>
        <v>285</v>
      </c>
    </row>
    <row r="19" ht="14.25" customHeight="1">
      <c r="A19" s="7" t="s">
        <v>112</v>
      </c>
      <c r="B19" s="7" t="s">
        <v>113</v>
      </c>
      <c r="C19" s="7" t="s">
        <v>20</v>
      </c>
      <c r="D19" s="7" t="s">
        <v>21</v>
      </c>
      <c r="E19" s="7">
        <v>22000.0</v>
      </c>
      <c r="F19" s="7">
        <v>10.0</v>
      </c>
      <c r="G19" s="7">
        <v>2.0</v>
      </c>
      <c r="H19" s="7">
        <v>1642.68</v>
      </c>
      <c r="I19" s="7">
        <v>180.0</v>
      </c>
      <c r="J19" s="7">
        <v>65.0</v>
      </c>
      <c r="K19" s="7">
        <v>40.0</v>
      </c>
      <c r="L19" s="7">
        <f t="shared" si="1"/>
        <v>285</v>
      </c>
    </row>
    <row r="20" ht="14.25" customHeight="1">
      <c r="A20" s="7" t="s">
        <v>122</v>
      </c>
      <c r="B20" s="7" t="s">
        <v>123</v>
      </c>
      <c r="C20" s="7" t="s">
        <v>28</v>
      </c>
      <c r="D20" s="7" t="s">
        <v>21</v>
      </c>
      <c r="E20" s="7">
        <v>22000.0</v>
      </c>
      <c r="F20" s="7">
        <v>10.0</v>
      </c>
      <c r="G20" s="7">
        <v>2.0</v>
      </c>
      <c r="H20" s="7">
        <v>647.07</v>
      </c>
      <c r="I20" s="7">
        <v>180.0</v>
      </c>
      <c r="J20" s="7">
        <v>65.0</v>
      </c>
      <c r="K20" s="7">
        <v>40.0</v>
      </c>
      <c r="L20" s="7">
        <f t="shared" si="1"/>
        <v>285</v>
      </c>
    </row>
    <row r="21" ht="14.25" customHeight="1">
      <c r="A21" s="7" t="s">
        <v>124</v>
      </c>
      <c r="B21" s="7" t="s">
        <v>125</v>
      </c>
      <c r="C21" s="7" t="s">
        <v>28</v>
      </c>
      <c r="D21" s="7" t="s">
        <v>21</v>
      </c>
      <c r="E21" s="7">
        <v>22000.0</v>
      </c>
      <c r="F21" s="7">
        <v>10.0</v>
      </c>
      <c r="G21" s="7">
        <v>2.0</v>
      </c>
      <c r="H21" s="7">
        <v>2347.24</v>
      </c>
      <c r="I21" s="7">
        <v>180.0</v>
      </c>
      <c r="J21" s="7">
        <v>65.0</v>
      </c>
      <c r="K21" s="7">
        <v>40.0</v>
      </c>
      <c r="L21" s="7">
        <f t="shared" si="1"/>
        <v>285</v>
      </c>
    </row>
    <row r="22" ht="14.25" customHeight="1">
      <c r="A22" s="7" t="s">
        <v>130</v>
      </c>
      <c r="B22" s="7" t="s">
        <v>131</v>
      </c>
      <c r="C22" s="7" t="s">
        <v>20</v>
      </c>
      <c r="D22" s="7" t="s">
        <v>21</v>
      </c>
      <c r="E22" s="7">
        <v>22000.0</v>
      </c>
      <c r="F22" s="7">
        <v>10.0</v>
      </c>
      <c r="G22" s="7">
        <v>2.0</v>
      </c>
      <c r="H22" s="7">
        <v>3760.36</v>
      </c>
      <c r="I22" s="7">
        <v>180.0</v>
      </c>
      <c r="J22" s="7">
        <v>65.0</v>
      </c>
      <c r="K22" s="7">
        <v>40.0</v>
      </c>
      <c r="L22" s="7">
        <f t="shared" si="1"/>
        <v>285</v>
      </c>
    </row>
    <row r="23" ht="14.25" customHeight="1">
      <c r="A23" s="7" t="s">
        <v>132</v>
      </c>
      <c r="B23" s="7" t="s">
        <v>133</v>
      </c>
      <c r="C23" s="7" t="s">
        <v>20</v>
      </c>
      <c r="D23" s="7" t="s">
        <v>21</v>
      </c>
      <c r="E23" s="7">
        <v>22000.0</v>
      </c>
      <c r="F23" s="7">
        <v>10.0</v>
      </c>
      <c r="G23" s="7">
        <v>2.0</v>
      </c>
      <c r="H23" s="7">
        <v>1229.5</v>
      </c>
      <c r="I23" s="7">
        <v>180.0</v>
      </c>
      <c r="J23" s="7">
        <v>65.0</v>
      </c>
      <c r="K23" s="7">
        <v>40.0</v>
      </c>
      <c r="L23" s="7">
        <f t="shared" si="1"/>
        <v>285</v>
      </c>
    </row>
    <row r="24" ht="14.25" customHeight="1">
      <c r="A24" s="7" t="s">
        <v>142</v>
      </c>
      <c r="B24" s="7" t="s">
        <v>143</v>
      </c>
      <c r="C24" s="7" t="s">
        <v>28</v>
      </c>
      <c r="D24" s="7" t="s">
        <v>21</v>
      </c>
      <c r="E24" s="7">
        <v>22000.0</v>
      </c>
      <c r="F24" s="7">
        <v>10.0</v>
      </c>
      <c r="G24" s="7">
        <v>2.0</v>
      </c>
      <c r="H24" s="7">
        <v>2264.4</v>
      </c>
      <c r="I24" s="7">
        <v>180.0</v>
      </c>
      <c r="J24" s="7">
        <v>65.0</v>
      </c>
      <c r="K24" s="7">
        <v>40.0</v>
      </c>
      <c r="L24" s="7">
        <f t="shared" si="1"/>
        <v>285</v>
      </c>
    </row>
    <row r="25" ht="14.25" customHeight="1">
      <c r="A25" s="7" t="s">
        <v>144</v>
      </c>
      <c r="B25" s="7" t="s">
        <v>145</v>
      </c>
      <c r="C25" s="7" t="s">
        <v>28</v>
      </c>
      <c r="D25" s="7" t="s">
        <v>21</v>
      </c>
      <c r="E25" s="7">
        <v>22000.0</v>
      </c>
      <c r="F25" s="7">
        <v>10.0</v>
      </c>
      <c r="G25" s="7">
        <v>2.0</v>
      </c>
      <c r="H25" s="7">
        <v>2725.46</v>
      </c>
      <c r="I25" s="7">
        <v>180.0</v>
      </c>
      <c r="J25" s="7">
        <v>65.0</v>
      </c>
      <c r="K25" s="7">
        <v>40.0</v>
      </c>
      <c r="L25" s="7">
        <f t="shared" si="1"/>
        <v>285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34.29"/>
    <col customWidth="1" min="4" max="4" width="37.57"/>
    <col customWidth="1" min="5" max="5" width="30.71"/>
    <col customWidth="1" min="6" max="6" width="35.29"/>
    <col customWidth="1" min="7" max="7" width="38.29"/>
    <col customWidth="1" min="8" max="8" width="29.14"/>
    <col customWidth="1" min="9" max="9" width="34.29"/>
    <col customWidth="1" min="10" max="26" width="8.71"/>
  </cols>
  <sheetData>
    <row r="1" ht="14.25" customHeight="1">
      <c r="A1" s="10" t="s">
        <v>146</v>
      </c>
      <c r="B1" s="11" t="s">
        <v>197</v>
      </c>
      <c r="C1" s="11" t="s">
        <v>198</v>
      </c>
      <c r="D1" s="11" t="s">
        <v>199</v>
      </c>
      <c r="E1" s="11" t="s">
        <v>200</v>
      </c>
      <c r="F1" s="11" t="s">
        <v>201</v>
      </c>
      <c r="G1" s="11" t="s">
        <v>194</v>
      </c>
      <c r="H1" s="11" t="s">
        <v>202</v>
      </c>
      <c r="I1" s="12" t="s">
        <v>203</v>
      </c>
    </row>
    <row r="2" ht="14.25" customHeight="1">
      <c r="A2" s="13" t="s">
        <v>204</v>
      </c>
      <c r="B2" s="14">
        <v>1737.0</v>
      </c>
      <c r="C2" s="14">
        <v>420.0</v>
      </c>
      <c r="D2" s="14">
        <v>560.0</v>
      </c>
      <c r="E2" s="14">
        <v>70.0</v>
      </c>
      <c r="F2" s="14">
        <v>220.0</v>
      </c>
      <c r="G2" s="14">
        <v>95.0</v>
      </c>
      <c r="H2" s="14">
        <v>70.0</v>
      </c>
      <c r="I2" s="15">
        <v>3172.0</v>
      </c>
    </row>
    <row r="3" ht="14.25" customHeight="1">
      <c r="A3" s="13" t="s">
        <v>205</v>
      </c>
      <c r="B3" s="14">
        <v>1794.0</v>
      </c>
      <c r="C3" s="14">
        <v>420.0</v>
      </c>
      <c r="D3" s="14">
        <v>560.0</v>
      </c>
      <c r="E3" s="14">
        <v>70.0</v>
      </c>
      <c r="F3" s="14">
        <v>220.0</v>
      </c>
      <c r="G3" s="14">
        <v>95.0</v>
      </c>
      <c r="H3" s="14">
        <v>70.0</v>
      </c>
      <c r="I3" s="15">
        <v>3229.0</v>
      </c>
    </row>
    <row r="4" ht="14.25" customHeight="1">
      <c r="A4" s="13" t="s">
        <v>206</v>
      </c>
      <c r="B4" s="14">
        <v>1785.0</v>
      </c>
      <c r="C4" s="14">
        <v>420.0</v>
      </c>
      <c r="D4" s="14">
        <v>560.0</v>
      </c>
      <c r="E4" s="14">
        <v>70.0</v>
      </c>
      <c r="F4" s="14">
        <v>220.0</v>
      </c>
      <c r="G4" s="14">
        <v>95.0</v>
      </c>
      <c r="H4" s="14">
        <v>70.0</v>
      </c>
      <c r="I4" s="15">
        <v>3220.0</v>
      </c>
    </row>
    <row r="5" ht="14.25" customHeight="1">
      <c r="A5" s="13" t="s">
        <v>207</v>
      </c>
      <c r="B5" s="14">
        <v>1889.0</v>
      </c>
      <c r="C5" s="14">
        <v>420.0</v>
      </c>
      <c r="D5" s="14">
        <v>560.0</v>
      </c>
      <c r="E5" s="14">
        <v>70.0</v>
      </c>
      <c r="F5" s="14">
        <v>220.0</v>
      </c>
      <c r="G5" s="14">
        <v>95.0</v>
      </c>
      <c r="H5" s="14">
        <v>70.0</v>
      </c>
      <c r="I5" s="15">
        <v>3324.0</v>
      </c>
    </row>
    <row r="6" ht="14.25" customHeight="1">
      <c r="A6" s="13" t="s">
        <v>151</v>
      </c>
      <c r="B6" s="14">
        <v>1933.0</v>
      </c>
      <c r="C6" s="14">
        <v>420.0</v>
      </c>
      <c r="D6" s="14">
        <v>560.0</v>
      </c>
      <c r="E6" s="14">
        <v>70.0</v>
      </c>
      <c r="F6" s="14">
        <v>220.0</v>
      </c>
      <c r="G6" s="14">
        <v>95.0</v>
      </c>
      <c r="H6" s="14">
        <v>70.0</v>
      </c>
      <c r="I6" s="15">
        <v>3368.0</v>
      </c>
    </row>
    <row r="7" ht="14.25" customHeight="1">
      <c r="A7" s="13" t="s">
        <v>208</v>
      </c>
      <c r="B7" s="14">
        <v>2021.0</v>
      </c>
      <c r="C7" s="14">
        <v>420.0</v>
      </c>
      <c r="D7" s="14">
        <v>560.0</v>
      </c>
      <c r="E7" s="14">
        <v>70.0</v>
      </c>
      <c r="F7" s="14">
        <v>220.0</v>
      </c>
      <c r="G7" s="14">
        <v>95.0</v>
      </c>
      <c r="H7" s="14">
        <v>70.0</v>
      </c>
      <c r="I7" s="15">
        <v>3456.0</v>
      </c>
    </row>
    <row r="8" ht="14.25" customHeight="1">
      <c r="A8" s="13" t="s">
        <v>209</v>
      </c>
      <c r="B8" s="14">
        <v>2115.0</v>
      </c>
      <c r="C8" s="14">
        <v>420.0</v>
      </c>
      <c r="D8" s="14">
        <v>560.0</v>
      </c>
      <c r="E8" s="14">
        <v>70.0</v>
      </c>
      <c r="F8" s="14">
        <v>220.0</v>
      </c>
      <c r="G8" s="14">
        <v>95.0</v>
      </c>
      <c r="H8" s="14">
        <v>70.0</v>
      </c>
      <c r="I8" s="15">
        <v>3550.0</v>
      </c>
    </row>
    <row r="9" ht="14.25" customHeight="1">
      <c r="A9" s="13" t="s">
        <v>210</v>
      </c>
      <c r="B9" s="14">
        <v>2127.0</v>
      </c>
      <c r="C9" s="14">
        <v>420.0</v>
      </c>
      <c r="D9" s="14">
        <v>560.0</v>
      </c>
      <c r="E9" s="14">
        <v>70.0</v>
      </c>
      <c r="F9" s="14">
        <v>220.0</v>
      </c>
      <c r="G9" s="14">
        <v>95.0</v>
      </c>
      <c r="H9" s="14">
        <v>70.0</v>
      </c>
      <c r="I9" s="15">
        <v>3562.0</v>
      </c>
    </row>
    <row r="10" ht="14.25" customHeight="1">
      <c r="A10" s="13" t="s">
        <v>211</v>
      </c>
      <c r="B10" s="14">
        <v>1969.0</v>
      </c>
      <c r="C10" s="14">
        <v>420.0</v>
      </c>
      <c r="D10" s="14">
        <v>560.0</v>
      </c>
      <c r="E10" s="14">
        <v>70.0</v>
      </c>
      <c r="F10" s="14">
        <v>220.0</v>
      </c>
      <c r="G10" s="14">
        <v>95.0</v>
      </c>
      <c r="H10" s="14">
        <v>70.0</v>
      </c>
      <c r="I10" s="15">
        <v>3404.0</v>
      </c>
    </row>
    <row r="11" ht="14.25" customHeight="1">
      <c r="A11" s="13" t="s">
        <v>212</v>
      </c>
      <c r="B11" s="14">
        <v>1983.0</v>
      </c>
      <c r="C11" s="14">
        <v>420.0</v>
      </c>
      <c r="D11" s="14">
        <v>560.0</v>
      </c>
      <c r="E11" s="14">
        <v>70.0</v>
      </c>
      <c r="F11" s="14">
        <v>220.0</v>
      </c>
      <c r="G11" s="14">
        <v>95.0</v>
      </c>
      <c r="H11" s="14">
        <v>70.0</v>
      </c>
      <c r="I11" s="15">
        <v>3418.0</v>
      </c>
    </row>
    <row r="12" ht="14.25" customHeight="1">
      <c r="A12" s="13" t="s">
        <v>213</v>
      </c>
      <c r="B12" s="14">
        <v>2202.0</v>
      </c>
      <c r="C12" s="14">
        <v>420.0</v>
      </c>
      <c r="D12" s="14">
        <v>560.0</v>
      </c>
      <c r="E12" s="14">
        <v>70.0</v>
      </c>
      <c r="F12" s="14">
        <v>220.0</v>
      </c>
      <c r="G12" s="14">
        <v>95.0</v>
      </c>
      <c r="H12" s="14">
        <v>70.0</v>
      </c>
      <c r="I12" s="15">
        <v>3637.0</v>
      </c>
    </row>
    <row r="13" ht="14.25" customHeight="1">
      <c r="A13" s="16" t="s">
        <v>214</v>
      </c>
      <c r="B13" s="17">
        <v>2442.0</v>
      </c>
      <c r="C13" s="17">
        <v>420.0</v>
      </c>
      <c r="D13" s="17">
        <v>560.0</v>
      </c>
      <c r="E13" s="17">
        <v>70.0</v>
      </c>
      <c r="F13" s="17">
        <v>220.0</v>
      </c>
      <c r="G13" s="17">
        <v>95.0</v>
      </c>
      <c r="H13" s="17">
        <v>70.0</v>
      </c>
      <c r="I13" s="18">
        <v>3877.0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6.0"/>
    <col customWidth="1" min="3" max="3" width="8.71"/>
    <col customWidth="1" min="4" max="4" width="93.29"/>
    <col customWidth="1" min="5" max="26" width="8.71"/>
  </cols>
  <sheetData>
    <row r="1" ht="14.25" customHeight="1">
      <c r="A1" s="6" t="s">
        <v>215</v>
      </c>
      <c r="B1" s="19" t="s">
        <v>216</v>
      </c>
      <c r="C1" s="19" t="s">
        <v>6</v>
      </c>
      <c r="D1" s="6" t="s">
        <v>217</v>
      </c>
    </row>
    <row r="2" ht="14.25" customHeight="1">
      <c r="A2" s="7" t="s">
        <v>218</v>
      </c>
      <c r="B2" s="20">
        <v>20.0</v>
      </c>
      <c r="C2" s="20" t="s">
        <v>219</v>
      </c>
      <c r="D2" s="7" t="s">
        <v>220</v>
      </c>
    </row>
    <row r="3" ht="14.25" customHeight="1">
      <c r="A3" s="7" t="s">
        <v>221</v>
      </c>
      <c r="B3" s="20">
        <v>10.0</v>
      </c>
      <c r="C3" s="20" t="s">
        <v>219</v>
      </c>
      <c r="D3" s="7" t="s">
        <v>222</v>
      </c>
    </row>
    <row r="4" ht="14.25" customHeight="1">
      <c r="A4" s="7" t="s">
        <v>223</v>
      </c>
      <c r="B4" s="20">
        <v>26000.0</v>
      </c>
      <c r="C4" s="20" t="s">
        <v>224</v>
      </c>
      <c r="D4" s="7" t="s">
        <v>225</v>
      </c>
    </row>
    <row r="5" ht="14.25" customHeight="1">
      <c r="A5" s="7" t="s">
        <v>226</v>
      </c>
      <c r="B5" s="20">
        <v>0.2</v>
      </c>
      <c r="C5" s="20" t="s">
        <v>219</v>
      </c>
      <c r="D5" s="7" t="s">
        <v>227</v>
      </c>
    </row>
    <row r="6" ht="14.25" customHeight="1">
      <c r="A6" s="7" t="s">
        <v>228</v>
      </c>
      <c r="B6" s="20" t="s">
        <v>229</v>
      </c>
      <c r="C6" s="20" t="s">
        <v>13</v>
      </c>
      <c r="D6" s="7" t="s">
        <v>230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4.71"/>
    <col customWidth="1" min="3" max="3" width="13.43"/>
    <col customWidth="1" min="4" max="26" width="8.71"/>
  </cols>
  <sheetData>
    <row r="1" ht="14.25" customHeight="1">
      <c r="A1" s="6" t="s">
        <v>159</v>
      </c>
      <c r="B1" s="6" t="s">
        <v>160</v>
      </c>
      <c r="C1" s="6" t="s">
        <v>231</v>
      </c>
    </row>
    <row r="2" ht="14.25" customHeight="1">
      <c r="A2" s="7" t="s">
        <v>11</v>
      </c>
      <c r="B2" s="7" t="s">
        <v>12</v>
      </c>
      <c r="C2" s="7">
        <v>10.0</v>
      </c>
    </row>
    <row r="3" ht="14.25" customHeight="1">
      <c r="A3" s="7" t="s">
        <v>22</v>
      </c>
      <c r="B3" s="7" t="s">
        <v>23</v>
      </c>
      <c r="C3" s="7">
        <v>20.0</v>
      </c>
    </row>
    <row r="4" ht="14.25" customHeight="1">
      <c r="A4" s="7" t="s">
        <v>24</v>
      </c>
      <c r="B4" s="7" t="s">
        <v>25</v>
      </c>
      <c r="C4" s="7">
        <v>15.0</v>
      </c>
    </row>
    <row r="5" ht="14.25" customHeight="1">
      <c r="A5" s="7" t="s">
        <v>30</v>
      </c>
      <c r="B5" s="7" t="s">
        <v>31</v>
      </c>
      <c r="C5" s="7">
        <v>7.0</v>
      </c>
    </row>
    <row r="6" ht="14.25" customHeight="1">
      <c r="A6" s="7" t="s">
        <v>35</v>
      </c>
      <c r="B6" s="7" t="s">
        <v>36</v>
      </c>
      <c r="C6" s="7">
        <v>14.0</v>
      </c>
    </row>
    <row r="7" ht="14.25" customHeight="1">
      <c r="A7" s="7" t="s">
        <v>37</v>
      </c>
      <c r="B7" s="7" t="s">
        <v>38</v>
      </c>
      <c r="C7" s="7">
        <v>10.0</v>
      </c>
    </row>
    <row r="8" ht="14.25" customHeight="1">
      <c r="A8" s="7" t="s">
        <v>42</v>
      </c>
      <c r="B8" s="7" t="s">
        <v>43</v>
      </c>
      <c r="C8" s="7">
        <v>10.0</v>
      </c>
    </row>
    <row r="9" ht="14.25" customHeight="1">
      <c r="A9" s="7" t="s">
        <v>47</v>
      </c>
      <c r="B9" s="7" t="s">
        <v>48</v>
      </c>
      <c r="C9" s="7">
        <v>20.0</v>
      </c>
    </row>
    <row r="10" ht="14.25" customHeight="1">
      <c r="A10" s="7" t="s">
        <v>49</v>
      </c>
      <c r="B10" s="7" t="s">
        <v>50</v>
      </c>
      <c r="C10" s="7">
        <v>15.0</v>
      </c>
    </row>
    <row r="11" ht="14.25" customHeight="1">
      <c r="A11" s="7" t="s">
        <v>54</v>
      </c>
      <c r="B11" s="7" t="s">
        <v>55</v>
      </c>
      <c r="C11" s="7">
        <v>7.0</v>
      </c>
    </row>
    <row r="12" ht="14.25" customHeight="1">
      <c r="A12" s="7" t="s">
        <v>59</v>
      </c>
      <c r="B12" s="7" t="s">
        <v>60</v>
      </c>
      <c r="C12" s="7">
        <v>14.0</v>
      </c>
    </row>
    <row r="13" ht="14.25" customHeight="1">
      <c r="A13" s="7" t="s">
        <v>61</v>
      </c>
      <c r="B13" s="7" t="s">
        <v>62</v>
      </c>
      <c r="C13" s="7">
        <v>10.0</v>
      </c>
    </row>
    <row r="14" ht="14.25" customHeight="1">
      <c r="A14" s="7" t="s">
        <v>65</v>
      </c>
      <c r="B14" s="7" t="s">
        <v>66</v>
      </c>
      <c r="C14" s="7">
        <v>50.0</v>
      </c>
    </row>
    <row r="15" ht="14.25" customHeight="1">
      <c r="A15" s="7" t="s">
        <v>67</v>
      </c>
      <c r="B15" s="7" t="s">
        <v>68</v>
      </c>
      <c r="C15" s="7">
        <v>50.0</v>
      </c>
    </row>
    <row r="16" ht="14.25" customHeight="1">
      <c r="A16" s="7" t="s">
        <v>74</v>
      </c>
      <c r="B16" s="7" t="s">
        <v>75</v>
      </c>
      <c r="C16" s="7">
        <v>20.0</v>
      </c>
    </row>
    <row r="17" ht="14.25" customHeight="1">
      <c r="A17" s="7" t="s">
        <v>76</v>
      </c>
      <c r="B17" s="7" t="s">
        <v>77</v>
      </c>
      <c r="C17" s="7">
        <v>50.0</v>
      </c>
    </row>
    <row r="18" ht="14.25" customHeight="1">
      <c r="A18" s="7" t="s">
        <v>78</v>
      </c>
      <c r="B18" s="7" t="s">
        <v>79</v>
      </c>
      <c r="C18" s="7">
        <v>50.0</v>
      </c>
    </row>
    <row r="19" ht="14.25" customHeight="1">
      <c r="A19" s="7" t="s">
        <v>80</v>
      </c>
      <c r="B19" s="7" t="s">
        <v>81</v>
      </c>
      <c r="C19" s="7">
        <v>50.0</v>
      </c>
    </row>
    <row r="20" ht="14.25" customHeight="1">
      <c r="A20" s="7" t="s">
        <v>86</v>
      </c>
      <c r="B20" s="7" t="s">
        <v>87</v>
      </c>
      <c r="C20" s="7">
        <v>35.0</v>
      </c>
    </row>
    <row r="21" ht="14.25" customHeight="1">
      <c r="A21" s="7" t="s">
        <v>88</v>
      </c>
      <c r="B21" s="7" t="s">
        <v>89</v>
      </c>
      <c r="C21" s="7">
        <v>35.0</v>
      </c>
    </row>
    <row r="22" ht="14.25" customHeight="1">
      <c r="A22" s="7" t="s">
        <v>94</v>
      </c>
      <c r="B22" s="7" t="s">
        <v>95</v>
      </c>
      <c r="C22" s="7">
        <v>14.0</v>
      </c>
    </row>
    <row r="23" ht="14.25" customHeight="1">
      <c r="A23" s="7" t="s">
        <v>96</v>
      </c>
      <c r="B23" s="7" t="s">
        <v>97</v>
      </c>
      <c r="C23" s="7">
        <v>35.0</v>
      </c>
    </row>
    <row r="24" ht="14.25" customHeight="1">
      <c r="A24" s="7" t="s">
        <v>98</v>
      </c>
      <c r="B24" s="7" t="s">
        <v>99</v>
      </c>
      <c r="C24" s="7">
        <v>35.0</v>
      </c>
    </row>
    <row r="25" ht="14.25" customHeight="1">
      <c r="A25" s="7" t="s">
        <v>100</v>
      </c>
      <c r="B25" s="7" t="s">
        <v>101</v>
      </c>
      <c r="C25" s="7">
        <v>35.0</v>
      </c>
    </row>
    <row r="26" ht="14.25" customHeight="1">
      <c r="A26" s="7" t="s">
        <v>106</v>
      </c>
      <c r="B26" s="7" t="s">
        <v>107</v>
      </c>
      <c r="C26" s="7">
        <v>50.0</v>
      </c>
    </row>
    <row r="27" ht="14.25" customHeight="1">
      <c r="A27" s="7" t="s">
        <v>108</v>
      </c>
      <c r="B27" s="7" t="s">
        <v>109</v>
      </c>
      <c r="C27" s="7">
        <v>50.0</v>
      </c>
    </row>
    <row r="28" ht="14.25" customHeight="1">
      <c r="A28" s="7" t="s">
        <v>114</v>
      </c>
      <c r="B28" s="7" t="s">
        <v>115</v>
      </c>
      <c r="C28" s="7">
        <v>20.0</v>
      </c>
    </row>
    <row r="29" ht="14.25" customHeight="1">
      <c r="A29" s="7" t="s">
        <v>116</v>
      </c>
      <c r="B29" s="7" t="s">
        <v>117</v>
      </c>
      <c r="C29" s="7">
        <v>50.0</v>
      </c>
    </row>
    <row r="30" ht="14.25" customHeight="1">
      <c r="A30" s="7" t="s">
        <v>118</v>
      </c>
      <c r="B30" s="7" t="s">
        <v>119</v>
      </c>
      <c r="C30" s="7">
        <v>50.0</v>
      </c>
    </row>
    <row r="31" ht="14.25" customHeight="1">
      <c r="A31" s="7" t="s">
        <v>120</v>
      </c>
      <c r="B31" s="7" t="s">
        <v>121</v>
      </c>
      <c r="C31" s="7">
        <v>50.0</v>
      </c>
    </row>
    <row r="32" ht="14.25" customHeight="1">
      <c r="A32" s="7" t="s">
        <v>126</v>
      </c>
      <c r="B32" s="7" t="s">
        <v>127</v>
      </c>
      <c r="C32" s="7">
        <v>35.0</v>
      </c>
    </row>
    <row r="33" ht="14.25" customHeight="1">
      <c r="A33" s="7" t="s">
        <v>128</v>
      </c>
      <c r="B33" s="7" t="s">
        <v>129</v>
      </c>
      <c r="C33" s="7">
        <v>35.0</v>
      </c>
    </row>
    <row r="34" ht="14.25" customHeight="1">
      <c r="A34" s="7" t="s">
        <v>134</v>
      </c>
      <c r="B34" s="7" t="s">
        <v>135</v>
      </c>
      <c r="C34" s="7">
        <v>14.0</v>
      </c>
    </row>
    <row r="35" ht="14.25" customHeight="1">
      <c r="A35" s="7" t="s">
        <v>136</v>
      </c>
      <c r="B35" s="7" t="s">
        <v>137</v>
      </c>
      <c r="C35" s="7">
        <v>35.0</v>
      </c>
    </row>
    <row r="36" ht="14.25" customHeight="1">
      <c r="A36" s="7" t="s">
        <v>138</v>
      </c>
      <c r="B36" s="7" t="s">
        <v>139</v>
      </c>
      <c r="C36" s="7">
        <v>35.0</v>
      </c>
    </row>
    <row r="37" ht="14.25" customHeight="1">
      <c r="A37" s="7" t="s">
        <v>140</v>
      </c>
      <c r="B37" s="7" t="s">
        <v>141</v>
      </c>
      <c r="C37" s="7">
        <v>35.0</v>
      </c>
    </row>
    <row r="38" ht="14.25" customHeight="1">
      <c r="A38" s="7" t="s">
        <v>18</v>
      </c>
      <c r="B38" s="7" t="s">
        <v>19</v>
      </c>
      <c r="C38" s="7">
        <v>40.0</v>
      </c>
    </row>
    <row r="39" ht="14.25" customHeight="1">
      <c r="A39" s="7" t="s">
        <v>26</v>
      </c>
      <c r="B39" s="7" t="s">
        <v>27</v>
      </c>
      <c r="C39" s="7">
        <v>120.0</v>
      </c>
    </row>
    <row r="40" ht="14.25" customHeight="1">
      <c r="A40" s="7" t="s">
        <v>33</v>
      </c>
      <c r="B40" s="7" t="s">
        <v>34</v>
      </c>
      <c r="C40" s="7">
        <v>28.0</v>
      </c>
    </row>
    <row r="41" ht="14.25" customHeight="1">
      <c r="A41" s="7" t="s">
        <v>39</v>
      </c>
      <c r="B41" s="7" t="s">
        <v>40</v>
      </c>
      <c r="C41" s="7">
        <v>84.0</v>
      </c>
    </row>
    <row r="42" ht="14.25" customHeight="1">
      <c r="A42" s="7" t="s">
        <v>45</v>
      </c>
      <c r="B42" s="7" t="s">
        <v>46</v>
      </c>
      <c r="C42" s="7">
        <v>40.0</v>
      </c>
    </row>
    <row r="43" ht="14.25" customHeight="1">
      <c r="A43" s="7" t="s">
        <v>51</v>
      </c>
      <c r="B43" s="7" t="s">
        <v>52</v>
      </c>
      <c r="C43" s="7">
        <v>120.0</v>
      </c>
    </row>
    <row r="44" ht="14.25" customHeight="1">
      <c r="A44" s="7" t="s">
        <v>57</v>
      </c>
      <c r="B44" s="7" t="s">
        <v>58</v>
      </c>
      <c r="C44" s="7">
        <v>28.0</v>
      </c>
    </row>
    <row r="45" ht="14.25" customHeight="1">
      <c r="A45" s="7" t="s">
        <v>63</v>
      </c>
      <c r="B45" s="7" t="s">
        <v>64</v>
      </c>
      <c r="C45" s="7">
        <v>84.0</v>
      </c>
    </row>
    <row r="46" ht="14.25" customHeight="1">
      <c r="A46" s="7" t="s">
        <v>70</v>
      </c>
      <c r="B46" s="7" t="s">
        <v>71</v>
      </c>
      <c r="C46" s="7">
        <v>50.0</v>
      </c>
    </row>
    <row r="47" ht="14.25" customHeight="1">
      <c r="A47" s="7" t="s">
        <v>72</v>
      </c>
      <c r="B47" s="7" t="s">
        <v>73</v>
      </c>
      <c r="C47" s="7">
        <v>50.0</v>
      </c>
    </row>
    <row r="48" ht="14.25" customHeight="1">
      <c r="A48" s="7" t="s">
        <v>82</v>
      </c>
      <c r="B48" s="7" t="s">
        <v>83</v>
      </c>
      <c r="C48" s="7">
        <v>50.0</v>
      </c>
    </row>
    <row r="49" ht="14.25" customHeight="1">
      <c r="A49" s="7" t="s">
        <v>84</v>
      </c>
      <c r="B49" s="7" t="s">
        <v>85</v>
      </c>
      <c r="C49" s="7">
        <v>50.0</v>
      </c>
    </row>
    <row r="50" ht="14.25" customHeight="1">
      <c r="A50" s="7" t="s">
        <v>90</v>
      </c>
      <c r="B50" s="7" t="s">
        <v>91</v>
      </c>
      <c r="C50" s="7">
        <v>35.0</v>
      </c>
    </row>
    <row r="51" ht="14.25" customHeight="1">
      <c r="A51" s="7" t="s">
        <v>92</v>
      </c>
      <c r="B51" s="7" t="s">
        <v>93</v>
      </c>
      <c r="C51" s="7">
        <v>35.0</v>
      </c>
    </row>
    <row r="52" ht="14.25" customHeight="1">
      <c r="A52" s="7" t="s">
        <v>102</v>
      </c>
      <c r="B52" s="7" t="s">
        <v>103</v>
      </c>
      <c r="C52" s="7">
        <v>35.0</v>
      </c>
    </row>
    <row r="53" ht="14.25" customHeight="1">
      <c r="A53" s="7" t="s">
        <v>104</v>
      </c>
      <c r="B53" s="7" t="s">
        <v>105</v>
      </c>
      <c r="C53" s="7">
        <v>35.0</v>
      </c>
    </row>
    <row r="54" ht="14.25" customHeight="1">
      <c r="A54" s="7" t="s">
        <v>110</v>
      </c>
      <c r="B54" s="7" t="s">
        <v>111</v>
      </c>
      <c r="C54" s="7">
        <v>50.0</v>
      </c>
    </row>
    <row r="55" ht="14.25" customHeight="1">
      <c r="A55" s="7" t="s">
        <v>112</v>
      </c>
      <c r="B55" s="7" t="s">
        <v>113</v>
      </c>
      <c r="C55" s="7">
        <v>50.0</v>
      </c>
    </row>
    <row r="56" ht="14.25" customHeight="1">
      <c r="A56" s="7" t="s">
        <v>122</v>
      </c>
      <c r="B56" s="7" t="s">
        <v>123</v>
      </c>
      <c r="C56" s="7">
        <v>50.0</v>
      </c>
    </row>
    <row r="57" ht="14.25" customHeight="1">
      <c r="A57" s="7" t="s">
        <v>124</v>
      </c>
      <c r="B57" s="7" t="s">
        <v>125</v>
      </c>
      <c r="C57" s="7">
        <v>50.0</v>
      </c>
    </row>
    <row r="58" ht="14.25" customHeight="1">
      <c r="A58" s="7" t="s">
        <v>130</v>
      </c>
      <c r="B58" s="7" t="s">
        <v>131</v>
      </c>
      <c r="C58" s="7">
        <v>35.0</v>
      </c>
    </row>
    <row r="59" ht="14.25" customHeight="1">
      <c r="A59" s="7" t="s">
        <v>132</v>
      </c>
      <c r="B59" s="7" t="s">
        <v>133</v>
      </c>
      <c r="C59" s="7">
        <v>35.0</v>
      </c>
    </row>
    <row r="60" ht="14.25" customHeight="1">
      <c r="A60" s="7" t="s">
        <v>142</v>
      </c>
      <c r="B60" s="7" t="s">
        <v>143</v>
      </c>
      <c r="C60" s="7">
        <v>35.0</v>
      </c>
    </row>
    <row r="61" ht="14.25" customHeight="1">
      <c r="A61" s="7" t="s">
        <v>144</v>
      </c>
      <c r="B61" s="7" t="s">
        <v>145</v>
      </c>
      <c r="C61" s="7">
        <v>35.0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9.29"/>
    <col customWidth="1" min="3" max="3" width="11.71"/>
    <col customWidth="1" min="4" max="4" width="7.0"/>
    <col customWidth="1" min="5" max="26" width="8.71"/>
  </cols>
  <sheetData>
    <row r="1" ht="14.25" customHeight="1">
      <c r="A1" s="21" t="s">
        <v>232</v>
      </c>
      <c r="B1" s="21" t="s">
        <v>233</v>
      </c>
      <c r="C1" s="21" t="s">
        <v>234</v>
      </c>
      <c r="D1" s="22" t="s">
        <v>235</v>
      </c>
    </row>
    <row r="2" ht="14.25" customHeight="1">
      <c r="A2" s="23" t="s">
        <v>236</v>
      </c>
      <c r="B2" s="24">
        <v>0.002</v>
      </c>
      <c r="C2" s="24">
        <v>0.2</v>
      </c>
      <c r="D2" s="25">
        <v>0.1</v>
      </c>
    </row>
    <row r="3" ht="14.25" customHeight="1">
      <c r="A3" s="26" t="s">
        <v>237</v>
      </c>
      <c r="B3" s="27">
        <v>0.0</v>
      </c>
      <c r="C3" s="27">
        <v>0.0</v>
      </c>
      <c r="D3" s="28">
        <v>0.1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29"/>
    <col customWidth="1" min="2" max="9" width="8.71"/>
    <col customWidth="1" min="10" max="10" width="18.43"/>
    <col customWidth="1" min="11" max="11" width="11.14"/>
    <col customWidth="1" min="12" max="12" width="8.71"/>
    <col customWidth="1" min="13" max="13" width="18.43"/>
    <col customWidth="1" min="14" max="14" width="24.71"/>
    <col customWidth="1" min="15" max="15" width="13.43"/>
    <col customWidth="1" min="16" max="26" width="8.71"/>
  </cols>
  <sheetData>
    <row r="1" ht="14.25" customHeight="1">
      <c r="A1" s="29" t="s">
        <v>238</v>
      </c>
    </row>
    <row r="2" ht="14.25" customHeight="1">
      <c r="A2" s="30" t="s">
        <v>239</v>
      </c>
    </row>
    <row r="3" ht="14.25" customHeight="1">
      <c r="A3" s="30" t="s">
        <v>240</v>
      </c>
    </row>
    <row r="4" ht="14.25" customHeight="1">
      <c r="A4" s="31" t="s">
        <v>241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27.29"/>
    <col customWidth="1" min="3" max="3" width="24.0"/>
    <col customWidth="1" min="4" max="4" width="25.29"/>
    <col customWidth="1" min="5" max="5" width="21.29"/>
    <col customWidth="1" min="6" max="26" width="8.71"/>
  </cols>
  <sheetData>
    <row r="1" ht="14.25" customHeight="1">
      <c r="A1" s="32" t="s">
        <v>242</v>
      </c>
      <c r="B1" s="32" t="s">
        <v>243</v>
      </c>
      <c r="C1" s="32" t="s">
        <v>244</v>
      </c>
      <c r="D1" s="32" t="s">
        <v>245</v>
      </c>
      <c r="E1" s="32" t="s">
        <v>246</v>
      </c>
      <c r="F1" s="32" t="s">
        <v>247</v>
      </c>
    </row>
    <row r="2" ht="14.25" customHeight="1">
      <c r="A2" s="33">
        <v>1.0</v>
      </c>
      <c r="B2" s="33" t="s">
        <v>17</v>
      </c>
      <c r="C2" s="33" t="s">
        <v>11</v>
      </c>
      <c r="D2" s="33" t="s">
        <v>12</v>
      </c>
      <c r="E2" s="33">
        <v>1.0</v>
      </c>
      <c r="F2" s="33" t="s">
        <v>14</v>
      </c>
    </row>
    <row r="3" ht="14.25" customHeight="1">
      <c r="A3" s="33">
        <v>1.0</v>
      </c>
      <c r="B3" s="33" t="s">
        <v>17</v>
      </c>
      <c r="C3" s="33" t="s">
        <v>18</v>
      </c>
      <c r="D3" s="33" t="s">
        <v>19</v>
      </c>
      <c r="E3" s="33">
        <v>1.0</v>
      </c>
      <c r="F3" s="33" t="s">
        <v>14</v>
      </c>
    </row>
    <row r="4" ht="14.25" customHeight="1">
      <c r="A4" s="33">
        <v>1.0</v>
      </c>
      <c r="B4" s="33" t="s">
        <v>17</v>
      </c>
      <c r="C4" s="33" t="s">
        <v>22</v>
      </c>
      <c r="D4" s="33" t="s">
        <v>23</v>
      </c>
      <c r="E4" s="33">
        <v>1.0</v>
      </c>
      <c r="F4" s="33" t="s">
        <v>14</v>
      </c>
    </row>
    <row r="5" ht="14.25" customHeight="1">
      <c r="A5" s="33">
        <v>1.0</v>
      </c>
      <c r="B5" s="33" t="s">
        <v>17</v>
      </c>
      <c r="C5" s="33" t="s">
        <v>24</v>
      </c>
      <c r="D5" s="33" t="s">
        <v>25</v>
      </c>
      <c r="E5" s="33">
        <v>1.0</v>
      </c>
      <c r="F5" s="33" t="s">
        <v>14</v>
      </c>
    </row>
    <row r="6" ht="14.25" customHeight="1">
      <c r="A6" s="33">
        <v>1.0</v>
      </c>
      <c r="B6" s="33" t="s">
        <v>17</v>
      </c>
      <c r="C6" s="33" t="s">
        <v>26</v>
      </c>
      <c r="D6" s="33" t="s">
        <v>27</v>
      </c>
      <c r="E6" s="33">
        <v>1.0</v>
      </c>
      <c r="F6" s="33" t="s">
        <v>14</v>
      </c>
    </row>
    <row r="7" ht="14.25" customHeight="1">
      <c r="A7" s="33">
        <v>1.0</v>
      </c>
      <c r="B7" s="33" t="s">
        <v>32</v>
      </c>
      <c r="C7" s="33" t="s">
        <v>30</v>
      </c>
      <c r="D7" s="33" t="s">
        <v>31</v>
      </c>
      <c r="E7" s="33">
        <v>1.0</v>
      </c>
      <c r="F7" s="33" t="s">
        <v>14</v>
      </c>
    </row>
    <row r="8" ht="14.25" customHeight="1">
      <c r="A8" s="33">
        <v>1.0</v>
      </c>
      <c r="B8" s="33" t="s">
        <v>32</v>
      </c>
      <c r="C8" s="33" t="s">
        <v>33</v>
      </c>
      <c r="D8" s="33" t="s">
        <v>34</v>
      </c>
      <c r="E8" s="33">
        <v>1.0</v>
      </c>
      <c r="F8" s="33" t="s">
        <v>14</v>
      </c>
    </row>
    <row r="9" ht="14.25" customHeight="1">
      <c r="A9" s="33">
        <v>1.0</v>
      </c>
      <c r="B9" s="33" t="s">
        <v>32</v>
      </c>
      <c r="C9" s="33" t="s">
        <v>35</v>
      </c>
      <c r="D9" s="33" t="s">
        <v>36</v>
      </c>
      <c r="E9" s="33">
        <v>1.0</v>
      </c>
      <c r="F9" s="33" t="s">
        <v>14</v>
      </c>
    </row>
    <row r="10" ht="14.25" customHeight="1">
      <c r="A10" s="33">
        <v>1.0</v>
      </c>
      <c r="B10" s="33" t="s">
        <v>32</v>
      </c>
      <c r="C10" s="33" t="s">
        <v>37</v>
      </c>
      <c r="D10" s="33" t="s">
        <v>38</v>
      </c>
      <c r="E10" s="33">
        <v>1.0</v>
      </c>
      <c r="F10" s="33" t="s">
        <v>14</v>
      </c>
    </row>
    <row r="11" ht="14.25" customHeight="1">
      <c r="A11" s="33">
        <v>1.0</v>
      </c>
      <c r="B11" s="33" t="s">
        <v>32</v>
      </c>
      <c r="C11" s="33" t="s">
        <v>39</v>
      </c>
      <c r="D11" s="33" t="s">
        <v>40</v>
      </c>
      <c r="E11" s="33">
        <v>1.0</v>
      </c>
      <c r="F11" s="33" t="s">
        <v>14</v>
      </c>
    </row>
    <row r="12" ht="14.25" customHeight="1">
      <c r="A12" s="33">
        <v>1.0</v>
      </c>
      <c r="B12" s="33" t="s">
        <v>44</v>
      </c>
      <c r="C12" s="33" t="s">
        <v>42</v>
      </c>
      <c r="D12" s="33" t="s">
        <v>43</v>
      </c>
      <c r="E12" s="33">
        <v>1.0</v>
      </c>
      <c r="F12" s="33" t="s">
        <v>14</v>
      </c>
    </row>
    <row r="13" ht="14.25" customHeight="1">
      <c r="A13" s="33">
        <v>1.0</v>
      </c>
      <c r="B13" s="33" t="s">
        <v>44</v>
      </c>
      <c r="C13" s="33" t="s">
        <v>45</v>
      </c>
      <c r="D13" s="33" t="s">
        <v>46</v>
      </c>
      <c r="E13" s="33">
        <v>1.0</v>
      </c>
      <c r="F13" s="33" t="s">
        <v>14</v>
      </c>
    </row>
    <row r="14" ht="14.25" customHeight="1">
      <c r="A14" s="33">
        <v>1.0</v>
      </c>
      <c r="B14" s="33" t="s">
        <v>44</v>
      </c>
      <c r="C14" s="33" t="s">
        <v>47</v>
      </c>
      <c r="D14" s="33" t="s">
        <v>48</v>
      </c>
      <c r="E14" s="33">
        <v>1.0</v>
      </c>
      <c r="F14" s="33" t="s">
        <v>14</v>
      </c>
    </row>
    <row r="15" ht="14.25" customHeight="1">
      <c r="A15" s="33">
        <v>1.0</v>
      </c>
      <c r="B15" s="33" t="s">
        <v>44</v>
      </c>
      <c r="C15" s="33" t="s">
        <v>49</v>
      </c>
      <c r="D15" s="33" t="s">
        <v>50</v>
      </c>
      <c r="E15" s="33">
        <v>1.0</v>
      </c>
      <c r="F15" s="33" t="s">
        <v>14</v>
      </c>
    </row>
    <row r="16" ht="14.25" customHeight="1">
      <c r="A16" s="33">
        <v>1.0</v>
      </c>
      <c r="B16" s="33" t="s">
        <v>44</v>
      </c>
      <c r="C16" s="33" t="s">
        <v>51</v>
      </c>
      <c r="D16" s="33" t="s">
        <v>52</v>
      </c>
      <c r="E16" s="33">
        <v>1.0</v>
      </c>
      <c r="F16" s="33" t="s">
        <v>14</v>
      </c>
    </row>
    <row r="17" ht="14.25" customHeight="1">
      <c r="A17" s="33">
        <v>1.0</v>
      </c>
      <c r="B17" s="33" t="s">
        <v>56</v>
      </c>
      <c r="C17" s="33" t="s">
        <v>54</v>
      </c>
      <c r="D17" s="33" t="s">
        <v>55</v>
      </c>
      <c r="E17" s="33">
        <v>1.0</v>
      </c>
      <c r="F17" s="33" t="s">
        <v>14</v>
      </c>
    </row>
    <row r="18" ht="14.25" customHeight="1">
      <c r="A18" s="33">
        <v>1.0</v>
      </c>
      <c r="B18" s="33" t="s">
        <v>56</v>
      </c>
      <c r="C18" s="33" t="s">
        <v>57</v>
      </c>
      <c r="D18" s="33" t="s">
        <v>58</v>
      </c>
      <c r="E18" s="33">
        <v>1.0</v>
      </c>
      <c r="F18" s="33" t="s">
        <v>14</v>
      </c>
    </row>
    <row r="19" ht="14.25" customHeight="1">
      <c r="A19" s="33">
        <v>1.0</v>
      </c>
      <c r="B19" s="33" t="s">
        <v>56</v>
      </c>
      <c r="C19" s="33" t="s">
        <v>59</v>
      </c>
      <c r="D19" s="33" t="s">
        <v>60</v>
      </c>
      <c r="E19" s="33">
        <v>1.0</v>
      </c>
      <c r="F19" s="33" t="s">
        <v>14</v>
      </c>
    </row>
    <row r="20" ht="14.25" customHeight="1">
      <c r="A20" s="33">
        <v>1.0</v>
      </c>
      <c r="B20" s="33" t="s">
        <v>56</v>
      </c>
      <c r="C20" s="33" t="s">
        <v>61</v>
      </c>
      <c r="D20" s="33" t="s">
        <v>62</v>
      </c>
      <c r="E20" s="33">
        <v>1.0</v>
      </c>
      <c r="F20" s="33" t="s">
        <v>14</v>
      </c>
    </row>
    <row r="21" ht="14.25" customHeight="1">
      <c r="A21" s="33">
        <v>1.0</v>
      </c>
      <c r="B21" s="33" t="s">
        <v>56</v>
      </c>
      <c r="C21" s="33" t="s">
        <v>63</v>
      </c>
      <c r="D21" s="33" t="s">
        <v>64</v>
      </c>
      <c r="E21" s="33">
        <v>1.0</v>
      </c>
      <c r="F21" s="33" t="s">
        <v>14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21.57"/>
    <col customWidth="1" min="3" max="3" width="17.43"/>
    <col customWidth="1" min="4" max="4" width="24.0"/>
    <col customWidth="1" min="5" max="5" width="25.29"/>
    <col customWidth="1" min="6" max="6" width="21.0"/>
    <col customWidth="1" min="7" max="7" width="11.71"/>
    <col customWidth="1" min="8" max="26" width="8.71"/>
  </cols>
  <sheetData>
    <row r="1" ht="14.25" customHeight="1">
      <c r="A1" s="32" t="s">
        <v>242</v>
      </c>
      <c r="B1" s="32" t="s">
        <v>248</v>
      </c>
      <c r="C1" s="32" t="s">
        <v>249</v>
      </c>
      <c r="D1" s="32" t="s">
        <v>250</v>
      </c>
      <c r="E1" s="32" t="s">
        <v>251</v>
      </c>
      <c r="F1" s="32" t="s">
        <v>252</v>
      </c>
      <c r="G1" s="32" t="s">
        <v>247</v>
      </c>
    </row>
    <row r="2" ht="14.25" customHeight="1">
      <c r="A2" s="33">
        <v>2.0</v>
      </c>
      <c r="B2" s="33" t="str">
        <f t="array" ref="B2">XLOOKUP(BOM_L1_L2!$D2,'Bill of Materials'!$C$22:$C$61,'Bill of Materials'!$E$22:$E$61)</f>
        <v>LSCENSD0001</v>
      </c>
      <c r="C2" s="33" t="str">
        <f t="array" ref="C2">XLOOKUP(B2,BOM_FG_L1!$C$2:$C$21,BOM_FG_L1!$D$2:$D$21)</f>
        <v>Engine - SD</v>
      </c>
      <c r="D2" s="33" t="s">
        <v>65</v>
      </c>
      <c r="E2" s="33" t="s">
        <v>66</v>
      </c>
      <c r="F2" s="33">
        <v>1.0</v>
      </c>
      <c r="G2" s="33" t="s">
        <v>14</v>
      </c>
    </row>
    <row r="3" ht="14.25" customHeight="1">
      <c r="A3" s="33">
        <v>2.0</v>
      </c>
      <c r="B3" s="33" t="str">
        <f t="array" ref="B3">XLOOKUP(BOM_L1_L2!$D3,'Bill of Materials'!$C$22:$C$61,'Bill of Materials'!$E$22:$E$61)</f>
        <v>LSCENSD0001</v>
      </c>
      <c r="C3" s="33" t="str">
        <f t="array" ref="C3">XLOOKUP(B3,BOM_FG_L1!$C$2:$C$21,BOM_FG_L1!$D$2:$D$21)</f>
        <v>Engine - SD</v>
      </c>
      <c r="D3" s="33" t="s">
        <v>67</v>
      </c>
      <c r="E3" s="33" t="s">
        <v>68</v>
      </c>
      <c r="F3" s="33">
        <v>4.0</v>
      </c>
      <c r="G3" s="33" t="s">
        <v>69</v>
      </c>
    </row>
    <row r="4" ht="14.25" customHeight="1">
      <c r="A4" s="33">
        <v>2.0</v>
      </c>
      <c r="B4" s="33" t="str">
        <f t="array" ref="B4">XLOOKUP(BOM_L1_L2!$D4,'Bill of Materials'!$C$22:$C$61,'Bill of Materials'!$E$22:$E$61)</f>
        <v>LSCTRSD0002</v>
      </c>
      <c r="C4" s="33" t="str">
        <f t="array" ref="C4">XLOOKUP(B4,BOM_FG_L1!$C$2:$C$21,BOM_FG_L1!$D$2:$D$21)</f>
        <v>Transmission - SD</v>
      </c>
      <c r="D4" s="33" t="s">
        <v>70</v>
      </c>
      <c r="E4" s="33" t="s">
        <v>71</v>
      </c>
      <c r="F4" s="33">
        <v>1.0</v>
      </c>
      <c r="G4" s="33" t="s">
        <v>14</v>
      </c>
    </row>
    <row r="5" ht="14.25" customHeight="1">
      <c r="A5" s="33">
        <v>2.0</v>
      </c>
      <c r="B5" s="33" t="str">
        <f t="array" ref="B5">XLOOKUP(BOM_L1_L2!$D5,'Bill of Materials'!$C$22:$C$61,'Bill of Materials'!$E$22:$E$61)</f>
        <v>LSCTRSD0002</v>
      </c>
      <c r="C5" s="33" t="str">
        <f t="array" ref="C5">XLOOKUP(B5,BOM_FG_L1!$C$2:$C$21,BOM_FG_L1!$D$2:$D$21)</f>
        <v>Transmission - SD</v>
      </c>
      <c r="D5" s="33" t="s">
        <v>72</v>
      </c>
      <c r="E5" s="33" t="s">
        <v>73</v>
      </c>
      <c r="F5" s="33">
        <v>1.0</v>
      </c>
      <c r="G5" s="33" t="s">
        <v>69</v>
      </c>
    </row>
    <row r="6" ht="14.25" customHeight="1">
      <c r="A6" s="33">
        <v>2.0</v>
      </c>
      <c r="B6" s="33" t="str">
        <f t="array" ref="B6">XLOOKUP(BOM_L1_L2!$D6,'Bill of Materials'!$C$22:$C$61,'Bill of Materials'!$E$22:$E$61)</f>
        <v>LSCCHSD0003</v>
      </c>
      <c r="C6" s="33" t="str">
        <f t="array" ref="C6">XLOOKUP(B6,BOM_FG_L1!$C$2:$C$21,BOM_FG_L1!$D$2:$D$21)</f>
        <v>Chassis - SD</v>
      </c>
      <c r="D6" s="33" t="s">
        <v>74</v>
      </c>
      <c r="E6" s="33" t="s">
        <v>75</v>
      </c>
      <c r="F6" s="33">
        <v>1.0</v>
      </c>
      <c r="G6" s="33" t="s">
        <v>14</v>
      </c>
    </row>
    <row r="7" ht="14.25" customHeight="1">
      <c r="A7" s="33">
        <v>2.0</v>
      </c>
      <c r="B7" s="33" t="str">
        <f t="array" ref="B7">XLOOKUP(BOM_L1_L2!$D7,'Bill of Materials'!$C$22:$C$61,'Bill of Materials'!$E$22:$E$61)</f>
        <v>LSCCHSD0003</v>
      </c>
      <c r="C7" s="33" t="str">
        <f t="array" ref="C7">XLOOKUP(B7,BOM_FG_L1!$C$2:$C$21,BOM_FG_L1!$D$2:$D$21)</f>
        <v>Chassis - SD</v>
      </c>
      <c r="D7" s="33" t="s">
        <v>76</v>
      </c>
      <c r="E7" s="33" t="s">
        <v>77</v>
      </c>
      <c r="F7" s="33">
        <v>1.0</v>
      </c>
      <c r="G7" s="33" t="s">
        <v>14</v>
      </c>
    </row>
    <row r="8" ht="14.25" customHeight="1">
      <c r="A8" s="33">
        <v>2.0</v>
      </c>
      <c r="B8" s="33" t="str">
        <f t="array" ref="B8">XLOOKUP(BOM_L1_L2!$D8,'Bill of Materials'!$C$22:$C$61,'Bill of Materials'!$E$22:$E$61)</f>
        <v>LSCBDSD0004</v>
      </c>
      <c r="C8" s="33" t="str">
        <f t="array" ref="C8">XLOOKUP(B8,BOM_FG_L1!$C$2:$C$21,BOM_FG_L1!$D$2:$D$21)</f>
        <v>Body - SD</v>
      </c>
      <c r="D8" s="33" t="s">
        <v>78</v>
      </c>
      <c r="E8" s="33" t="s">
        <v>79</v>
      </c>
      <c r="F8" s="33">
        <v>5.0</v>
      </c>
      <c r="G8" s="33" t="s">
        <v>69</v>
      </c>
    </row>
    <row r="9" ht="14.25" customHeight="1">
      <c r="A9" s="33">
        <v>2.0</v>
      </c>
      <c r="B9" s="33" t="str">
        <f t="array" ref="B9">XLOOKUP(BOM_L1_L2!$D9,'Bill of Materials'!$C$22:$C$61,'Bill of Materials'!$E$22:$E$61)</f>
        <v>LSCBDSD0004</v>
      </c>
      <c r="C9" s="33" t="str">
        <f t="array" ref="C9">XLOOKUP(B9,BOM_FG_L1!$C$2:$C$21,BOM_FG_L1!$D$2:$D$21)</f>
        <v>Body - SD</v>
      </c>
      <c r="D9" s="33" t="s">
        <v>80</v>
      </c>
      <c r="E9" s="33" t="s">
        <v>81</v>
      </c>
      <c r="F9" s="33">
        <v>1.0</v>
      </c>
      <c r="G9" s="33" t="s">
        <v>69</v>
      </c>
    </row>
    <row r="10" ht="14.25" customHeight="1">
      <c r="A10" s="33">
        <v>2.0</v>
      </c>
      <c r="B10" s="33" t="str">
        <f t="array" ref="B10">XLOOKUP(BOM_L1_L2!$D10,'Bill of Materials'!$C$22:$C$61,'Bill of Materials'!$E$22:$E$61)</f>
        <v>LSCINSD0005</v>
      </c>
      <c r="C10" s="33" t="str">
        <f t="array" ref="C10">XLOOKUP(B10,BOM_FG_L1!$C$2:$C$21,BOM_FG_L1!$D$2:$D$21)</f>
        <v>Interior - SD</v>
      </c>
      <c r="D10" s="33" t="s">
        <v>82</v>
      </c>
      <c r="E10" s="33" t="s">
        <v>83</v>
      </c>
      <c r="F10" s="33">
        <v>5.0</v>
      </c>
      <c r="G10" s="33" t="s">
        <v>69</v>
      </c>
    </row>
    <row r="11" ht="14.25" customHeight="1">
      <c r="A11" s="33">
        <v>2.0</v>
      </c>
      <c r="B11" s="33" t="str">
        <f t="array" ref="B11">XLOOKUP(BOM_L1_L2!$D11,'Bill of Materials'!$C$22:$C$61,'Bill of Materials'!$E$22:$E$61)</f>
        <v>LSCINSD0005</v>
      </c>
      <c r="C11" s="33" t="str">
        <f t="array" ref="C11">XLOOKUP(B11,BOM_FG_L1!$C$2:$C$21,BOM_FG_L1!$D$2:$D$21)</f>
        <v>Interior - SD</v>
      </c>
      <c r="D11" s="33" t="s">
        <v>84</v>
      </c>
      <c r="E11" s="33" t="s">
        <v>85</v>
      </c>
      <c r="F11" s="33">
        <v>1.0</v>
      </c>
      <c r="G11" s="33" t="s">
        <v>69</v>
      </c>
    </row>
    <row r="12" ht="14.25" customHeight="1">
      <c r="A12" s="33">
        <v>2.0</v>
      </c>
      <c r="B12" s="33" t="str">
        <f t="array" ref="B12">XLOOKUP(BOM_L1_L2!$D12,'Bill of Materials'!$C$22:$C$61,'Bill of Materials'!$E$22:$E$61)</f>
        <v>LSCENSD0001-LX</v>
      </c>
      <c r="C12" s="33" t="str">
        <f t="array" ref="C12">XLOOKUP(B12,BOM_FG_L1!$C$2:$C$21,BOM_FG_L1!$D$2:$D$21)</f>
        <v>Engine - SD - LX</v>
      </c>
      <c r="D12" s="33" t="s">
        <v>86</v>
      </c>
      <c r="E12" s="33" t="s">
        <v>87</v>
      </c>
      <c r="F12" s="33">
        <v>1.0</v>
      </c>
      <c r="G12" s="33" t="s">
        <v>14</v>
      </c>
    </row>
    <row r="13" ht="14.25" customHeight="1">
      <c r="A13" s="33">
        <v>2.0</v>
      </c>
      <c r="B13" s="33" t="str">
        <f t="array" ref="B13">XLOOKUP(BOM_L1_L2!$D13,'Bill of Materials'!$C$22:$C$61,'Bill of Materials'!$E$22:$E$61)</f>
        <v>LSCENSD0001-LX</v>
      </c>
      <c r="C13" s="33" t="str">
        <f t="array" ref="C13">XLOOKUP(B13,BOM_FG_L1!$C$2:$C$21,BOM_FG_L1!$D$2:$D$21)</f>
        <v>Engine - SD - LX</v>
      </c>
      <c r="D13" s="33" t="s">
        <v>88</v>
      </c>
      <c r="E13" s="33" t="s">
        <v>89</v>
      </c>
      <c r="F13" s="33">
        <v>4.0</v>
      </c>
      <c r="G13" s="33" t="s">
        <v>69</v>
      </c>
    </row>
    <row r="14" ht="14.25" customHeight="1">
      <c r="A14" s="33">
        <v>2.0</v>
      </c>
      <c r="B14" s="33" t="str">
        <f t="array" ref="B14">XLOOKUP(BOM_L1_L2!$D14,'Bill of Materials'!$C$22:$C$61,'Bill of Materials'!$E$22:$E$61)</f>
        <v>LSCTRSD0002-LX</v>
      </c>
      <c r="C14" s="33" t="str">
        <f t="array" ref="C14">XLOOKUP(B14,BOM_FG_L1!$C$2:$C$21,BOM_FG_L1!$D$2:$D$21)</f>
        <v>Transmission - SD - LX</v>
      </c>
      <c r="D14" s="33" t="s">
        <v>90</v>
      </c>
      <c r="E14" s="33" t="s">
        <v>91</v>
      </c>
      <c r="F14" s="33">
        <v>1.0</v>
      </c>
      <c r="G14" s="33" t="s">
        <v>14</v>
      </c>
    </row>
    <row r="15" ht="14.25" customHeight="1">
      <c r="A15" s="33">
        <v>2.0</v>
      </c>
      <c r="B15" s="33" t="str">
        <f t="array" ref="B15">XLOOKUP(BOM_L1_L2!$D15,'Bill of Materials'!$C$22:$C$61,'Bill of Materials'!$E$22:$E$61)</f>
        <v>LSCTRSD0002-LX</v>
      </c>
      <c r="C15" s="33" t="str">
        <f t="array" ref="C15">XLOOKUP(B15,BOM_FG_L1!$C$2:$C$21,BOM_FG_L1!$D$2:$D$21)</f>
        <v>Transmission - SD - LX</v>
      </c>
      <c r="D15" s="33" t="s">
        <v>92</v>
      </c>
      <c r="E15" s="33" t="s">
        <v>93</v>
      </c>
      <c r="F15" s="33">
        <v>1.0</v>
      </c>
      <c r="G15" s="33" t="s">
        <v>69</v>
      </c>
    </row>
    <row r="16" ht="14.25" customHeight="1">
      <c r="A16" s="33">
        <v>2.0</v>
      </c>
      <c r="B16" s="33" t="str">
        <f t="array" ref="B16">XLOOKUP(BOM_L1_L2!$D16,'Bill of Materials'!$C$22:$C$61,'Bill of Materials'!$E$22:$E$61)</f>
        <v>LSCCHSD0003-LX</v>
      </c>
      <c r="C16" s="33" t="str">
        <f t="array" ref="C16">XLOOKUP(B16,BOM_FG_L1!$C$2:$C$21,BOM_FG_L1!$D$2:$D$21)</f>
        <v>Chassis - SD - LX</v>
      </c>
      <c r="D16" s="33" t="s">
        <v>94</v>
      </c>
      <c r="E16" s="33" t="s">
        <v>95</v>
      </c>
      <c r="F16" s="33">
        <v>1.0</v>
      </c>
      <c r="G16" s="33" t="s">
        <v>14</v>
      </c>
    </row>
    <row r="17" ht="14.25" customHeight="1">
      <c r="A17" s="33">
        <v>2.0</v>
      </c>
      <c r="B17" s="33" t="str">
        <f t="array" ref="B17">XLOOKUP(BOM_L1_L2!$D17,'Bill of Materials'!$C$22:$C$61,'Bill of Materials'!$E$22:$E$61)</f>
        <v>LSCCHSD0003-LX</v>
      </c>
      <c r="C17" s="33" t="str">
        <f t="array" ref="C17">XLOOKUP(B17,BOM_FG_L1!$C$2:$C$21,BOM_FG_L1!$D$2:$D$21)</f>
        <v>Chassis - SD - LX</v>
      </c>
      <c r="D17" s="33" t="s">
        <v>96</v>
      </c>
      <c r="E17" s="33" t="s">
        <v>97</v>
      </c>
      <c r="F17" s="33">
        <v>1.0</v>
      </c>
      <c r="G17" s="33" t="s">
        <v>14</v>
      </c>
    </row>
    <row r="18" ht="14.25" customHeight="1">
      <c r="A18" s="33">
        <v>2.0</v>
      </c>
      <c r="B18" s="33" t="str">
        <f t="array" ref="B18">XLOOKUP(BOM_L1_L2!$D18,'Bill of Materials'!$C$22:$C$61,'Bill of Materials'!$E$22:$E$61)</f>
        <v>LSCBDSD0004-LX</v>
      </c>
      <c r="C18" s="33" t="str">
        <f t="array" ref="C18">XLOOKUP(B18,BOM_FG_L1!$C$2:$C$21,BOM_FG_L1!$D$2:$D$21)</f>
        <v>Body - SD - LX</v>
      </c>
      <c r="D18" s="33" t="s">
        <v>98</v>
      </c>
      <c r="E18" s="33" t="s">
        <v>99</v>
      </c>
      <c r="F18" s="33">
        <v>5.0</v>
      </c>
      <c r="G18" s="33" t="s">
        <v>69</v>
      </c>
    </row>
    <row r="19" ht="14.25" customHeight="1">
      <c r="A19" s="33">
        <v>2.0</v>
      </c>
      <c r="B19" s="33" t="str">
        <f t="array" ref="B19">XLOOKUP(BOM_L1_L2!$D19,'Bill of Materials'!$C$22:$C$61,'Bill of Materials'!$E$22:$E$61)</f>
        <v>LSCBDSD0004-LX</v>
      </c>
      <c r="C19" s="33" t="str">
        <f t="array" ref="C19">XLOOKUP(B19,BOM_FG_L1!$C$2:$C$21,BOM_FG_L1!$D$2:$D$21)</f>
        <v>Body - SD - LX</v>
      </c>
      <c r="D19" s="33" t="s">
        <v>100</v>
      </c>
      <c r="E19" s="33" t="s">
        <v>101</v>
      </c>
      <c r="F19" s="33">
        <v>1.0</v>
      </c>
      <c r="G19" s="33" t="s">
        <v>69</v>
      </c>
    </row>
    <row r="20" ht="14.25" customHeight="1">
      <c r="A20" s="33">
        <v>2.0</v>
      </c>
      <c r="B20" s="33" t="str">
        <f t="array" ref="B20">XLOOKUP(BOM_L1_L2!$D20,'Bill of Materials'!$C$22:$C$61,'Bill of Materials'!$E$22:$E$61)</f>
        <v>LSCINSD0005-LX</v>
      </c>
      <c r="C20" s="33" t="str">
        <f t="array" ref="C20">XLOOKUP(B20,BOM_FG_L1!$C$2:$C$21,BOM_FG_L1!$D$2:$D$21)</f>
        <v>Interior - SD - LX</v>
      </c>
      <c r="D20" s="33" t="s">
        <v>102</v>
      </c>
      <c r="E20" s="33" t="s">
        <v>103</v>
      </c>
      <c r="F20" s="33">
        <v>5.0</v>
      </c>
      <c r="G20" s="33" t="s">
        <v>69</v>
      </c>
    </row>
    <row r="21" ht="14.25" customHeight="1">
      <c r="A21" s="33">
        <v>2.0</v>
      </c>
      <c r="B21" s="33" t="str">
        <f t="array" ref="B21">XLOOKUP(BOM_L1_L2!$D21,'Bill of Materials'!$C$22:$C$61,'Bill of Materials'!$E$22:$E$61)</f>
        <v>LSCINSD0005-LX</v>
      </c>
      <c r="C21" s="33" t="str">
        <f t="array" ref="C21">XLOOKUP(B21,BOM_FG_L1!$C$2:$C$21,BOM_FG_L1!$D$2:$D$21)</f>
        <v>Interior - SD - LX</v>
      </c>
      <c r="D21" s="33" t="s">
        <v>104</v>
      </c>
      <c r="E21" s="33" t="s">
        <v>105</v>
      </c>
      <c r="F21" s="33">
        <v>1.0</v>
      </c>
      <c r="G21" s="33" t="s">
        <v>69</v>
      </c>
    </row>
    <row r="22" ht="14.25" customHeight="1">
      <c r="A22" s="33">
        <v>2.0</v>
      </c>
      <c r="B22" s="33" t="str">
        <f t="array" ref="B22">XLOOKUP(BOM_L1_L2!$D22,'Bill of Materials'!$C$22:$C$61,'Bill of Materials'!$E$22:$E$61)</f>
        <v>LSCENSV0006</v>
      </c>
      <c r="C22" s="33" t="str">
        <f t="array" ref="C22">XLOOKUP(B22,BOM_FG_L1!$C$2:$C$21,BOM_FG_L1!$D$2:$D$21)</f>
        <v>Engine - SUV</v>
      </c>
      <c r="D22" s="33" t="s">
        <v>106</v>
      </c>
      <c r="E22" s="33" t="s">
        <v>107</v>
      </c>
      <c r="F22" s="33">
        <v>1.0</v>
      </c>
      <c r="G22" s="33" t="s">
        <v>14</v>
      </c>
    </row>
    <row r="23" ht="14.25" customHeight="1">
      <c r="A23" s="33">
        <v>2.0</v>
      </c>
      <c r="B23" s="33" t="str">
        <f t="array" ref="B23">XLOOKUP(BOM_L1_L2!$D23,'Bill of Materials'!$C$22:$C$61,'Bill of Materials'!$E$22:$E$61)</f>
        <v>LSCENSV0006</v>
      </c>
      <c r="C23" s="33" t="str">
        <f t="array" ref="C23">XLOOKUP(B23,BOM_FG_L1!$C$2:$C$21,BOM_FG_L1!$D$2:$D$21)</f>
        <v>Engine - SUV</v>
      </c>
      <c r="D23" s="33" t="s">
        <v>108</v>
      </c>
      <c r="E23" s="33" t="s">
        <v>109</v>
      </c>
      <c r="F23" s="33">
        <v>6.0</v>
      </c>
      <c r="G23" s="33" t="s">
        <v>69</v>
      </c>
    </row>
    <row r="24" ht="14.25" customHeight="1">
      <c r="A24" s="33">
        <v>2.0</v>
      </c>
      <c r="B24" s="33" t="str">
        <f t="array" ref="B24">XLOOKUP(BOM_L1_L2!$D24,'Bill of Materials'!$C$22:$C$61,'Bill of Materials'!$E$22:$E$61)</f>
        <v>LSCTRSV0007</v>
      </c>
      <c r="C24" s="33" t="str">
        <f t="array" ref="C24">XLOOKUP(B24,BOM_FG_L1!$C$2:$C$21,BOM_FG_L1!$D$2:$D$21)</f>
        <v>Transmission - SUV</v>
      </c>
      <c r="D24" s="33" t="s">
        <v>110</v>
      </c>
      <c r="E24" s="33" t="s">
        <v>111</v>
      </c>
      <c r="F24" s="33">
        <v>1.0</v>
      </c>
      <c r="G24" s="33" t="s">
        <v>14</v>
      </c>
    </row>
    <row r="25" ht="14.25" customHeight="1">
      <c r="A25" s="33">
        <v>2.0</v>
      </c>
      <c r="B25" s="33" t="str">
        <f t="array" ref="B25">XLOOKUP(BOM_L1_L2!$D25,'Bill of Materials'!$C$22:$C$61,'Bill of Materials'!$E$22:$E$61)</f>
        <v>LSCTRSV0007</v>
      </c>
      <c r="C25" s="33" t="str">
        <f t="array" ref="C25">XLOOKUP(B25,BOM_FG_L1!$C$2:$C$21,BOM_FG_L1!$D$2:$D$21)</f>
        <v>Transmission - SUV</v>
      </c>
      <c r="D25" s="33" t="s">
        <v>112</v>
      </c>
      <c r="E25" s="33" t="s">
        <v>113</v>
      </c>
      <c r="F25" s="33">
        <v>1.0</v>
      </c>
      <c r="G25" s="33" t="s">
        <v>69</v>
      </c>
    </row>
    <row r="26" ht="14.25" customHeight="1">
      <c r="A26" s="33">
        <v>2.0</v>
      </c>
      <c r="B26" s="33" t="str">
        <f t="array" ref="B26">XLOOKUP(BOM_L1_L2!$D26,'Bill of Materials'!$C$22:$C$61,'Bill of Materials'!$E$22:$E$61)</f>
        <v>LSCHSV0008</v>
      </c>
      <c r="C26" s="33" t="str">
        <f t="array" ref="C26">XLOOKUP(B26,BOM_FG_L1!$C$2:$C$21,BOM_FG_L1!$D$2:$D$21)</f>
        <v>Chassis - SUV</v>
      </c>
      <c r="D26" s="33" t="s">
        <v>114</v>
      </c>
      <c r="E26" s="33" t="s">
        <v>115</v>
      </c>
      <c r="F26" s="33">
        <v>1.0</v>
      </c>
      <c r="G26" s="33" t="s">
        <v>14</v>
      </c>
    </row>
    <row r="27" ht="14.25" customHeight="1">
      <c r="A27" s="33">
        <v>2.0</v>
      </c>
      <c r="B27" s="33" t="str">
        <f t="array" ref="B27">XLOOKUP(BOM_L1_L2!$D27,'Bill of Materials'!$C$22:$C$61,'Bill of Materials'!$E$22:$E$61)</f>
        <v>LSCHSV0008</v>
      </c>
      <c r="C27" s="33" t="str">
        <f t="array" ref="C27">XLOOKUP(B27,BOM_FG_L1!$C$2:$C$21,BOM_FG_L1!$D$2:$D$21)</f>
        <v>Chassis - SUV</v>
      </c>
      <c r="D27" s="33" t="s">
        <v>116</v>
      </c>
      <c r="E27" s="33" t="s">
        <v>117</v>
      </c>
      <c r="F27" s="33">
        <v>1.0</v>
      </c>
      <c r="G27" s="33" t="s">
        <v>14</v>
      </c>
    </row>
    <row r="28" ht="14.25" customHeight="1">
      <c r="A28" s="33">
        <v>2.0</v>
      </c>
      <c r="B28" s="33" t="str">
        <f t="array" ref="B28">XLOOKUP(BOM_L1_L2!$D28,'Bill of Materials'!$C$22:$C$61,'Bill of Materials'!$E$22:$E$61)</f>
        <v>LSCBDSV0009</v>
      </c>
      <c r="C28" s="33" t="str">
        <f t="array" ref="C28">XLOOKUP(B28,BOM_FG_L1!$C$2:$C$21,BOM_FG_L1!$D$2:$D$21)</f>
        <v>Body - SUV</v>
      </c>
      <c r="D28" s="33" t="s">
        <v>118</v>
      </c>
      <c r="E28" s="33" t="s">
        <v>119</v>
      </c>
      <c r="F28" s="33">
        <v>5.0</v>
      </c>
      <c r="G28" s="33" t="s">
        <v>69</v>
      </c>
    </row>
    <row r="29" ht="14.25" customHeight="1">
      <c r="A29" s="33">
        <v>2.0</v>
      </c>
      <c r="B29" s="33" t="str">
        <f t="array" ref="B29">XLOOKUP(BOM_L1_L2!$D29,'Bill of Materials'!$C$22:$C$61,'Bill of Materials'!$E$22:$E$61)</f>
        <v>LSCBDSV0009</v>
      </c>
      <c r="C29" s="33" t="str">
        <f t="array" ref="C29">XLOOKUP(B29,BOM_FG_L1!$C$2:$C$21,BOM_FG_L1!$D$2:$D$21)</f>
        <v>Body - SUV</v>
      </c>
      <c r="D29" s="33" t="s">
        <v>120</v>
      </c>
      <c r="E29" s="33" t="s">
        <v>121</v>
      </c>
      <c r="F29" s="33">
        <v>1.0</v>
      </c>
      <c r="G29" s="33" t="s">
        <v>69</v>
      </c>
    </row>
    <row r="30" ht="14.25" customHeight="1">
      <c r="A30" s="33">
        <v>2.0</v>
      </c>
      <c r="B30" s="33" t="str">
        <f t="array" ref="B30">XLOOKUP(BOM_L1_L2!$D30,'Bill of Materials'!$C$22:$C$61,'Bill of Materials'!$E$22:$E$61)</f>
        <v>LSCINSV0010</v>
      </c>
      <c r="C30" s="33" t="str">
        <f t="array" ref="C30">XLOOKUP(B30,BOM_FG_L1!$C$2:$C$21,BOM_FG_L1!$D$2:$D$21)</f>
        <v>Interior - SUV</v>
      </c>
      <c r="D30" s="33" t="s">
        <v>122</v>
      </c>
      <c r="E30" s="33" t="s">
        <v>123</v>
      </c>
      <c r="F30" s="33">
        <v>7.0</v>
      </c>
      <c r="G30" s="33" t="s">
        <v>69</v>
      </c>
    </row>
    <row r="31" ht="14.25" customHeight="1">
      <c r="A31" s="33">
        <v>2.0</v>
      </c>
      <c r="B31" s="33" t="str">
        <f t="array" ref="B31">XLOOKUP(BOM_L1_L2!$D31,'Bill of Materials'!$C$22:$C$61,'Bill of Materials'!$E$22:$E$61)</f>
        <v>LSCINSV0010</v>
      </c>
      <c r="C31" s="33" t="str">
        <f t="array" ref="C31">XLOOKUP(B31,BOM_FG_L1!$C$2:$C$21,BOM_FG_L1!$D$2:$D$21)</f>
        <v>Interior - SUV</v>
      </c>
      <c r="D31" s="33" t="s">
        <v>124</v>
      </c>
      <c r="E31" s="33" t="s">
        <v>125</v>
      </c>
      <c r="F31" s="33">
        <v>1.0</v>
      </c>
      <c r="G31" s="33" t="s">
        <v>69</v>
      </c>
    </row>
    <row r="32" ht="14.25" customHeight="1">
      <c r="A32" s="33">
        <v>2.0</v>
      </c>
      <c r="B32" s="33" t="str">
        <f t="array" ref="B32">XLOOKUP(BOM_L1_L2!$D32,'Bill of Materials'!$C$22:$C$61,'Bill of Materials'!$E$22:$E$61)</f>
        <v>LSCENSV0006-LX</v>
      </c>
      <c r="C32" s="33" t="str">
        <f t="array" ref="C32">XLOOKUP(B32,BOM_FG_L1!$C$2:$C$21,BOM_FG_L1!$D$2:$D$21)</f>
        <v>Engine - SUV - LX</v>
      </c>
      <c r="D32" s="33" t="s">
        <v>126</v>
      </c>
      <c r="E32" s="33" t="s">
        <v>127</v>
      </c>
      <c r="F32" s="33">
        <v>1.0</v>
      </c>
      <c r="G32" s="33" t="s">
        <v>14</v>
      </c>
    </row>
    <row r="33" ht="14.25" customHeight="1">
      <c r="A33" s="33">
        <v>2.0</v>
      </c>
      <c r="B33" s="33" t="str">
        <f t="array" ref="B33">XLOOKUP(BOM_L1_L2!$D33,'Bill of Materials'!$C$22:$C$61,'Bill of Materials'!$E$22:$E$61)</f>
        <v>LSCENSV0006-LX</v>
      </c>
      <c r="C33" s="33" t="str">
        <f t="array" ref="C33">XLOOKUP(B33,BOM_FG_L1!$C$2:$C$21,BOM_FG_L1!$D$2:$D$21)</f>
        <v>Engine - SUV - LX</v>
      </c>
      <c r="D33" s="33" t="s">
        <v>128</v>
      </c>
      <c r="E33" s="33" t="s">
        <v>129</v>
      </c>
      <c r="F33" s="33">
        <v>6.0</v>
      </c>
      <c r="G33" s="33" t="s">
        <v>69</v>
      </c>
    </row>
    <row r="34" ht="14.25" customHeight="1">
      <c r="A34" s="33">
        <v>2.0</v>
      </c>
      <c r="B34" s="33" t="str">
        <f t="array" ref="B34">XLOOKUP(BOM_L1_L2!$D34,'Bill of Materials'!$C$22:$C$61,'Bill of Materials'!$E$22:$E$61)</f>
        <v>LSCTRSV0007-LX</v>
      </c>
      <c r="C34" s="33" t="str">
        <f t="array" ref="C34">XLOOKUP(B34,BOM_FG_L1!$C$2:$C$21,BOM_FG_L1!$D$2:$D$21)</f>
        <v>Transmission - SUV - LX</v>
      </c>
      <c r="D34" s="33" t="s">
        <v>130</v>
      </c>
      <c r="E34" s="33" t="s">
        <v>131</v>
      </c>
      <c r="F34" s="33">
        <v>1.0</v>
      </c>
      <c r="G34" s="33" t="s">
        <v>14</v>
      </c>
    </row>
    <row r="35" ht="14.25" customHeight="1">
      <c r="A35" s="33">
        <v>2.0</v>
      </c>
      <c r="B35" s="33" t="str">
        <f t="array" ref="B35">XLOOKUP(BOM_L1_L2!$D35,'Bill of Materials'!$C$22:$C$61,'Bill of Materials'!$E$22:$E$61)</f>
        <v>LSCTRSV0007-LX</v>
      </c>
      <c r="C35" s="33" t="str">
        <f t="array" ref="C35">XLOOKUP(B35,BOM_FG_L1!$C$2:$C$21,BOM_FG_L1!$D$2:$D$21)</f>
        <v>Transmission - SUV - LX</v>
      </c>
      <c r="D35" s="33" t="s">
        <v>132</v>
      </c>
      <c r="E35" s="33" t="s">
        <v>133</v>
      </c>
      <c r="F35" s="33">
        <v>1.0</v>
      </c>
      <c r="G35" s="33" t="s">
        <v>69</v>
      </c>
    </row>
    <row r="36" ht="14.25" customHeight="1">
      <c r="A36" s="33">
        <v>2.0</v>
      </c>
      <c r="B36" s="33" t="str">
        <f t="array" ref="B36">XLOOKUP(BOM_L1_L2!$D36,'Bill of Materials'!$C$22:$C$61,'Bill of Materials'!$E$22:$E$61)</f>
        <v>LSCHSV0008-LX</v>
      </c>
      <c r="C36" s="33" t="str">
        <f t="array" ref="C36">XLOOKUP(B36,BOM_FG_L1!$C$2:$C$21,BOM_FG_L1!$D$2:$D$21)</f>
        <v>Chassis - SUV - LX</v>
      </c>
      <c r="D36" s="33" t="s">
        <v>134</v>
      </c>
      <c r="E36" s="33" t="s">
        <v>135</v>
      </c>
      <c r="F36" s="33">
        <v>1.0</v>
      </c>
      <c r="G36" s="33" t="s">
        <v>14</v>
      </c>
    </row>
    <row r="37" ht="14.25" customHeight="1">
      <c r="A37" s="33">
        <v>2.0</v>
      </c>
      <c r="B37" s="33" t="str">
        <f t="array" ref="B37">XLOOKUP(BOM_L1_L2!$D37,'Bill of Materials'!$C$22:$C$61,'Bill of Materials'!$E$22:$E$61)</f>
        <v>LSCHSV0008-LX</v>
      </c>
      <c r="C37" s="33" t="str">
        <f t="array" ref="C37">XLOOKUP(B37,BOM_FG_L1!$C$2:$C$21,BOM_FG_L1!$D$2:$D$21)</f>
        <v>Chassis - SUV - LX</v>
      </c>
      <c r="D37" s="33" t="s">
        <v>136</v>
      </c>
      <c r="E37" s="33" t="s">
        <v>137</v>
      </c>
      <c r="F37" s="33">
        <v>1.0</v>
      </c>
      <c r="G37" s="33" t="s">
        <v>14</v>
      </c>
    </row>
    <row r="38" ht="14.25" customHeight="1">
      <c r="A38" s="33">
        <v>2.0</v>
      </c>
      <c r="B38" s="33" t="str">
        <f t="array" ref="B38">XLOOKUP(BOM_L1_L2!$D38,'Bill of Materials'!$C$22:$C$61,'Bill of Materials'!$E$22:$E$61)</f>
        <v>LSCBDSV0009-LX</v>
      </c>
      <c r="C38" s="33" t="str">
        <f t="array" ref="C38">XLOOKUP(B38,BOM_FG_L1!$C$2:$C$21,BOM_FG_L1!$D$2:$D$21)</f>
        <v>Body - SUV - LX</v>
      </c>
      <c r="D38" s="33" t="s">
        <v>138</v>
      </c>
      <c r="E38" s="33" t="s">
        <v>139</v>
      </c>
      <c r="F38" s="33">
        <v>5.0</v>
      </c>
      <c r="G38" s="33" t="s">
        <v>69</v>
      </c>
    </row>
    <row r="39" ht="14.25" customHeight="1">
      <c r="A39" s="33">
        <v>2.0</v>
      </c>
      <c r="B39" s="33" t="str">
        <f t="array" ref="B39">XLOOKUP(BOM_L1_L2!$D39,'Bill of Materials'!$C$22:$C$61,'Bill of Materials'!$E$22:$E$61)</f>
        <v>LSCBDSV0009-LX</v>
      </c>
      <c r="C39" s="33" t="str">
        <f t="array" ref="C39">XLOOKUP(B39,BOM_FG_L1!$C$2:$C$21,BOM_FG_L1!$D$2:$D$21)</f>
        <v>Body - SUV - LX</v>
      </c>
      <c r="D39" s="33" t="s">
        <v>140</v>
      </c>
      <c r="E39" s="33" t="s">
        <v>141</v>
      </c>
      <c r="F39" s="33">
        <v>1.0</v>
      </c>
      <c r="G39" s="33" t="s">
        <v>69</v>
      </c>
    </row>
    <row r="40" ht="14.25" customHeight="1">
      <c r="A40" s="33">
        <v>2.0</v>
      </c>
      <c r="B40" s="33" t="str">
        <f t="array" ref="B40">XLOOKUP(BOM_L1_L2!$D40,'Bill of Materials'!$C$22:$C$61,'Bill of Materials'!$E$22:$E$61)</f>
        <v>LSCINSV0010-LX</v>
      </c>
      <c r="C40" s="33" t="str">
        <f t="array" ref="C40">XLOOKUP(B40,BOM_FG_L1!$C$2:$C$21,BOM_FG_L1!$D$2:$D$21)</f>
        <v>Interior - SUV - LX</v>
      </c>
      <c r="D40" s="33" t="s">
        <v>142</v>
      </c>
      <c r="E40" s="33" t="s">
        <v>143</v>
      </c>
      <c r="F40" s="33">
        <v>7.0</v>
      </c>
      <c r="G40" s="33" t="s">
        <v>69</v>
      </c>
    </row>
    <row r="41" ht="14.25" customHeight="1">
      <c r="A41" s="33">
        <v>2.0</v>
      </c>
      <c r="B41" s="33" t="str">
        <f t="array" ref="B41">XLOOKUP(BOM_L1_L2!$D41,'Bill of Materials'!$C$22:$C$61,'Bill of Materials'!$E$22:$E$61)</f>
        <v>LSCINSV0010-LX</v>
      </c>
      <c r="C41" s="33" t="str">
        <f t="array" ref="C41">XLOOKUP(B41,BOM_FG_L1!$C$2:$C$21,BOM_FG_L1!$D$2:$D$21)</f>
        <v>Interior - SUV - LX</v>
      </c>
      <c r="D41" s="33" t="s">
        <v>144</v>
      </c>
      <c r="E41" s="33" t="s">
        <v>145</v>
      </c>
      <c r="F41" s="33">
        <v>1.0</v>
      </c>
      <c r="G41" s="33" t="s">
        <v>69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9.71"/>
    <col customWidth="1" min="3" max="3" width="13.71"/>
    <col customWidth="1" min="4" max="26" width="8.71"/>
  </cols>
  <sheetData>
    <row r="1" ht="14.25" customHeight="1">
      <c r="A1" s="32" t="s">
        <v>253</v>
      </c>
      <c r="B1" s="32" t="s">
        <v>254</v>
      </c>
      <c r="C1" s="32" t="s">
        <v>255</v>
      </c>
    </row>
    <row r="2" ht="14.25" customHeight="1">
      <c r="A2" s="33" t="s">
        <v>256</v>
      </c>
      <c r="B2" s="33" t="s">
        <v>17</v>
      </c>
      <c r="C2" s="33">
        <v>591.0</v>
      </c>
    </row>
    <row r="3" ht="14.25" customHeight="1">
      <c r="A3" s="33" t="s">
        <v>256</v>
      </c>
      <c r="B3" s="33" t="s">
        <v>32</v>
      </c>
      <c r="C3" s="33">
        <v>401.0</v>
      </c>
    </row>
    <row r="4" ht="14.25" customHeight="1">
      <c r="A4" s="33" t="s">
        <v>256</v>
      </c>
      <c r="B4" s="33" t="s">
        <v>44</v>
      </c>
      <c r="C4" s="33">
        <v>574.0</v>
      </c>
    </row>
    <row r="5" ht="14.25" customHeight="1">
      <c r="A5" s="33" t="s">
        <v>256</v>
      </c>
      <c r="B5" s="33" t="s">
        <v>56</v>
      </c>
      <c r="C5" s="33">
        <v>379.0</v>
      </c>
    </row>
    <row r="6" ht="14.25" customHeight="1">
      <c r="A6" s="33" t="s">
        <v>257</v>
      </c>
      <c r="B6" s="33" t="s">
        <v>17</v>
      </c>
      <c r="C6" s="33">
        <v>548.0</v>
      </c>
    </row>
    <row r="7" ht="14.25" customHeight="1">
      <c r="A7" s="33" t="s">
        <v>257</v>
      </c>
      <c r="B7" s="33" t="s">
        <v>32</v>
      </c>
      <c r="C7" s="33">
        <v>363.0</v>
      </c>
    </row>
    <row r="8" ht="14.25" customHeight="1">
      <c r="A8" s="33" t="s">
        <v>257</v>
      </c>
      <c r="B8" s="33" t="s">
        <v>44</v>
      </c>
      <c r="C8" s="33">
        <v>544.0</v>
      </c>
    </row>
    <row r="9" ht="14.25" customHeight="1">
      <c r="A9" s="33" t="s">
        <v>257</v>
      </c>
      <c r="B9" s="33" t="s">
        <v>56</v>
      </c>
      <c r="C9" s="33">
        <v>343.0</v>
      </c>
    </row>
    <row r="10" ht="14.25" customHeight="1">
      <c r="A10" s="33" t="s">
        <v>258</v>
      </c>
      <c r="B10" s="33" t="s">
        <v>17</v>
      </c>
      <c r="C10" s="33">
        <v>601.0</v>
      </c>
    </row>
    <row r="11" ht="14.25" customHeight="1">
      <c r="A11" s="33" t="s">
        <v>258</v>
      </c>
      <c r="B11" s="33" t="s">
        <v>32</v>
      </c>
      <c r="C11" s="33">
        <v>387.0</v>
      </c>
    </row>
    <row r="12" ht="14.25" customHeight="1">
      <c r="A12" s="33" t="s">
        <v>258</v>
      </c>
      <c r="B12" s="33" t="s">
        <v>44</v>
      </c>
      <c r="C12" s="33">
        <v>613.0</v>
      </c>
    </row>
    <row r="13" ht="14.25" customHeight="1">
      <c r="A13" s="33" t="s">
        <v>258</v>
      </c>
      <c r="B13" s="33" t="s">
        <v>56</v>
      </c>
      <c r="C13" s="33">
        <v>409.0</v>
      </c>
    </row>
    <row r="14" ht="14.25" customHeight="1">
      <c r="A14" s="33" t="s">
        <v>259</v>
      </c>
      <c r="B14" s="33" t="s">
        <v>17</v>
      </c>
      <c r="C14" s="33">
        <v>662.0</v>
      </c>
    </row>
    <row r="15" ht="14.25" customHeight="1">
      <c r="A15" s="33" t="s">
        <v>259</v>
      </c>
      <c r="B15" s="33" t="s">
        <v>32</v>
      </c>
      <c r="C15" s="33">
        <v>451.0</v>
      </c>
    </row>
    <row r="16" ht="14.25" customHeight="1">
      <c r="A16" s="33" t="s">
        <v>259</v>
      </c>
      <c r="B16" s="33" t="s">
        <v>44</v>
      </c>
      <c r="C16" s="33">
        <v>682.0</v>
      </c>
    </row>
    <row r="17" ht="14.25" customHeight="1">
      <c r="A17" s="33" t="s">
        <v>259</v>
      </c>
      <c r="B17" s="33" t="s">
        <v>56</v>
      </c>
      <c r="C17" s="33">
        <v>443.0</v>
      </c>
    </row>
    <row r="18" ht="14.25" customHeight="1">
      <c r="A18" s="33" t="s">
        <v>260</v>
      </c>
      <c r="B18" s="33" t="s">
        <v>17</v>
      </c>
      <c r="C18" s="33">
        <v>742.0</v>
      </c>
    </row>
    <row r="19" ht="14.25" customHeight="1">
      <c r="A19" s="33" t="s">
        <v>260</v>
      </c>
      <c r="B19" s="33" t="s">
        <v>32</v>
      </c>
      <c r="C19" s="33">
        <v>476.0</v>
      </c>
    </row>
    <row r="20" ht="14.25" customHeight="1">
      <c r="A20" s="33" t="s">
        <v>260</v>
      </c>
      <c r="B20" s="33" t="s">
        <v>44</v>
      </c>
      <c r="C20" s="33">
        <v>737.0</v>
      </c>
    </row>
    <row r="21" ht="14.25" customHeight="1">
      <c r="A21" s="33" t="s">
        <v>260</v>
      </c>
      <c r="B21" s="33" t="s">
        <v>56</v>
      </c>
      <c r="C21" s="33">
        <v>483.0</v>
      </c>
    </row>
    <row r="22" ht="14.25" customHeight="1">
      <c r="A22" s="33" t="s">
        <v>261</v>
      </c>
      <c r="B22" s="33" t="s">
        <v>17</v>
      </c>
      <c r="C22" s="33">
        <v>828.0</v>
      </c>
    </row>
    <row r="23" ht="14.25" customHeight="1">
      <c r="A23" s="33" t="s">
        <v>261</v>
      </c>
      <c r="B23" s="33" t="s">
        <v>32</v>
      </c>
      <c r="C23" s="33">
        <v>543.0</v>
      </c>
    </row>
    <row r="24" ht="14.25" customHeight="1">
      <c r="A24" s="33" t="s">
        <v>261</v>
      </c>
      <c r="B24" s="33" t="s">
        <v>44</v>
      </c>
      <c r="C24" s="33">
        <v>804.0</v>
      </c>
    </row>
    <row r="25" ht="14.25" customHeight="1">
      <c r="A25" s="33" t="s">
        <v>261</v>
      </c>
      <c r="B25" s="33" t="s">
        <v>56</v>
      </c>
      <c r="C25" s="33">
        <v>545.0</v>
      </c>
    </row>
    <row r="26" ht="14.25" customHeight="1">
      <c r="A26" s="33" t="s">
        <v>262</v>
      </c>
      <c r="B26" s="33" t="s">
        <v>17</v>
      </c>
      <c r="C26" s="33">
        <v>841.0</v>
      </c>
    </row>
    <row r="27" ht="14.25" customHeight="1">
      <c r="A27" s="33" t="s">
        <v>262</v>
      </c>
      <c r="B27" s="33" t="s">
        <v>32</v>
      </c>
      <c r="C27" s="33">
        <v>571.0</v>
      </c>
    </row>
    <row r="28" ht="14.25" customHeight="1">
      <c r="A28" s="33" t="s">
        <v>262</v>
      </c>
      <c r="B28" s="33" t="s">
        <v>44</v>
      </c>
      <c r="C28" s="33">
        <v>825.0</v>
      </c>
    </row>
    <row r="29" ht="14.25" customHeight="1">
      <c r="A29" s="33" t="s">
        <v>262</v>
      </c>
      <c r="B29" s="33" t="s">
        <v>56</v>
      </c>
      <c r="C29" s="33">
        <v>543.0</v>
      </c>
    </row>
    <row r="30" ht="14.25" customHeight="1">
      <c r="A30" s="33" t="s">
        <v>263</v>
      </c>
      <c r="B30" s="33" t="s">
        <v>17</v>
      </c>
      <c r="C30" s="33">
        <v>812.0</v>
      </c>
    </row>
    <row r="31" ht="14.25" customHeight="1">
      <c r="A31" s="33" t="s">
        <v>263</v>
      </c>
      <c r="B31" s="33" t="s">
        <v>32</v>
      </c>
      <c r="C31" s="33">
        <v>557.0</v>
      </c>
    </row>
    <row r="32" ht="14.25" customHeight="1">
      <c r="A32" s="33" t="s">
        <v>263</v>
      </c>
      <c r="B32" s="33" t="s">
        <v>44</v>
      </c>
      <c r="C32" s="33">
        <v>826.0</v>
      </c>
    </row>
    <row r="33" ht="14.25" customHeight="1">
      <c r="A33" s="33" t="s">
        <v>263</v>
      </c>
      <c r="B33" s="33" t="s">
        <v>56</v>
      </c>
      <c r="C33" s="33">
        <v>539.0</v>
      </c>
    </row>
    <row r="34" ht="14.25" customHeight="1">
      <c r="A34" s="33" t="s">
        <v>264</v>
      </c>
      <c r="B34" s="33" t="s">
        <v>17</v>
      </c>
      <c r="C34" s="33">
        <v>732.0</v>
      </c>
    </row>
    <row r="35" ht="14.25" customHeight="1">
      <c r="A35" s="33" t="s">
        <v>264</v>
      </c>
      <c r="B35" s="33" t="s">
        <v>32</v>
      </c>
      <c r="C35" s="33">
        <v>476.0</v>
      </c>
    </row>
    <row r="36" ht="14.25" customHeight="1">
      <c r="A36" s="33" t="s">
        <v>264</v>
      </c>
      <c r="B36" s="33" t="s">
        <v>44</v>
      </c>
      <c r="C36" s="33">
        <v>728.0</v>
      </c>
    </row>
    <row r="37" ht="14.25" customHeight="1">
      <c r="A37" s="33" t="s">
        <v>264</v>
      </c>
      <c r="B37" s="33" t="s">
        <v>56</v>
      </c>
      <c r="C37" s="33">
        <v>502.0</v>
      </c>
    </row>
    <row r="38" ht="14.25" customHeight="1">
      <c r="A38" s="33" t="s">
        <v>265</v>
      </c>
      <c r="B38" s="33" t="s">
        <v>17</v>
      </c>
      <c r="C38" s="33">
        <v>698.0</v>
      </c>
    </row>
    <row r="39" ht="14.25" customHeight="1">
      <c r="A39" s="33" t="s">
        <v>265</v>
      </c>
      <c r="B39" s="33" t="s">
        <v>32</v>
      </c>
      <c r="C39" s="33">
        <v>472.0</v>
      </c>
    </row>
    <row r="40" ht="14.25" customHeight="1">
      <c r="A40" s="33" t="s">
        <v>265</v>
      </c>
      <c r="B40" s="33" t="s">
        <v>44</v>
      </c>
      <c r="C40" s="33">
        <v>708.0</v>
      </c>
    </row>
    <row r="41" ht="14.25" customHeight="1">
      <c r="A41" s="33" t="s">
        <v>265</v>
      </c>
      <c r="B41" s="33" t="s">
        <v>56</v>
      </c>
      <c r="C41" s="33">
        <v>458.0</v>
      </c>
    </row>
    <row r="42" ht="14.25" customHeight="1">
      <c r="A42" s="33" t="s">
        <v>266</v>
      </c>
      <c r="B42" s="33" t="s">
        <v>17</v>
      </c>
      <c r="C42" s="33">
        <v>779.0</v>
      </c>
    </row>
    <row r="43" ht="14.25" customHeight="1">
      <c r="A43" s="33" t="s">
        <v>266</v>
      </c>
      <c r="B43" s="33" t="s">
        <v>32</v>
      </c>
      <c r="C43" s="33">
        <v>529.0</v>
      </c>
    </row>
    <row r="44" ht="14.25" customHeight="1">
      <c r="A44" s="33" t="s">
        <v>266</v>
      </c>
      <c r="B44" s="33" t="s">
        <v>44</v>
      </c>
      <c r="C44" s="33">
        <v>764.0</v>
      </c>
    </row>
    <row r="45" ht="14.25" customHeight="1">
      <c r="A45" s="33" t="s">
        <v>266</v>
      </c>
      <c r="B45" s="33" t="s">
        <v>56</v>
      </c>
      <c r="C45" s="33">
        <v>504.0</v>
      </c>
    </row>
    <row r="46" ht="14.25" customHeight="1">
      <c r="A46" s="33" t="s">
        <v>267</v>
      </c>
      <c r="B46" s="33" t="s">
        <v>17</v>
      </c>
      <c r="C46" s="33">
        <v>959.0</v>
      </c>
    </row>
    <row r="47" ht="14.25" customHeight="1">
      <c r="A47" s="33" t="s">
        <v>267</v>
      </c>
      <c r="B47" s="33" t="s">
        <v>32</v>
      </c>
      <c r="C47" s="33">
        <v>621.0</v>
      </c>
    </row>
    <row r="48" ht="14.25" customHeight="1">
      <c r="A48" s="33" t="s">
        <v>267</v>
      </c>
      <c r="B48" s="33" t="s">
        <v>44</v>
      </c>
      <c r="C48" s="33">
        <v>962.0</v>
      </c>
    </row>
    <row r="49" ht="14.25" customHeight="1">
      <c r="A49" s="33" t="s">
        <v>267</v>
      </c>
      <c r="B49" s="33" t="s">
        <v>56</v>
      </c>
      <c r="C49" s="33">
        <v>644.0</v>
      </c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1.57"/>
    <col customWidth="1" min="3" max="3" width="21.29"/>
    <col customWidth="1" min="4" max="26" width="8.71"/>
  </cols>
  <sheetData>
    <row r="1" ht="14.25" customHeight="1">
      <c r="A1" s="32" t="s">
        <v>268</v>
      </c>
      <c r="B1" s="32" t="s">
        <v>242</v>
      </c>
      <c r="C1" s="32" t="s">
        <v>269</v>
      </c>
    </row>
    <row r="2" ht="14.25" customHeight="1">
      <c r="A2" s="33" t="s">
        <v>78</v>
      </c>
      <c r="B2" s="33">
        <f t="array" ref="B2">XLOOKUP(A2,BOM_L1_L2!$D$2:$D$41,BOM_L1_L2!$A$2:$A$41)</f>
        <v>2</v>
      </c>
      <c r="C2" s="33">
        <f t="array" ref="C2">XLOOKUP(INV_START!$A2,'Inventory Status'!$A$2:$A$41,'Inventory Status'!$O$2:$O$41)</f>
        <v>429</v>
      </c>
    </row>
    <row r="3" ht="14.25" customHeight="1">
      <c r="A3" s="33" t="s">
        <v>80</v>
      </c>
      <c r="B3" s="33">
        <f t="array" ref="B3">XLOOKUP(A3,BOM_L1_L2!$D$2:$D$41,BOM_L1_L2!$A$2:$A$41)</f>
        <v>2</v>
      </c>
      <c r="C3" s="33">
        <f t="array" ref="C3">XLOOKUP(INV_START!$A3,'Inventory Status'!$A$2:$A$41,'Inventory Status'!$O$2:$O$41)</f>
        <v>1201</v>
      </c>
    </row>
    <row r="4" ht="14.25" customHeight="1">
      <c r="A4" s="33" t="s">
        <v>98</v>
      </c>
      <c r="B4" s="33">
        <f t="array" ref="B4">XLOOKUP(A4,BOM_L1_L2!$D$2:$D$41,BOM_L1_L2!$A$2:$A$41)</f>
        <v>2</v>
      </c>
      <c r="C4" s="33">
        <f t="array" ref="C4">XLOOKUP(INV_START!$A4,'Inventory Status'!$A$2:$A$41,'Inventory Status'!$O$2:$O$41)</f>
        <v>457</v>
      </c>
    </row>
    <row r="5" ht="14.25" customHeight="1">
      <c r="A5" s="33" t="s">
        <v>100</v>
      </c>
      <c r="B5" s="33">
        <f t="array" ref="B5">XLOOKUP(A5,BOM_L1_L2!$D$2:$D$41,BOM_L1_L2!$A$2:$A$41)</f>
        <v>2</v>
      </c>
      <c r="C5" s="33">
        <f t="array" ref="C5">XLOOKUP(INV_START!$A5,'Inventory Status'!$A$2:$A$41,'Inventory Status'!$O$2:$O$41)</f>
        <v>1122</v>
      </c>
    </row>
    <row r="6" ht="14.25" customHeight="1">
      <c r="A6" s="33" t="s">
        <v>118</v>
      </c>
      <c r="B6" s="33">
        <f t="array" ref="B6">XLOOKUP(A6,BOM_L1_L2!$D$2:$D$41,BOM_L1_L2!$A$2:$A$41)</f>
        <v>2</v>
      </c>
      <c r="C6" s="33">
        <f t="array" ref="C6">XLOOKUP(INV_START!$A6,'Inventory Status'!$A$2:$A$41,'Inventory Status'!$O$2:$O$41)</f>
        <v>1032</v>
      </c>
    </row>
    <row r="7" ht="14.25" customHeight="1">
      <c r="A7" s="33" t="s">
        <v>120</v>
      </c>
      <c r="B7" s="33">
        <f t="array" ref="B7">XLOOKUP(A7,BOM_L1_L2!$D$2:$D$41,BOM_L1_L2!$A$2:$A$41)</f>
        <v>2</v>
      </c>
      <c r="C7" s="33">
        <f t="array" ref="C7">XLOOKUP(INV_START!$A7,'Inventory Status'!$A$2:$A$41,'Inventory Status'!$O$2:$O$41)</f>
        <v>486</v>
      </c>
    </row>
    <row r="8" ht="14.25" customHeight="1">
      <c r="A8" s="33" t="s">
        <v>138</v>
      </c>
      <c r="B8" s="33">
        <f t="array" ref="B8">XLOOKUP(A8,BOM_L1_L2!$D$2:$D$41,BOM_L1_L2!$A$2:$A$41)</f>
        <v>2</v>
      </c>
      <c r="C8" s="33">
        <f t="array" ref="C8">XLOOKUP(INV_START!$A8,'Inventory Status'!$A$2:$A$41,'Inventory Status'!$O$2:$O$41)</f>
        <v>868</v>
      </c>
    </row>
    <row r="9" ht="14.25" customHeight="1">
      <c r="A9" s="33" t="s">
        <v>140</v>
      </c>
      <c r="B9" s="33">
        <f t="array" ref="B9">XLOOKUP(A9,BOM_L1_L2!$D$2:$D$41,BOM_L1_L2!$A$2:$A$41)</f>
        <v>2</v>
      </c>
      <c r="C9" s="33">
        <f t="array" ref="C9">XLOOKUP(INV_START!$A9,'Inventory Status'!$A$2:$A$41,'Inventory Status'!$O$2:$O$41)</f>
        <v>423</v>
      </c>
    </row>
    <row r="10" ht="14.25" customHeight="1">
      <c r="A10" s="33" t="s">
        <v>74</v>
      </c>
      <c r="B10" s="33">
        <f t="array" ref="B10">XLOOKUP(A10,BOM_L1_L2!$D$2:$D$41,BOM_L1_L2!$A$2:$A$41)</f>
        <v>2</v>
      </c>
      <c r="C10" s="33">
        <f t="array" ref="C10">XLOOKUP(INV_START!$A10,'Inventory Status'!$A$2:$A$41,'Inventory Status'!$O$2:$O$41)</f>
        <v>900</v>
      </c>
    </row>
    <row r="11" ht="14.25" customHeight="1">
      <c r="A11" s="33" t="s">
        <v>76</v>
      </c>
      <c r="B11" s="33">
        <f t="array" ref="B11">XLOOKUP(A11,BOM_L1_L2!$D$2:$D$41,BOM_L1_L2!$A$2:$A$41)</f>
        <v>2</v>
      </c>
      <c r="C11" s="33">
        <f t="array" ref="C11">XLOOKUP(INV_START!$A11,'Inventory Status'!$A$2:$A$41,'Inventory Status'!$O$2:$O$41)</f>
        <v>750</v>
      </c>
    </row>
    <row r="12" ht="14.25" customHeight="1">
      <c r="A12" s="33" t="s">
        <v>94</v>
      </c>
      <c r="B12" s="33">
        <f t="array" ref="B12">XLOOKUP(A12,BOM_L1_L2!$D$2:$D$41,BOM_L1_L2!$A$2:$A$41)</f>
        <v>2</v>
      </c>
      <c r="C12" s="33">
        <f t="array" ref="C12">XLOOKUP(INV_START!$A12,'Inventory Status'!$A$2:$A$41,'Inventory Status'!$O$2:$O$41)</f>
        <v>733</v>
      </c>
    </row>
    <row r="13" ht="14.25" customHeight="1">
      <c r="A13" s="33" t="s">
        <v>96</v>
      </c>
      <c r="B13" s="33">
        <f t="array" ref="B13">XLOOKUP(A13,BOM_L1_L2!$D$2:$D$41,BOM_L1_L2!$A$2:$A$41)</f>
        <v>2</v>
      </c>
      <c r="C13" s="33">
        <f t="array" ref="C13">XLOOKUP(INV_START!$A13,'Inventory Status'!$A$2:$A$41,'Inventory Status'!$O$2:$O$41)</f>
        <v>788</v>
      </c>
    </row>
    <row r="14" ht="14.25" customHeight="1">
      <c r="A14" s="33" t="s">
        <v>65</v>
      </c>
      <c r="B14" s="33">
        <f t="array" ref="B14">XLOOKUP(A14,BOM_L1_L2!$D$2:$D$41,BOM_L1_L2!$A$2:$A$41)</f>
        <v>2</v>
      </c>
      <c r="C14" s="33">
        <f t="array" ref="C14">XLOOKUP(INV_START!$A14,'Inventory Status'!$A$2:$A$41,'Inventory Status'!$O$2:$O$41)</f>
        <v>885</v>
      </c>
    </row>
    <row r="15" ht="14.25" customHeight="1">
      <c r="A15" s="33" t="s">
        <v>67</v>
      </c>
      <c r="B15" s="33">
        <f t="array" ref="B15">XLOOKUP(A15,BOM_L1_L2!$D$2:$D$41,BOM_L1_L2!$A$2:$A$41)</f>
        <v>2</v>
      </c>
      <c r="C15" s="33">
        <f t="array" ref="C15">XLOOKUP(INV_START!$A15,'Inventory Status'!$A$2:$A$41,'Inventory Status'!$O$2:$O$41)</f>
        <v>846</v>
      </c>
    </row>
    <row r="16" ht="14.25" customHeight="1">
      <c r="A16" s="33" t="s">
        <v>86</v>
      </c>
      <c r="B16" s="33">
        <f t="array" ref="B16">XLOOKUP(A16,BOM_L1_L2!$D$2:$D$41,BOM_L1_L2!$A$2:$A$41)</f>
        <v>2</v>
      </c>
      <c r="C16" s="33">
        <f t="array" ref="C16">XLOOKUP(INV_START!$A16,'Inventory Status'!$A$2:$A$41,'Inventory Status'!$O$2:$O$41)</f>
        <v>564</v>
      </c>
    </row>
    <row r="17" ht="14.25" customHeight="1">
      <c r="A17" s="33" t="s">
        <v>88</v>
      </c>
      <c r="B17" s="33">
        <f t="array" ref="B17">XLOOKUP(A17,BOM_L1_L2!$D$2:$D$41,BOM_L1_L2!$A$2:$A$41)</f>
        <v>2</v>
      </c>
      <c r="C17" s="33">
        <f t="array" ref="C17">XLOOKUP(INV_START!$A17,'Inventory Status'!$A$2:$A$41,'Inventory Status'!$O$2:$O$41)</f>
        <v>749</v>
      </c>
    </row>
    <row r="18" ht="14.25" customHeight="1">
      <c r="A18" s="33" t="s">
        <v>106</v>
      </c>
      <c r="B18" s="33">
        <f t="array" ref="B18">XLOOKUP(A18,BOM_L1_L2!$D$2:$D$41,BOM_L1_L2!$A$2:$A$41)</f>
        <v>2</v>
      </c>
      <c r="C18" s="33">
        <f t="array" ref="C18">XLOOKUP(INV_START!$A18,'Inventory Status'!$A$2:$A$41,'Inventory Status'!$O$2:$O$41)</f>
        <v>1186</v>
      </c>
    </row>
    <row r="19" ht="14.25" customHeight="1">
      <c r="A19" s="33" t="s">
        <v>108</v>
      </c>
      <c r="B19" s="33">
        <f t="array" ref="B19">XLOOKUP(A19,BOM_L1_L2!$D$2:$D$41,BOM_L1_L2!$A$2:$A$41)</f>
        <v>2</v>
      </c>
      <c r="C19" s="33">
        <f t="array" ref="C19">XLOOKUP(INV_START!$A19,'Inventory Status'!$A$2:$A$41,'Inventory Status'!$O$2:$O$41)</f>
        <v>662</v>
      </c>
    </row>
    <row r="20" ht="14.25" customHeight="1">
      <c r="A20" s="33" t="s">
        <v>126</v>
      </c>
      <c r="B20" s="33">
        <f t="array" ref="B20">XLOOKUP(A20,BOM_L1_L2!$D$2:$D$41,BOM_L1_L2!$A$2:$A$41)</f>
        <v>2</v>
      </c>
      <c r="C20" s="33">
        <f t="array" ref="C20">XLOOKUP(INV_START!$A20,'Inventory Status'!$A$2:$A$41,'Inventory Status'!$O$2:$O$41)</f>
        <v>1208</v>
      </c>
    </row>
    <row r="21" ht="14.25" customHeight="1">
      <c r="A21" s="33" t="s">
        <v>128</v>
      </c>
      <c r="B21" s="33">
        <f t="array" ref="B21">XLOOKUP(A21,BOM_L1_L2!$D$2:$D$41,BOM_L1_L2!$A$2:$A$41)</f>
        <v>2</v>
      </c>
      <c r="C21" s="33">
        <f t="array" ref="C21">XLOOKUP(INV_START!$A21,'Inventory Status'!$A$2:$A$41,'Inventory Status'!$O$2:$O$41)</f>
        <v>130</v>
      </c>
    </row>
    <row r="22" ht="14.25" customHeight="1">
      <c r="A22" s="33" t="s">
        <v>114</v>
      </c>
      <c r="B22" s="33">
        <f t="array" ref="B22">XLOOKUP(A22,BOM_L1_L2!$D$2:$D$41,BOM_L1_L2!$A$2:$A$41)</f>
        <v>2</v>
      </c>
      <c r="C22" s="33">
        <f t="array" ref="C22">XLOOKUP(INV_START!$A22,'Inventory Status'!$A$2:$A$41,'Inventory Status'!$O$2:$O$41)</f>
        <v>369</v>
      </c>
    </row>
    <row r="23" ht="14.25" customHeight="1">
      <c r="A23" s="33" t="s">
        <v>116</v>
      </c>
      <c r="B23" s="33">
        <f t="array" ref="B23">XLOOKUP(A23,BOM_L1_L2!$D$2:$D$41,BOM_L1_L2!$A$2:$A$41)</f>
        <v>2</v>
      </c>
      <c r="C23" s="33">
        <f t="array" ref="C23">XLOOKUP(INV_START!$A23,'Inventory Status'!$A$2:$A$41,'Inventory Status'!$O$2:$O$41)</f>
        <v>979</v>
      </c>
    </row>
    <row r="24" ht="14.25" customHeight="1">
      <c r="A24" s="33" t="s">
        <v>134</v>
      </c>
      <c r="B24" s="33">
        <f t="array" ref="B24">XLOOKUP(A24,BOM_L1_L2!$D$2:$D$41,BOM_L1_L2!$A$2:$A$41)</f>
        <v>2</v>
      </c>
      <c r="C24" s="33">
        <f t="array" ref="C24">XLOOKUP(INV_START!$A24,'Inventory Status'!$A$2:$A$41,'Inventory Status'!$O$2:$O$41)</f>
        <v>1181</v>
      </c>
    </row>
    <row r="25" ht="14.25" customHeight="1">
      <c r="A25" s="33" t="s">
        <v>136</v>
      </c>
      <c r="B25" s="33">
        <f t="array" ref="B25">XLOOKUP(A25,BOM_L1_L2!$D$2:$D$41,BOM_L1_L2!$A$2:$A$41)</f>
        <v>2</v>
      </c>
      <c r="C25" s="33">
        <f t="array" ref="C25">XLOOKUP(INV_START!$A25,'Inventory Status'!$A$2:$A$41,'Inventory Status'!$O$2:$O$41)</f>
        <v>707</v>
      </c>
    </row>
    <row r="26" ht="14.25" customHeight="1">
      <c r="A26" s="33" t="s">
        <v>84</v>
      </c>
      <c r="B26" s="33">
        <f t="array" ref="B26">XLOOKUP(A26,BOM_L1_L2!$D$2:$D$41,BOM_L1_L2!$A$2:$A$41)</f>
        <v>2</v>
      </c>
      <c r="C26" s="33">
        <f t="array" ref="C26">XLOOKUP(INV_START!$A26,'Inventory Status'!$A$2:$A$41,'Inventory Status'!$O$2:$O$41)</f>
        <v>696</v>
      </c>
    </row>
    <row r="27" ht="14.25" customHeight="1">
      <c r="A27" s="33" t="s">
        <v>82</v>
      </c>
      <c r="B27" s="33">
        <f t="array" ref="B27">XLOOKUP(A27,BOM_L1_L2!$D$2:$D$41,BOM_L1_L2!$A$2:$A$41)</f>
        <v>2</v>
      </c>
      <c r="C27" s="33">
        <f t="array" ref="C27">XLOOKUP(INV_START!$A27,'Inventory Status'!$A$2:$A$41,'Inventory Status'!$O$2:$O$41)</f>
        <v>255</v>
      </c>
    </row>
    <row r="28" ht="14.25" customHeight="1">
      <c r="A28" s="33" t="s">
        <v>104</v>
      </c>
      <c r="B28" s="33">
        <f t="array" ref="B28">XLOOKUP(A28,BOM_L1_L2!$D$2:$D$41,BOM_L1_L2!$A$2:$A$41)</f>
        <v>2</v>
      </c>
      <c r="C28" s="33">
        <f t="array" ref="C28">XLOOKUP(INV_START!$A28,'Inventory Status'!$A$2:$A$41,'Inventory Status'!$O$2:$O$41)</f>
        <v>227</v>
      </c>
    </row>
    <row r="29" ht="14.25" customHeight="1">
      <c r="A29" s="33" t="s">
        <v>102</v>
      </c>
      <c r="B29" s="33">
        <f t="array" ref="B29">XLOOKUP(A29,BOM_L1_L2!$D$2:$D$41,BOM_L1_L2!$A$2:$A$41)</f>
        <v>2</v>
      </c>
      <c r="C29" s="33">
        <f t="array" ref="C29">XLOOKUP(INV_START!$A29,'Inventory Status'!$A$2:$A$41,'Inventory Status'!$O$2:$O$41)</f>
        <v>770</v>
      </c>
    </row>
    <row r="30" ht="14.25" customHeight="1">
      <c r="A30" s="33" t="s">
        <v>124</v>
      </c>
      <c r="B30" s="33">
        <f t="array" ref="B30">XLOOKUP(A30,BOM_L1_L2!$D$2:$D$41,BOM_L1_L2!$A$2:$A$41)</f>
        <v>2</v>
      </c>
      <c r="C30" s="33">
        <f t="array" ref="C30">XLOOKUP(INV_START!$A30,'Inventory Status'!$A$2:$A$41,'Inventory Status'!$O$2:$O$41)</f>
        <v>747</v>
      </c>
    </row>
    <row r="31" ht="14.25" customHeight="1">
      <c r="A31" s="33" t="s">
        <v>122</v>
      </c>
      <c r="B31" s="33">
        <f t="array" ref="B31">XLOOKUP(A31,BOM_L1_L2!$D$2:$D$41,BOM_L1_L2!$A$2:$A$41)</f>
        <v>2</v>
      </c>
      <c r="C31" s="33">
        <f t="array" ref="C31">XLOOKUP(INV_START!$A31,'Inventory Status'!$A$2:$A$41,'Inventory Status'!$O$2:$O$41)</f>
        <v>527</v>
      </c>
    </row>
    <row r="32" ht="14.25" customHeight="1">
      <c r="A32" s="33" t="s">
        <v>144</v>
      </c>
      <c r="B32" s="33">
        <f t="array" ref="B32">XLOOKUP(A32,BOM_L1_L2!$D$2:$D$41,BOM_L1_L2!$A$2:$A$41)</f>
        <v>2</v>
      </c>
      <c r="C32" s="33">
        <f t="array" ref="C32">XLOOKUP(INV_START!$A32,'Inventory Status'!$A$2:$A$41,'Inventory Status'!$O$2:$O$41)</f>
        <v>536</v>
      </c>
    </row>
    <row r="33" ht="14.25" customHeight="1">
      <c r="A33" s="33" t="s">
        <v>142</v>
      </c>
      <c r="B33" s="33">
        <f t="array" ref="B33">XLOOKUP(A33,BOM_L1_L2!$D$2:$D$41,BOM_L1_L2!$A$2:$A$41)</f>
        <v>2</v>
      </c>
      <c r="C33" s="33">
        <f t="array" ref="C33">XLOOKUP(INV_START!$A33,'Inventory Status'!$A$2:$A$41,'Inventory Status'!$O$2:$O$41)</f>
        <v>478</v>
      </c>
    </row>
    <row r="34" ht="14.25" customHeight="1">
      <c r="A34" s="33" t="s">
        <v>70</v>
      </c>
      <c r="B34" s="33">
        <f t="array" ref="B34">XLOOKUP(A34,BOM_L1_L2!$D$2:$D$41,BOM_L1_L2!$A$2:$A$41)</f>
        <v>2</v>
      </c>
      <c r="C34" s="33">
        <f t="array" ref="C34">XLOOKUP(INV_START!$A34,'Inventory Status'!$A$2:$A$41,'Inventory Status'!$O$2:$O$41)</f>
        <v>495</v>
      </c>
    </row>
    <row r="35" ht="14.25" customHeight="1">
      <c r="A35" s="33" t="s">
        <v>72</v>
      </c>
      <c r="B35" s="33">
        <f t="array" ref="B35">XLOOKUP(A35,BOM_L1_L2!$D$2:$D$41,BOM_L1_L2!$A$2:$A$41)</f>
        <v>2</v>
      </c>
      <c r="C35" s="33">
        <f t="array" ref="C35">XLOOKUP(INV_START!$A35,'Inventory Status'!$A$2:$A$41,'Inventory Status'!$O$2:$O$41)</f>
        <v>1071</v>
      </c>
    </row>
    <row r="36" ht="14.25" customHeight="1">
      <c r="A36" s="33" t="s">
        <v>90</v>
      </c>
      <c r="B36" s="33">
        <f t="array" ref="B36">XLOOKUP(A36,BOM_L1_L2!$D$2:$D$41,BOM_L1_L2!$A$2:$A$41)</f>
        <v>2</v>
      </c>
      <c r="C36" s="33">
        <f t="array" ref="C36">XLOOKUP(INV_START!$A36,'Inventory Status'!$A$2:$A$41,'Inventory Status'!$O$2:$O$41)</f>
        <v>592</v>
      </c>
    </row>
    <row r="37" ht="14.25" customHeight="1">
      <c r="A37" s="33" t="s">
        <v>92</v>
      </c>
      <c r="B37" s="33">
        <f t="array" ref="B37">XLOOKUP(A37,BOM_L1_L2!$D$2:$D$41,BOM_L1_L2!$A$2:$A$41)</f>
        <v>2</v>
      </c>
      <c r="C37" s="33">
        <f t="array" ref="C37">XLOOKUP(INV_START!$A37,'Inventory Status'!$A$2:$A$41,'Inventory Status'!$O$2:$O$41)</f>
        <v>972</v>
      </c>
    </row>
    <row r="38" ht="14.25" customHeight="1">
      <c r="A38" s="33" t="s">
        <v>110</v>
      </c>
      <c r="B38" s="33">
        <f t="array" ref="B38">XLOOKUP(A38,BOM_L1_L2!$D$2:$D$41,BOM_L1_L2!$A$2:$A$41)</f>
        <v>2</v>
      </c>
      <c r="C38" s="33">
        <f t="array" ref="C38">XLOOKUP(INV_START!$A38,'Inventory Status'!$A$2:$A$41,'Inventory Status'!$O$2:$O$41)</f>
        <v>338</v>
      </c>
    </row>
    <row r="39" ht="14.25" customHeight="1">
      <c r="A39" s="33" t="s">
        <v>112</v>
      </c>
      <c r="B39" s="33">
        <f t="array" ref="B39">XLOOKUP(A39,BOM_L1_L2!$D$2:$D$41,BOM_L1_L2!$A$2:$A$41)</f>
        <v>2</v>
      </c>
      <c r="C39" s="33">
        <f t="array" ref="C39">XLOOKUP(INV_START!$A39,'Inventory Status'!$A$2:$A$41,'Inventory Status'!$O$2:$O$41)</f>
        <v>1113</v>
      </c>
    </row>
    <row r="40" ht="14.25" customHeight="1">
      <c r="A40" s="33" t="s">
        <v>130</v>
      </c>
      <c r="B40" s="33">
        <f t="array" ref="B40">XLOOKUP(A40,BOM_L1_L2!$D$2:$D$41,BOM_L1_L2!$A$2:$A$41)</f>
        <v>2</v>
      </c>
      <c r="C40" s="33">
        <f t="array" ref="C40">XLOOKUP(INV_START!$A40,'Inventory Status'!$A$2:$A$41,'Inventory Status'!$O$2:$O$41)</f>
        <v>355</v>
      </c>
    </row>
    <row r="41" ht="14.25" customHeight="1">
      <c r="A41" s="33" t="s">
        <v>132</v>
      </c>
      <c r="B41" s="33">
        <f t="array" ref="B41">XLOOKUP(A41,BOM_L1_L2!$D$2:$D$41,BOM_L1_L2!$A$2:$A$41)</f>
        <v>2</v>
      </c>
      <c r="C41" s="33">
        <f t="array" ref="C41">XLOOKUP(INV_START!$A41,'Inventory Status'!$A$2:$A$41,'Inventory Status'!$O$2:$O$41)</f>
        <v>936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9.43"/>
    <col customWidth="1" min="3" max="26" width="8.71"/>
  </cols>
  <sheetData>
    <row r="1" ht="14.25" customHeight="1">
      <c r="A1" s="2" t="s">
        <v>254</v>
      </c>
      <c r="B1" s="3" t="s">
        <v>270</v>
      </c>
    </row>
    <row r="2" ht="14.25" customHeight="1">
      <c r="A2" s="4" t="s">
        <v>17</v>
      </c>
      <c r="B2" s="5">
        <f>MIN('Assembly Capacity'!C2:C7)</f>
        <v>750</v>
      </c>
    </row>
    <row r="3" ht="14.25" customHeight="1">
      <c r="A3" s="4" t="s">
        <v>32</v>
      </c>
      <c r="B3" s="5">
        <f>MIN('Assembly Capacity'!C8:C13)</f>
        <v>499</v>
      </c>
    </row>
    <row r="4" ht="14.25" customHeight="1">
      <c r="A4" s="4" t="s">
        <v>44</v>
      </c>
      <c r="B4" s="5">
        <f>MIN('Assembly Capacity'!C14:C19)</f>
        <v>740</v>
      </c>
    </row>
    <row r="5" ht="14.25" customHeight="1">
      <c r="A5" s="4" t="s">
        <v>56</v>
      </c>
      <c r="B5" s="5">
        <f>MIN('Assembly Capacity'!C20:C25)</f>
        <v>492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29"/>
    <col customWidth="1" min="3" max="26" width="8.71"/>
  </cols>
  <sheetData>
    <row r="1" ht="14.25" customHeight="1">
      <c r="A1" s="32" t="s">
        <v>253</v>
      </c>
      <c r="B1" s="32" t="s">
        <v>271</v>
      </c>
    </row>
    <row r="2" ht="14.25" customHeight="1">
      <c r="A2" s="33" t="s">
        <v>256</v>
      </c>
      <c r="B2" s="33">
        <v>3172.0</v>
      </c>
    </row>
    <row r="3" ht="14.25" customHeight="1">
      <c r="A3" s="33" t="s">
        <v>257</v>
      </c>
      <c r="B3" s="33">
        <v>3229.0</v>
      </c>
    </row>
    <row r="4" ht="14.25" customHeight="1">
      <c r="A4" s="33" t="s">
        <v>258</v>
      </c>
      <c r="B4" s="33">
        <v>3220.0</v>
      </c>
    </row>
    <row r="5" ht="14.25" customHeight="1">
      <c r="A5" s="33" t="s">
        <v>259</v>
      </c>
      <c r="B5" s="33">
        <v>3324.0</v>
      </c>
    </row>
    <row r="6" ht="14.25" customHeight="1">
      <c r="A6" s="33" t="s">
        <v>260</v>
      </c>
      <c r="B6" s="33">
        <v>3368.0</v>
      </c>
    </row>
    <row r="7" ht="14.25" customHeight="1">
      <c r="A7" s="33" t="s">
        <v>261</v>
      </c>
      <c r="B7" s="33">
        <v>3456.0</v>
      </c>
    </row>
    <row r="8" ht="14.25" customHeight="1">
      <c r="A8" s="33" t="s">
        <v>262</v>
      </c>
      <c r="B8" s="33">
        <v>3550.0</v>
      </c>
    </row>
    <row r="9" ht="14.25" customHeight="1">
      <c r="A9" s="33" t="s">
        <v>263</v>
      </c>
      <c r="B9" s="33">
        <v>3562.0</v>
      </c>
    </row>
    <row r="10" ht="14.25" customHeight="1">
      <c r="A10" s="33" t="s">
        <v>264</v>
      </c>
      <c r="B10" s="33">
        <v>3404.0</v>
      </c>
    </row>
    <row r="11" ht="14.25" customHeight="1">
      <c r="A11" s="33" t="s">
        <v>265</v>
      </c>
      <c r="B11" s="33">
        <v>3418.0</v>
      </c>
    </row>
    <row r="12" ht="14.25" customHeight="1">
      <c r="A12" s="33" t="s">
        <v>266</v>
      </c>
      <c r="B12" s="33">
        <v>3637.0</v>
      </c>
    </row>
    <row r="13" ht="14.25" customHeight="1">
      <c r="A13" s="33" t="s">
        <v>267</v>
      </c>
      <c r="B13" s="33">
        <v>3877.0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1.57"/>
    <col customWidth="1" min="3" max="3" width="14.57"/>
    <col customWidth="1" min="4" max="5" width="19.71"/>
    <col customWidth="1" min="6" max="26" width="8.71"/>
  </cols>
  <sheetData>
    <row r="1" ht="14.25" customHeight="1">
      <c r="A1" s="32" t="s">
        <v>268</v>
      </c>
      <c r="B1" s="32" t="s">
        <v>242</v>
      </c>
      <c r="C1" s="32" t="s">
        <v>232</v>
      </c>
      <c r="D1" s="34" t="s">
        <v>272</v>
      </c>
      <c r="E1" s="32" t="s">
        <v>273</v>
      </c>
      <c r="F1" s="32" t="s">
        <v>274</v>
      </c>
    </row>
    <row r="2" ht="14.25" customHeight="1">
      <c r="A2" s="33" t="s">
        <v>11</v>
      </c>
      <c r="B2" s="33">
        <f t="array" ref="B2">XLOOKUP(ITEM_MASTER!$A2,'Bill of Materials'!$C$2:$C$61,'Bill of Materials'!$A$2:$A$61)</f>
        <v>1</v>
      </c>
      <c r="C2" s="33" t="str">
        <f t="array" ref="C2">IF(XLOOKUP(ITEM_MASTER!$A2,'Bill of Materials'!$C$2:$C$61,'Bill of Materials'!$I$2:$I$61)="Japan", "FOB_JP", "EXW_VN")</f>
        <v>FOB_JP</v>
      </c>
      <c r="D2" s="35">
        <f t="array" ref="D2">IF(ITEM_MASTER!$C2="FOB_JP", XLOOKUP(ITEM_MASTER!$A2,'Foreign Suppliers'!$A$2:$A$37,'Foreign Suppliers'!$H$2:$H$37), XLOOKUP(ITEM_MASTER!$A2, 'Local Suppliers'!$A$2:$A$25, 'Local Suppliers'!$H$2:$H$25))</f>
        <v>4048.09</v>
      </c>
      <c r="E2" s="33">
        <f t="array" ref="E2">XLOOKUP(ITEM_MASTER!$A2,'Packing Specification'!$A$2:$A$61,'Packing Specification'!$C$2:$C$61)</f>
        <v>10</v>
      </c>
      <c r="F2" s="33">
        <f t="array" ref="F2">XLOOKUP(ITEM_MASTER!$A2,'Inventory Status'!$A$2:$A$41,'Inventory Status'!$I$2:$I$41,0)</f>
        <v>0</v>
      </c>
    </row>
    <row r="3" ht="14.25" customHeight="1">
      <c r="A3" s="33" t="s">
        <v>18</v>
      </c>
      <c r="B3" s="33">
        <f t="array" ref="B3">XLOOKUP(ITEM_MASTER!$A3,'Bill of Materials'!$C$2:$C$61,'Bill of Materials'!$A$2:$A$61)</f>
        <v>1</v>
      </c>
      <c r="C3" s="33" t="str">
        <f t="array" ref="C3">IF(XLOOKUP(ITEM_MASTER!$A3,'Bill of Materials'!$C$2:$C$61,'Bill of Materials'!$I$2:$I$61)="Japan", "FOB_JP", "EXW_VN")</f>
        <v>EXW_VN</v>
      </c>
      <c r="D3" s="35">
        <f t="array" ref="D3">IF(ITEM_MASTER!$C3="FOB_JP", XLOOKUP(ITEM_MASTER!$A3,'Foreign Suppliers'!$A$2:$A$37,'Foreign Suppliers'!$H$2:$H$37), XLOOKUP(ITEM_MASTER!$A3, 'Local Suppliers'!$A$2:$A$25, 'Local Suppliers'!$H$2:$H$25))</f>
        <v>2173.3</v>
      </c>
      <c r="E3" s="33">
        <f t="array" ref="E3">XLOOKUP(ITEM_MASTER!$A3,'Packing Specification'!$A$2:$A$61,'Packing Specification'!$C$2:$C$61)</f>
        <v>40</v>
      </c>
      <c r="F3" s="33">
        <f t="array" ref="F3">XLOOKUP(ITEM_MASTER!$A3,'Inventory Status'!$A$2:$A$41,'Inventory Status'!$I$2:$I$41,0)</f>
        <v>0</v>
      </c>
    </row>
    <row r="4" ht="14.25" customHeight="1">
      <c r="A4" s="33" t="s">
        <v>22</v>
      </c>
      <c r="B4" s="33">
        <f t="array" ref="B4">XLOOKUP(ITEM_MASTER!$A4,'Bill of Materials'!$C$2:$C$61,'Bill of Materials'!$A$2:$A$61)</f>
        <v>1</v>
      </c>
      <c r="C4" s="33" t="str">
        <f t="array" ref="C4">IF(XLOOKUP(ITEM_MASTER!$A4,'Bill of Materials'!$C$2:$C$61,'Bill of Materials'!$I$2:$I$61)="Japan", "FOB_JP", "EXW_VN")</f>
        <v>FOB_JP</v>
      </c>
      <c r="D4" s="35">
        <f t="array" ref="D4">IF(ITEM_MASTER!$C4="FOB_JP", XLOOKUP(ITEM_MASTER!$A4,'Foreign Suppliers'!$A$2:$A$37,'Foreign Suppliers'!$H$2:$H$37), XLOOKUP(ITEM_MASTER!$A4, 'Local Suppliers'!$A$2:$A$25, 'Local Suppliers'!$H$2:$H$25))</f>
        <v>4048.09</v>
      </c>
      <c r="E4" s="33">
        <f t="array" ref="E4">XLOOKUP(ITEM_MASTER!$A4,'Packing Specification'!$A$2:$A$61,'Packing Specification'!$C$2:$C$61)</f>
        <v>20</v>
      </c>
      <c r="F4" s="33">
        <f t="array" ref="F4">XLOOKUP(ITEM_MASTER!$A4,'Inventory Status'!$A$2:$A$41,'Inventory Status'!$I$2:$I$41,0)</f>
        <v>0</v>
      </c>
    </row>
    <row r="5" ht="14.25" customHeight="1">
      <c r="A5" s="33" t="s">
        <v>24</v>
      </c>
      <c r="B5" s="33">
        <f t="array" ref="B5">XLOOKUP(ITEM_MASTER!$A5,'Bill of Materials'!$C$2:$C$61,'Bill of Materials'!$A$2:$A$61)</f>
        <v>1</v>
      </c>
      <c r="C5" s="33" t="str">
        <f t="array" ref="C5">IF(XLOOKUP(ITEM_MASTER!$A5,'Bill of Materials'!$C$2:$C$61,'Bill of Materials'!$I$2:$I$61)="Japan", "FOB_JP", "EXW_VN")</f>
        <v>FOB_JP</v>
      </c>
      <c r="D5" s="35">
        <f t="array" ref="D5">IF(ITEM_MASTER!$C5="FOB_JP", XLOOKUP(ITEM_MASTER!$A5,'Foreign Suppliers'!$A$2:$A$37,'Foreign Suppliers'!$H$2:$H$37), XLOOKUP(ITEM_MASTER!$A5, 'Local Suppliers'!$A$2:$A$25, 'Local Suppliers'!$H$2:$H$25))</f>
        <v>4048.09</v>
      </c>
      <c r="E5" s="33">
        <f t="array" ref="E5">XLOOKUP(ITEM_MASTER!$A5,'Packing Specification'!$A$2:$A$61,'Packing Specification'!$C$2:$C$61)</f>
        <v>15</v>
      </c>
      <c r="F5" s="33">
        <f t="array" ref="F5">XLOOKUP(ITEM_MASTER!$A5,'Inventory Status'!$A$2:$A$41,'Inventory Status'!$I$2:$I$41,0)</f>
        <v>0</v>
      </c>
    </row>
    <row r="6" ht="14.25" customHeight="1">
      <c r="A6" s="33" t="s">
        <v>26</v>
      </c>
      <c r="B6" s="33">
        <f t="array" ref="B6">XLOOKUP(ITEM_MASTER!$A6,'Bill of Materials'!$C$2:$C$61,'Bill of Materials'!$A$2:$A$61)</f>
        <v>1</v>
      </c>
      <c r="C6" s="33" t="str">
        <f t="array" ref="C6">IF(XLOOKUP(ITEM_MASTER!$A6,'Bill of Materials'!$C$2:$C$61,'Bill of Materials'!$I$2:$I$61)="Japan", "FOB_JP", "EXW_VN")</f>
        <v>EXW_VN</v>
      </c>
      <c r="D6" s="35">
        <f t="array" ref="D6">IF(ITEM_MASTER!$C6="FOB_JP", XLOOKUP(ITEM_MASTER!$A6,'Foreign Suppliers'!$A$2:$A$37,'Foreign Suppliers'!$H$2:$H$37), XLOOKUP(ITEM_MASTER!$A6, 'Local Suppliers'!$A$2:$A$25, 'Local Suppliers'!$H$2:$H$25))</f>
        <v>2173.3</v>
      </c>
      <c r="E6" s="33">
        <f t="array" ref="E6">XLOOKUP(ITEM_MASTER!$A6,'Packing Specification'!$A$2:$A$61,'Packing Specification'!$C$2:$C$61)</f>
        <v>120</v>
      </c>
      <c r="F6" s="33">
        <f t="array" ref="F6">XLOOKUP(ITEM_MASTER!$A6,'Inventory Status'!$A$2:$A$41,'Inventory Status'!$I$2:$I$41,0)</f>
        <v>0</v>
      </c>
    </row>
    <row r="7" ht="14.25" customHeight="1">
      <c r="A7" s="33" t="s">
        <v>30</v>
      </c>
      <c r="B7" s="33">
        <f t="array" ref="B7">XLOOKUP(ITEM_MASTER!$A7,'Bill of Materials'!$C$2:$C$61,'Bill of Materials'!$A$2:$A$61)</f>
        <v>1</v>
      </c>
      <c r="C7" s="33" t="str">
        <f t="array" ref="C7">IF(XLOOKUP(ITEM_MASTER!$A7,'Bill of Materials'!$C$2:$C$61,'Bill of Materials'!$I$2:$I$61)="Japan", "FOB_JP", "EXW_VN")</f>
        <v>FOB_JP</v>
      </c>
      <c r="D7" s="35">
        <f t="array" ref="D7">IF(ITEM_MASTER!$C7="FOB_JP", XLOOKUP(ITEM_MASTER!$A7,'Foreign Suppliers'!$A$2:$A$37,'Foreign Suppliers'!$H$2:$H$37), XLOOKUP(ITEM_MASTER!$A7, 'Local Suppliers'!$A$2:$A$25, 'Local Suppliers'!$H$2:$H$25))</f>
        <v>11025.48</v>
      </c>
      <c r="E7" s="33">
        <f t="array" ref="E7">XLOOKUP(ITEM_MASTER!$A7,'Packing Specification'!$A$2:$A$61,'Packing Specification'!$C$2:$C$61)</f>
        <v>7</v>
      </c>
      <c r="F7" s="33">
        <f t="array" ref="F7">XLOOKUP(ITEM_MASTER!$A7,'Inventory Status'!$A$2:$A$41,'Inventory Status'!$I$2:$I$41,0)</f>
        <v>0</v>
      </c>
    </row>
    <row r="8" ht="14.25" customHeight="1">
      <c r="A8" s="33" t="s">
        <v>33</v>
      </c>
      <c r="B8" s="33">
        <f t="array" ref="B8">XLOOKUP(ITEM_MASTER!$A8,'Bill of Materials'!$C$2:$C$61,'Bill of Materials'!$A$2:$A$61)</f>
        <v>1</v>
      </c>
      <c r="C8" s="33" t="str">
        <f t="array" ref="C8">IF(XLOOKUP(ITEM_MASTER!$A8,'Bill of Materials'!$C$2:$C$61,'Bill of Materials'!$I$2:$I$61)="Japan", "FOB_JP", "EXW_VN")</f>
        <v>EXW_VN</v>
      </c>
      <c r="D8" s="35">
        <f t="array" ref="D8">IF(ITEM_MASTER!$C8="FOB_JP", XLOOKUP(ITEM_MASTER!$A8,'Foreign Suppliers'!$A$2:$A$37,'Foreign Suppliers'!$H$2:$H$37), XLOOKUP(ITEM_MASTER!$A8, 'Local Suppliers'!$A$2:$A$25, 'Local Suppliers'!$H$2:$H$25))</f>
        <v>6364.62</v>
      </c>
      <c r="E8" s="33">
        <f t="array" ref="E8">XLOOKUP(ITEM_MASTER!$A8,'Packing Specification'!$A$2:$A$61,'Packing Specification'!$C$2:$C$61)</f>
        <v>28</v>
      </c>
      <c r="F8" s="33">
        <f t="array" ref="F8">XLOOKUP(ITEM_MASTER!$A8,'Inventory Status'!$A$2:$A$41,'Inventory Status'!$I$2:$I$41,0)</f>
        <v>0</v>
      </c>
    </row>
    <row r="9" ht="14.25" customHeight="1">
      <c r="A9" s="33" t="s">
        <v>35</v>
      </c>
      <c r="B9" s="33">
        <f t="array" ref="B9">XLOOKUP(ITEM_MASTER!$A9,'Bill of Materials'!$C$2:$C$61,'Bill of Materials'!$A$2:$A$61)</f>
        <v>1</v>
      </c>
      <c r="C9" s="33" t="str">
        <f t="array" ref="C9">IF(XLOOKUP(ITEM_MASTER!$A9,'Bill of Materials'!$C$2:$C$61,'Bill of Materials'!$I$2:$I$61)="Japan", "FOB_JP", "EXW_VN")</f>
        <v>FOB_JP</v>
      </c>
      <c r="D9" s="35">
        <f t="array" ref="D9">IF(ITEM_MASTER!$C9="FOB_JP", XLOOKUP(ITEM_MASTER!$A9,'Foreign Suppliers'!$A$2:$A$37,'Foreign Suppliers'!$H$2:$H$37), XLOOKUP(ITEM_MASTER!$A9, 'Local Suppliers'!$A$2:$A$25, 'Local Suppliers'!$H$2:$H$25))</f>
        <v>11025.48</v>
      </c>
      <c r="E9" s="33">
        <f t="array" ref="E9">XLOOKUP(ITEM_MASTER!$A9,'Packing Specification'!$A$2:$A$61,'Packing Specification'!$C$2:$C$61)</f>
        <v>14</v>
      </c>
      <c r="F9" s="33">
        <f t="array" ref="F9">XLOOKUP(ITEM_MASTER!$A9,'Inventory Status'!$A$2:$A$41,'Inventory Status'!$I$2:$I$41,0)</f>
        <v>0</v>
      </c>
    </row>
    <row r="10" ht="14.25" customHeight="1">
      <c r="A10" s="33" t="s">
        <v>37</v>
      </c>
      <c r="B10" s="33">
        <f t="array" ref="B10">XLOOKUP(ITEM_MASTER!$A10,'Bill of Materials'!$C$2:$C$61,'Bill of Materials'!$A$2:$A$61)</f>
        <v>1</v>
      </c>
      <c r="C10" s="33" t="str">
        <f t="array" ref="C10">IF(XLOOKUP(ITEM_MASTER!$A10,'Bill of Materials'!$C$2:$C$61,'Bill of Materials'!$I$2:$I$61)="Japan", "FOB_JP", "EXW_VN")</f>
        <v>FOB_JP</v>
      </c>
      <c r="D10" s="35">
        <f t="array" ref="D10">IF(ITEM_MASTER!$C10="FOB_JP", XLOOKUP(ITEM_MASTER!$A10,'Foreign Suppliers'!$A$2:$A$37,'Foreign Suppliers'!$H$2:$H$37), XLOOKUP(ITEM_MASTER!$A10, 'Local Suppliers'!$A$2:$A$25, 'Local Suppliers'!$H$2:$H$25))</f>
        <v>11025.48</v>
      </c>
      <c r="E10" s="33">
        <f t="array" ref="E10">XLOOKUP(ITEM_MASTER!$A10,'Packing Specification'!$A$2:$A$61,'Packing Specification'!$C$2:$C$61)</f>
        <v>10</v>
      </c>
      <c r="F10" s="33">
        <f t="array" ref="F10">XLOOKUP(ITEM_MASTER!$A10,'Inventory Status'!$A$2:$A$41,'Inventory Status'!$I$2:$I$41,0)</f>
        <v>0</v>
      </c>
    </row>
    <row r="11" ht="14.25" customHeight="1">
      <c r="A11" s="33" t="s">
        <v>39</v>
      </c>
      <c r="B11" s="33">
        <f t="array" ref="B11">XLOOKUP(ITEM_MASTER!$A11,'Bill of Materials'!$C$2:$C$61,'Bill of Materials'!$A$2:$A$61)</f>
        <v>1</v>
      </c>
      <c r="C11" s="33" t="str">
        <f t="array" ref="C11">IF(XLOOKUP(ITEM_MASTER!$A11,'Bill of Materials'!$C$2:$C$61,'Bill of Materials'!$I$2:$I$61)="Japan", "FOB_JP", "EXW_VN")</f>
        <v>EXW_VN</v>
      </c>
      <c r="D11" s="35">
        <f t="array" ref="D11">IF(ITEM_MASTER!$C11="FOB_JP", XLOOKUP(ITEM_MASTER!$A11,'Foreign Suppliers'!$A$2:$A$37,'Foreign Suppliers'!$H$2:$H$37), XLOOKUP(ITEM_MASTER!$A11, 'Local Suppliers'!$A$2:$A$25, 'Local Suppliers'!$H$2:$H$25))</f>
        <v>6364.62</v>
      </c>
      <c r="E11" s="33">
        <f t="array" ref="E11">XLOOKUP(ITEM_MASTER!$A11,'Packing Specification'!$A$2:$A$61,'Packing Specification'!$C$2:$C$61)</f>
        <v>84</v>
      </c>
      <c r="F11" s="33">
        <f t="array" ref="F11">XLOOKUP(ITEM_MASTER!$A11,'Inventory Status'!$A$2:$A$41,'Inventory Status'!$I$2:$I$41,0)</f>
        <v>0</v>
      </c>
    </row>
    <row r="12" ht="14.25" customHeight="1">
      <c r="A12" s="33" t="s">
        <v>42</v>
      </c>
      <c r="B12" s="33">
        <f t="array" ref="B12">XLOOKUP(ITEM_MASTER!$A12,'Bill of Materials'!$C$2:$C$61,'Bill of Materials'!$A$2:$A$61)</f>
        <v>1</v>
      </c>
      <c r="C12" s="33" t="str">
        <f t="array" ref="C12">IF(XLOOKUP(ITEM_MASTER!$A12,'Bill of Materials'!$C$2:$C$61,'Bill of Materials'!$I$2:$I$61)="Japan", "FOB_JP", "EXW_VN")</f>
        <v>FOB_JP</v>
      </c>
      <c r="D12" s="35">
        <f t="array" ref="D12">IF(ITEM_MASTER!$C12="FOB_JP", XLOOKUP(ITEM_MASTER!$A12,'Foreign Suppliers'!$A$2:$A$37,'Foreign Suppliers'!$H$2:$H$37), XLOOKUP(ITEM_MASTER!$A12, 'Local Suppliers'!$A$2:$A$25, 'Local Suppliers'!$H$2:$H$25))</f>
        <v>5577.37</v>
      </c>
      <c r="E12" s="33">
        <f t="array" ref="E12">XLOOKUP(ITEM_MASTER!$A12,'Packing Specification'!$A$2:$A$61,'Packing Specification'!$C$2:$C$61)</f>
        <v>10</v>
      </c>
      <c r="F12" s="33">
        <f t="array" ref="F12">XLOOKUP(ITEM_MASTER!$A12,'Inventory Status'!$A$2:$A$41,'Inventory Status'!$I$2:$I$41,0)</f>
        <v>0</v>
      </c>
    </row>
    <row r="13" ht="14.25" customHeight="1">
      <c r="A13" s="33" t="s">
        <v>45</v>
      </c>
      <c r="B13" s="33">
        <f t="array" ref="B13">XLOOKUP(ITEM_MASTER!$A13,'Bill of Materials'!$C$2:$C$61,'Bill of Materials'!$A$2:$A$61)</f>
        <v>1</v>
      </c>
      <c r="C13" s="33" t="str">
        <f t="array" ref="C13">IF(XLOOKUP(ITEM_MASTER!$A13,'Bill of Materials'!$C$2:$C$61,'Bill of Materials'!$I$2:$I$61)="Japan", "FOB_JP", "EXW_VN")</f>
        <v>EXW_VN</v>
      </c>
      <c r="D13" s="35">
        <f t="array" ref="D13">IF(ITEM_MASTER!$C13="FOB_JP", XLOOKUP(ITEM_MASTER!$A13,'Foreign Suppliers'!$A$2:$A$37,'Foreign Suppliers'!$H$2:$H$37), XLOOKUP(ITEM_MASTER!$A13, 'Local Suppliers'!$A$2:$A$25, 'Local Suppliers'!$H$2:$H$25))</f>
        <v>2994.32</v>
      </c>
      <c r="E13" s="33">
        <f t="array" ref="E13">XLOOKUP(ITEM_MASTER!$A13,'Packing Specification'!$A$2:$A$61,'Packing Specification'!$C$2:$C$61)</f>
        <v>40</v>
      </c>
      <c r="F13" s="33">
        <f t="array" ref="F13">XLOOKUP(ITEM_MASTER!$A13,'Inventory Status'!$A$2:$A$41,'Inventory Status'!$I$2:$I$41,0)</f>
        <v>0</v>
      </c>
    </row>
    <row r="14" ht="14.25" customHeight="1">
      <c r="A14" s="33" t="s">
        <v>47</v>
      </c>
      <c r="B14" s="33">
        <f t="array" ref="B14">XLOOKUP(ITEM_MASTER!$A14,'Bill of Materials'!$C$2:$C$61,'Bill of Materials'!$A$2:$A$61)</f>
        <v>1</v>
      </c>
      <c r="C14" s="33" t="str">
        <f t="array" ref="C14">IF(XLOOKUP(ITEM_MASTER!$A14,'Bill of Materials'!$C$2:$C$61,'Bill of Materials'!$I$2:$I$61)="Japan", "FOB_JP", "EXW_VN")</f>
        <v>FOB_JP</v>
      </c>
      <c r="D14" s="35">
        <f t="array" ref="D14">IF(ITEM_MASTER!$C14="FOB_JP", XLOOKUP(ITEM_MASTER!$A14,'Foreign Suppliers'!$A$2:$A$37,'Foreign Suppliers'!$H$2:$H$37), XLOOKUP(ITEM_MASTER!$A14, 'Local Suppliers'!$A$2:$A$25, 'Local Suppliers'!$H$2:$H$25))</f>
        <v>5577.37</v>
      </c>
      <c r="E14" s="33">
        <f t="array" ref="E14">XLOOKUP(ITEM_MASTER!$A14,'Packing Specification'!$A$2:$A$61,'Packing Specification'!$C$2:$C$61)</f>
        <v>20</v>
      </c>
      <c r="F14" s="33">
        <f t="array" ref="F14">XLOOKUP(ITEM_MASTER!$A14,'Inventory Status'!$A$2:$A$41,'Inventory Status'!$I$2:$I$41,0)</f>
        <v>0</v>
      </c>
    </row>
    <row r="15" ht="14.25" customHeight="1">
      <c r="A15" s="33" t="s">
        <v>49</v>
      </c>
      <c r="B15" s="33">
        <f t="array" ref="B15">XLOOKUP(ITEM_MASTER!$A15,'Bill of Materials'!$C$2:$C$61,'Bill of Materials'!$A$2:$A$61)</f>
        <v>1</v>
      </c>
      <c r="C15" s="33" t="str">
        <f t="array" ref="C15">IF(XLOOKUP(ITEM_MASTER!$A15,'Bill of Materials'!$C$2:$C$61,'Bill of Materials'!$I$2:$I$61)="Japan", "FOB_JP", "EXW_VN")</f>
        <v>FOB_JP</v>
      </c>
      <c r="D15" s="35">
        <f t="array" ref="D15">IF(ITEM_MASTER!$C15="FOB_JP", XLOOKUP(ITEM_MASTER!$A15,'Foreign Suppliers'!$A$2:$A$37,'Foreign Suppliers'!$H$2:$H$37), XLOOKUP(ITEM_MASTER!$A15, 'Local Suppliers'!$A$2:$A$25, 'Local Suppliers'!$H$2:$H$25))</f>
        <v>5577.37</v>
      </c>
      <c r="E15" s="33">
        <f t="array" ref="E15">XLOOKUP(ITEM_MASTER!$A15,'Packing Specification'!$A$2:$A$61,'Packing Specification'!$C$2:$C$61)</f>
        <v>15</v>
      </c>
      <c r="F15" s="33">
        <f t="array" ref="F15">XLOOKUP(ITEM_MASTER!$A15,'Inventory Status'!$A$2:$A$41,'Inventory Status'!$I$2:$I$41,0)</f>
        <v>0</v>
      </c>
    </row>
    <row r="16" ht="14.25" customHeight="1">
      <c r="A16" s="33" t="s">
        <v>51</v>
      </c>
      <c r="B16" s="33">
        <f t="array" ref="B16">XLOOKUP(ITEM_MASTER!$A16,'Bill of Materials'!$C$2:$C$61,'Bill of Materials'!$A$2:$A$61)</f>
        <v>1</v>
      </c>
      <c r="C16" s="33" t="str">
        <f t="array" ref="C16">IF(XLOOKUP(ITEM_MASTER!$A16,'Bill of Materials'!$C$2:$C$61,'Bill of Materials'!$I$2:$I$61)="Japan", "FOB_JP", "EXW_VN")</f>
        <v>EXW_VN</v>
      </c>
      <c r="D16" s="35">
        <f t="array" ref="D16">IF(ITEM_MASTER!$C16="FOB_JP", XLOOKUP(ITEM_MASTER!$A16,'Foreign Suppliers'!$A$2:$A$37,'Foreign Suppliers'!$H$2:$H$37), XLOOKUP(ITEM_MASTER!$A16, 'Local Suppliers'!$A$2:$A$25, 'Local Suppliers'!$H$2:$H$25))</f>
        <v>2994.32</v>
      </c>
      <c r="E16" s="33">
        <f t="array" ref="E16">XLOOKUP(ITEM_MASTER!$A16,'Packing Specification'!$A$2:$A$61,'Packing Specification'!$C$2:$C$61)</f>
        <v>120</v>
      </c>
      <c r="F16" s="33">
        <f t="array" ref="F16">XLOOKUP(ITEM_MASTER!$A16,'Inventory Status'!$A$2:$A$41,'Inventory Status'!$I$2:$I$41,0)</f>
        <v>0</v>
      </c>
    </row>
    <row r="17" ht="14.25" customHeight="1">
      <c r="A17" s="33" t="s">
        <v>54</v>
      </c>
      <c r="B17" s="33">
        <f t="array" ref="B17">XLOOKUP(ITEM_MASTER!$A17,'Bill of Materials'!$C$2:$C$61,'Bill of Materials'!$A$2:$A$61)</f>
        <v>1</v>
      </c>
      <c r="C17" s="33" t="str">
        <f t="array" ref="C17">IF(XLOOKUP(ITEM_MASTER!$A17,'Bill of Materials'!$C$2:$C$61,'Bill of Materials'!$I$2:$I$61)="Japan", "FOB_JP", "EXW_VN")</f>
        <v>FOB_JP</v>
      </c>
      <c r="D17" s="35">
        <f t="array" ref="D17">IF(ITEM_MASTER!$C17="FOB_JP", XLOOKUP(ITEM_MASTER!$A17,'Foreign Suppliers'!$A$2:$A$37,'Foreign Suppliers'!$H$2:$H$37), XLOOKUP(ITEM_MASTER!$A17, 'Local Suppliers'!$A$2:$A$25, 'Local Suppliers'!$H$2:$H$25))</f>
        <v>8643.97</v>
      </c>
      <c r="E17" s="33">
        <f t="array" ref="E17">XLOOKUP(ITEM_MASTER!$A17,'Packing Specification'!$A$2:$A$61,'Packing Specification'!$C$2:$C$61)</f>
        <v>7</v>
      </c>
      <c r="F17" s="33">
        <f t="array" ref="F17">XLOOKUP(ITEM_MASTER!$A17,'Inventory Status'!$A$2:$A$41,'Inventory Status'!$I$2:$I$41,0)</f>
        <v>0</v>
      </c>
    </row>
    <row r="18" ht="14.25" customHeight="1">
      <c r="A18" s="33" t="s">
        <v>57</v>
      </c>
      <c r="B18" s="33">
        <f t="array" ref="B18">XLOOKUP(ITEM_MASTER!$A18,'Bill of Materials'!$C$2:$C$61,'Bill of Materials'!$A$2:$A$61)</f>
        <v>1</v>
      </c>
      <c r="C18" s="33" t="str">
        <f t="array" ref="C18">IF(XLOOKUP(ITEM_MASTER!$A18,'Bill of Materials'!$C$2:$C$61,'Bill of Materials'!$I$2:$I$61)="Japan", "FOB_JP", "EXW_VN")</f>
        <v>EXW_VN</v>
      </c>
      <c r="D18" s="35">
        <f t="array" ref="D18">IF(ITEM_MASTER!$C18="FOB_JP", XLOOKUP(ITEM_MASTER!$A18,'Foreign Suppliers'!$A$2:$A$37,'Foreign Suppliers'!$H$2:$H$37), XLOOKUP(ITEM_MASTER!$A18, 'Local Suppliers'!$A$2:$A$25, 'Local Suppliers'!$H$2:$H$25))</f>
        <v>4989.86</v>
      </c>
      <c r="E18" s="33">
        <f t="array" ref="E18">XLOOKUP(ITEM_MASTER!$A18,'Packing Specification'!$A$2:$A$61,'Packing Specification'!$C$2:$C$61)</f>
        <v>28</v>
      </c>
      <c r="F18" s="33">
        <f t="array" ref="F18">XLOOKUP(ITEM_MASTER!$A18,'Inventory Status'!$A$2:$A$41,'Inventory Status'!$I$2:$I$41,0)</f>
        <v>0</v>
      </c>
    </row>
    <row r="19" ht="14.25" customHeight="1">
      <c r="A19" s="33" t="s">
        <v>59</v>
      </c>
      <c r="B19" s="33">
        <f t="array" ref="B19">XLOOKUP(ITEM_MASTER!$A19,'Bill of Materials'!$C$2:$C$61,'Bill of Materials'!$A$2:$A$61)</f>
        <v>1</v>
      </c>
      <c r="C19" s="33" t="str">
        <f t="array" ref="C19">IF(XLOOKUP(ITEM_MASTER!$A19,'Bill of Materials'!$C$2:$C$61,'Bill of Materials'!$I$2:$I$61)="Japan", "FOB_JP", "EXW_VN")</f>
        <v>FOB_JP</v>
      </c>
      <c r="D19" s="35">
        <f t="array" ref="D19">IF(ITEM_MASTER!$C19="FOB_JP", XLOOKUP(ITEM_MASTER!$A19,'Foreign Suppliers'!$A$2:$A$37,'Foreign Suppliers'!$H$2:$H$37), XLOOKUP(ITEM_MASTER!$A19, 'Local Suppliers'!$A$2:$A$25, 'Local Suppliers'!$H$2:$H$25))</f>
        <v>8643.97</v>
      </c>
      <c r="E19" s="33">
        <f t="array" ref="E19">XLOOKUP(ITEM_MASTER!$A19,'Packing Specification'!$A$2:$A$61,'Packing Specification'!$C$2:$C$61)</f>
        <v>14</v>
      </c>
      <c r="F19" s="33">
        <f t="array" ref="F19">XLOOKUP(ITEM_MASTER!$A19,'Inventory Status'!$A$2:$A$41,'Inventory Status'!$I$2:$I$41,0)</f>
        <v>0</v>
      </c>
    </row>
    <row r="20" ht="14.25" customHeight="1">
      <c r="A20" s="33" t="s">
        <v>61</v>
      </c>
      <c r="B20" s="33">
        <f t="array" ref="B20">XLOOKUP(ITEM_MASTER!$A20,'Bill of Materials'!$C$2:$C$61,'Bill of Materials'!$A$2:$A$61)</f>
        <v>1</v>
      </c>
      <c r="C20" s="33" t="str">
        <f t="array" ref="C20">IF(XLOOKUP(ITEM_MASTER!$A20,'Bill of Materials'!$C$2:$C$61,'Bill of Materials'!$I$2:$I$61)="Japan", "FOB_JP", "EXW_VN")</f>
        <v>FOB_JP</v>
      </c>
      <c r="D20" s="35">
        <f t="array" ref="D20">IF(ITEM_MASTER!$C20="FOB_JP", XLOOKUP(ITEM_MASTER!$A20,'Foreign Suppliers'!$A$2:$A$37,'Foreign Suppliers'!$H$2:$H$37), XLOOKUP(ITEM_MASTER!$A20, 'Local Suppliers'!$A$2:$A$25, 'Local Suppliers'!$H$2:$H$25))</f>
        <v>8643.97</v>
      </c>
      <c r="E20" s="33">
        <f t="array" ref="E20">XLOOKUP(ITEM_MASTER!$A20,'Packing Specification'!$A$2:$A$61,'Packing Specification'!$C$2:$C$61)</f>
        <v>10</v>
      </c>
      <c r="F20" s="33">
        <f t="array" ref="F20">XLOOKUP(ITEM_MASTER!$A20,'Inventory Status'!$A$2:$A$41,'Inventory Status'!$I$2:$I$41,0)</f>
        <v>0</v>
      </c>
    </row>
    <row r="21" ht="14.25" customHeight="1">
      <c r="A21" s="33" t="s">
        <v>63</v>
      </c>
      <c r="B21" s="33">
        <f t="array" ref="B21">XLOOKUP(ITEM_MASTER!$A21,'Bill of Materials'!$C$2:$C$61,'Bill of Materials'!$A$2:$A$61)</f>
        <v>1</v>
      </c>
      <c r="C21" s="33" t="str">
        <f t="array" ref="C21">IF(XLOOKUP(ITEM_MASTER!$A21,'Bill of Materials'!$C$2:$C$61,'Bill of Materials'!$I$2:$I$61)="Japan", "FOB_JP", "EXW_VN")</f>
        <v>EXW_VN</v>
      </c>
      <c r="D21" s="35">
        <f t="array" ref="D21">IF(ITEM_MASTER!$C21="FOB_JP", XLOOKUP(ITEM_MASTER!$A21,'Foreign Suppliers'!$A$2:$A$37,'Foreign Suppliers'!$H$2:$H$37), XLOOKUP(ITEM_MASTER!$A21, 'Local Suppliers'!$A$2:$A$25, 'Local Suppliers'!$H$2:$H$25))</f>
        <v>4989.86</v>
      </c>
      <c r="E21" s="33">
        <f t="array" ref="E21">XLOOKUP(ITEM_MASTER!$A21,'Packing Specification'!$A$2:$A$61,'Packing Specification'!$C$2:$C$61)</f>
        <v>84</v>
      </c>
      <c r="F21" s="33">
        <f t="array" ref="F21">XLOOKUP(ITEM_MASTER!$A21,'Inventory Status'!$A$2:$A$41,'Inventory Status'!$I$2:$I$41,0)</f>
        <v>0</v>
      </c>
    </row>
    <row r="22" ht="14.25" customHeight="1">
      <c r="A22" s="33" t="s">
        <v>65</v>
      </c>
      <c r="B22" s="33">
        <f t="array" ref="B22">XLOOKUP(ITEM_MASTER!$A22,'Bill of Materials'!$C$2:$C$61,'Bill of Materials'!$A$2:$A$61)</f>
        <v>2</v>
      </c>
      <c r="C22" s="33" t="str">
        <f t="array" ref="C22">IF(XLOOKUP(ITEM_MASTER!$A22,'Bill of Materials'!$C$2:$C$61,'Bill of Materials'!$I$2:$I$61)="Japan", "FOB_JP", "EXW_VN")</f>
        <v>FOB_JP</v>
      </c>
      <c r="D22" s="35">
        <f t="array" ref="D22">IF(ITEM_MASTER!$C22="FOB_JP", XLOOKUP(ITEM_MASTER!$A22,'Foreign Suppliers'!$A$2:$A$37,'Foreign Suppliers'!$H$2:$H$37), XLOOKUP(ITEM_MASTER!$A22, 'Local Suppliers'!$A$2:$A$25, 'Local Suppliers'!$H$2:$H$25))</f>
        <v>1056.55</v>
      </c>
      <c r="E22" s="33">
        <f t="array" ref="E22">XLOOKUP(ITEM_MASTER!$A22,'Packing Specification'!$A$2:$A$61,'Packing Specification'!$C$2:$C$61)</f>
        <v>50</v>
      </c>
      <c r="F22" s="33">
        <f t="array" ref="F22">XLOOKUP(ITEM_MASTER!$A22,'Inventory Status'!$A$2:$A$41,'Inventory Status'!$I$2:$I$41,0)</f>
        <v>99</v>
      </c>
    </row>
    <row r="23" ht="14.25" customHeight="1">
      <c r="A23" s="33" t="s">
        <v>67</v>
      </c>
      <c r="B23" s="33">
        <f t="array" ref="B23">XLOOKUP(ITEM_MASTER!$A23,'Bill of Materials'!$C$2:$C$61,'Bill of Materials'!$A$2:$A$61)</f>
        <v>2</v>
      </c>
      <c r="C23" s="33" t="str">
        <f t="array" ref="C23">IF(XLOOKUP(ITEM_MASTER!$A23,'Bill of Materials'!$C$2:$C$61,'Bill of Materials'!$I$2:$I$61)="Japan", "FOB_JP", "EXW_VN")</f>
        <v>FOB_JP</v>
      </c>
      <c r="D23" s="35">
        <f t="array" ref="D23">IF(ITEM_MASTER!$C23="FOB_JP", XLOOKUP(ITEM_MASTER!$A23,'Foreign Suppliers'!$A$2:$A$37,'Foreign Suppliers'!$H$2:$H$37), XLOOKUP(ITEM_MASTER!$A23, 'Local Suppliers'!$A$2:$A$25, 'Local Suppliers'!$H$2:$H$25))</f>
        <v>2991.54</v>
      </c>
      <c r="E23" s="33">
        <f t="array" ref="E23">XLOOKUP(ITEM_MASTER!$A23,'Packing Specification'!$A$2:$A$61,'Packing Specification'!$C$2:$C$61)</f>
        <v>50</v>
      </c>
      <c r="F23" s="33">
        <f t="array" ref="F23">XLOOKUP(ITEM_MASTER!$A23,'Inventory Status'!$A$2:$A$41,'Inventory Status'!$I$2:$I$41,0)</f>
        <v>62</v>
      </c>
    </row>
    <row r="24" ht="14.25" customHeight="1">
      <c r="A24" s="33" t="s">
        <v>70</v>
      </c>
      <c r="B24" s="33">
        <f t="array" ref="B24">XLOOKUP(ITEM_MASTER!$A24,'Bill of Materials'!$C$2:$C$61,'Bill of Materials'!$A$2:$A$61)</f>
        <v>2</v>
      </c>
      <c r="C24" s="33" t="str">
        <f t="array" ref="C24">IF(XLOOKUP(ITEM_MASTER!$A24,'Bill of Materials'!$C$2:$C$61,'Bill of Materials'!$I$2:$I$61)="Japan", "FOB_JP", "EXW_VN")</f>
        <v>EXW_VN</v>
      </c>
      <c r="D24" s="35">
        <f t="array" ref="D24">IF(ITEM_MASTER!$C24="FOB_JP", XLOOKUP(ITEM_MASTER!$A24,'Foreign Suppliers'!$A$2:$A$37,'Foreign Suppliers'!$H$2:$H$37), XLOOKUP(ITEM_MASTER!$A24, 'Local Suppliers'!$A$2:$A$25, 'Local Suppliers'!$H$2:$H$25))</f>
        <v>302.74</v>
      </c>
      <c r="E24" s="33">
        <f t="array" ref="E24">XLOOKUP(ITEM_MASTER!$A24,'Packing Specification'!$A$2:$A$61,'Packing Specification'!$C$2:$C$61)</f>
        <v>50</v>
      </c>
      <c r="F24" s="33">
        <f t="array" ref="F24">XLOOKUP(ITEM_MASTER!$A24,'Inventory Status'!$A$2:$A$41,'Inventory Status'!$I$2:$I$41,0)</f>
        <v>139</v>
      </c>
    </row>
    <row r="25" ht="14.25" customHeight="1">
      <c r="A25" s="33" t="s">
        <v>72</v>
      </c>
      <c r="B25" s="33">
        <f t="array" ref="B25">XLOOKUP(ITEM_MASTER!$A25,'Bill of Materials'!$C$2:$C$61,'Bill of Materials'!$A$2:$A$61)</f>
        <v>2</v>
      </c>
      <c r="C25" s="33" t="str">
        <f t="array" ref="C25">IF(XLOOKUP(ITEM_MASTER!$A25,'Bill of Materials'!$C$2:$C$61,'Bill of Materials'!$I$2:$I$61)="Japan", "FOB_JP", "EXW_VN")</f>
        <v>EXW_VN</v>
      </c>
      <c r="D25" s="35">
        <f t="array" ref="D25">IF(ITEM_MASTER!$C25="FOB_JP", XLOOKUP(ITEM_MASTER!$A25,'Foreign Suppliers'!$A$2:$A$37,'Foreign Suppliers'!$H$2:$H$37), XLOOKUP(ITEM_MASTER!$A25, 'Local Suppliers'!$A$2:$A$25, 'Local Suppliers'!$H$2:$H$25))</f>
        <v>1870.55</v>
      </c>
      <c r="E25" s="33">
        <f t="array" ref="E25">XLOOKUP(ITEM_MASTER!$A25,'Packing Specification'!$A$2:$A$61,'Packing Specification'!$C$2:$C$61)</f>
        <v>50</v>
      </c>
      <c r="F25" s="33">
        <f t="array" ref="F25">XLOOKUP(ITEM_MASTER!$A25,'Inventory Status'!$A$2:$A$41,'Inventory Status'!$I$2:$I$41,0)</f>
        <v>93</v>
      </c>
    </row>
    <row r="26" ht="14.25" customHeight="1">
      <c r="A26" s="33" t="s">
        <v>74</v>
      </c>
      <c r="B26" s="33">
        <f t="array" ref="B26">XLOOKUP(ITEM_MASTER!$A26,'Bill of Materials'!$C$2:$C$61,'Bill of Materials'!$A$2:$A$61)</f>
        <v>2</v>
      </c>
      <c r="C26" s="33" t="str">
        <f t="array" ref="C26">IF(XLOOKUP(ITEM_MASTER!$A26,'Bill of Materials'!$C$2:$C$61,'Bill of Materials'!$I$2:$I$61)="Japan", "FOB_JP", "EXW_VN")</f>
        <v>FOB_JP</v>
      </c>
      <c r="D26" s="35">
        <f t="array" ref="D26">IF(ITEM_MASTER!$C26="FOB_JP", XLOOKUP(ITEM_MASTER!$A26,'Foreign Suppliers'!$A$2:$A$37,'Foreign Suppliers'!$H$2:$H$37), XLOOKUP(ITEM_MASTER!$A26, 'Local Suppliers'!$A$2:$A$25, 'Local Suppliers'!$H$2:$H$25))</f>
        <v>828.24</v>
      </c>
      <c r="E26" s="33">
        <f t="array" ref="E26">XLOOKUP(ITEM_MASTER!$A26,'Packing Specification'!$A$2:$A$61,'Packing Specification'!$C$2:$C$61)</f>
        <v>20</v>
      </c>
      <c r="F26" s="33">
        <f t="array" ref="F26">XLOOKUP(ITEM_MASTER!$A26,'Inventory Status'!$A$2:$A$41,'Inventory Status'!$I$2:$I$41,0)</f>
        <v>101</v>
      </c>
    </row>
    <row r="27" ht="14.25" customHeight="1">
      <c r="A27" s="33" t="s">
        <v>76</v>
      </c>
      <c r="B27" s="33">
        <f t="array" ref="B27">XLOOKUP(ITEM_MASTER!$A27,'Bill of Materials'!$C$2:$C$61,'Bill of Materials'!$A$2:$A$61)</f>
        <v>2</v>
      </c>
      <c r="C27" s="33" t="str">
        <f t="array" ref="C27">IF(XLOOKUP(ITEM_MASTER!$A27,'Bill of Materials'!$C$2:$C$61,'Bill of Materials'!$I$2:$I$61)="Japan", "FOB_JP", "EXW_VN")</f>
        <v>FOB_JP</v>
      </c>
      <c r="D27" s="35">
        <f t="array" ref="D27">IF(ITEM_MASTER!$C27="FOB_JP", XLOOKUP(ITEM_MASTER!$A27,'Foreign Suppliers'!$A$2:$A$37,'Foreign Suppliers'!$H$2:$H$37), XLOOKUP(ITEM_MASTER!$A27, 'Local Suppliers'!$A$2:$A$25, 'Local Suppliers'!$H$2:$H$25))</f>
        <v>3219.85</v>
      </c>
      <c r="E27" s="33">
        <f t="array" ref="E27">XLOOKUP(ITEM_MASTER!$A27,'Packing Specification'!$A$2:$A$61,'Packing Specification'!$C$2:$C$61)</f>
        <v>50</v>
      </c>
      <c r="F27" s="33">
        <f t="array" ref="F27">XLOOKUP(ITEM_MASTER!$A27,'Inventory Status'!$A$2:$A$41,'Inventory Status'!$I$2:$I$41,0)</f>
        <v>120</v>
      </c>
    </row>
    <row r="28" ht="14.25" customHeight="1">
      <c r="A28" s="33" t="s">
        <v>78</v>
      </c>
      <c r="B28" s="33">
        <f t="array" ref="B28">XLOOKUP(ITEM_MASTER!$A28,'Bill of Materials'!$C$2:$C$61,'Bill of Materials'!$A$2:$A$61)</f>
        <v>2</v>
      </c>
      <c r="C28" s="33" t="str">
        <f t="array" ref="C28">IF(XLOOKUP(ITEM_MASTER!$A28,'Bill of Materials'!$C$2:$C$61,'Bill of Materials'!$I$2:$I$61)="Japan", "FOB_JP", "EXW_VN")</f>
        <v>FOB_JP</v>
      </c>
      <c r="D28" s="35">
        <f t="array" ref="D28">IF(ITEM_MASTER!$C28="FOB_JP", XLOOKUP(ITEM_MASTER!$A28,'Foreign Suppliers'!$A$2:$A$37,'Foreign Suppliers'!$H$2:$H$37), XLOOKUP(ITEM_MASTER!$A28, 'Local Suppliers'!$A$2:$A$25, 'Local Suppliers'!$H$2:$H$25))</f>
        <v>664.3</v>
      </c>
      <c r="E28" s="33">
        <f t="array" ref="E28">XLOOKUP(ITEM_MASTER!$A28,'Packing Specification'!$A$2:$A$61,'Packing Specification'!$C$2:$C$61)</f>
        <v>50</v>
      </c>
      <c r="F28" s="33">
        <f t="array" ref="F28">XLOOKUP(ITEM_MASTER!$A28,'Inventory Status'!$A$2:$A$41,'Inventory Status'!$I$2:$I$41,0)</f>
        <v>197</v>
      </c>
    </row>
    <row r="29" ht="14.25" customHeight="1">
      <c r="A29" s="33" t="s">
        <v>80</v>
      </c>
      <c r="B29" s="33">
        <f t="array" ref="B29">XLOOKUP(ITEM_MASTER!$A29,'Bill of Materials'!$C$2:$C$61,'Bill of Materials'!$A$2:$A$61)</f>
        <v>2</v>
      </c>
      <c r="C29" s="33" t="str">
        <f t="array" ref="C29">IF(XLOOKUP(ITEM_MASTER!$A29,'Bill of Materials'!$C$2:$C$61,'Bill of Materials'!$I$2:$I$61)="Japan", "FOB_JP", "EXW_VN")</f>
        <v>FOB_JP</v>
      </c>
      <c r="D29" s="35">
        <f t="array" ref="D29">IF(ITEM_MASTER!$C29="FOB_JP", XLOOKUP(ITEM_MASTER!$A29,'Foreign Suppliers'!$A$2:$A$37,'Foreign Suppliers'!$H$2:$H$37), XLOOKUP(ITEM_MASTER!$A29, 'Local Suppliers'!$A$2:$A$25, 'Local Suppliers'!$H$2:$H$25))</f>
        <v>3383.8</v>
      </c>
      <c r="E29" s="33">
        <f t="array" ref="E29">XLOOKUP(ITEM_MASTER!$A29,'Packing Specification'!$A$2:$A$61,'Packing Specification'!$C$2:$C$61)</f>
        <v>50</v>
      </c>
      <c r="F29" s="33">
        <f t="array" ref="F29">XLOOKUP(ITEM_MASTER!$A29,'Inventory Status'!$A$2:$A$41,'Inventory Status'!$I$2:$I$41,0)</f>
        <v>181</v>
      </c>
    </row>
    <row r="30" ht="14.25" customHeight="1">
      <c r="A30" s="33" t="s">
        <v>82</v>
      </c>
      <c r="B30" s="33">
        <f t="array" ref="B30">XLOOKUP(ITEM_MASTER!$A30,'Bill of Materials'!$C$2:$C$61,'Bill of Materials'!$A$2:$A$61)</f>
        <v>2</v>
      </c>
      <c r="C30" s="33" t="str">
        <f t="array" ref="C30">IF(XLOOKUP(ITEM_MASTER!$A30,'Bill of Materials'!$C$2:$C$61,'Bill of Materials'!$I$2:$I$61)="Japan", "FOB_JP", "EXW_VN")</f>
        <v>EXW_VN</v>
      </c>
      <c r="D30" s="35">
        <f t="array" ref="D30">IF(ITEM_MASTER!$C30="FOB_JP", XLOOKUP(ITEM_MASTER!$A30,'Foreign Suppliers'!$A$2:$A$37,'Foreign Suppliers'!$H$2:$H$37), XLOOKUP(ITEM_MASTER!$A30, 'Local Suppliers'!$A$2:$A$25, 'Local Suppliers'!$H$2:$H$25))</f>
        <v>1056.87</v>
      </c>
      <c r="E30" s="33">
        <f t="array" ref="E30">XLOOKUP(ITEM_MASTER!$A30,'Packing Specification'!$A$2:$A$61,'Packing Specification'!$C$2:$C$61)</f>
        <v>50</v>
      </c>
      <c r="F30" s="33">
        <f t="array" ref="F30">XLOOKUP(ITEM_MASTER!$A30,'Inventory Status'!$A$2:$A$41,'Inventory Status'!$I$2:$I$41,0)</f>
        <v>17</v>
      </c>
    </row>
    <row r="31" ht="14.25" customHeight="1">
      <c r="A31" s="33" t="s">
        <v>84</v>
      </c>
      <c r="B31" s="33">
        <f t="array" ref="B31">XLOOKUP(ITEM_MASTER!$A31,'Bill of Materials'!$C$2:$C$61,'Bill of Materials'!$A$2:$A$61)</f>
        <v>2</v>
      </c>
      <c r="C31" s="33" t="str">
        <f t="array" ref="C31">IF(XLOOKUP(ITEM_MASTER!$A31,'Bill of Materials'!$C$2:$C$61,'Bill of Materials'!$I$2:$I$61)="Japan", "FOB_JP", "EXW_VN")</f>
        <v>EXW_VN</v>
      </c>
      <c r="D31" s="35">
        <f t="array" ref="D31">IF(ITEM_MASTER!$C31="FOB_JP", XLOOKUP(ITEM_MASTER!$A31,'Foreign Suppliers'!$A$2:$A$37,'Foreign Suppliers'!$H$2:$H$37), XLOOKUP(ITEM_MASTER!$A31, 'Local Suppliers'!$A$2:$A$25, 'Local Suppliers'!$H$2:$H$25))</f>
        <v>1116.42</v>
      </c>
      <c r="E31" s="33">
        <f t="array" ref="E31">XLOOKUP(ITEM_MASTER!$A31,'Packing Specification'!$A$2:$A$61,'Packing Specification'!$C$2:$C$61)</f>
        <v>50</v>
      </c>
      <c r="F31" s="33">
        <f t="array" ref="F31">XLOOKUP(ITEM_MASTER!$A31,'Inventory Status'!$A$2:$A$41,'Inventory Status'!$I$2:$I$41,0)</f>
        <v>184</v>
      </c>
    </row>
    <row r="32" ht="14.25" customHeight="1">
      <c r="A32" s="33" t="s">
        <v>86</v>
      </c>
      <c r="B32" s="33">
        <f t="array" ref="B32">XLOOKUP(ITEM_MASTER!$A32,'Bill of Materials'!$C$2:$C$61,'Bill of Materials'!$A$2:$A$61)</f>
        <v>2</v>
      </c>
      <c r="C32" s="33" t="str">
        <f t="array" ref="C32">IF(XLOOKUP(ITEM_MASTER!$A32,'Bill of Materials'!$C$2:$C$61,'Bill of Materials'!$I$2:$I$61)="Japan", "FOB_JP", "EXW_VN")</f>
        <v>FOB_JP</v>
      </c>
      <c r="D32" s="35">
        <f t="array" ref="D32">IF(ITEM_MASTER!$C32="FOB_JP", XLOOKUP(ITEM_MASTER!$A32,'Foreign Suppliers'!$A$2:$A$37,'Foreign Suppliers'!$H$2:$H$37), XLOOKUP(ITEM_MASTER!$A32, 'Local Suppliers'!$A$2:$A$25, 'Local Suppliers'!$H$2:$H$25))</f>
        <v>4221.66</v>
      </c>
      <c r="E32" s="33">
        <f t="array" ref="E32">XLOOKUP(ITEM_MASTER!$A32,'Packing Specification'!$A$2:$A$61,'Packing Specification'!$C$2:$C$61)</f>
        <v>35</v>
      </c>
      <c r="F32" s="33">
        <f t="array" ref="F32">XLOOKUP(ITEM_MASTER!$A32,'Inventory Status'!$A$2:$A$41,'Inventory Status'!$I$2:$I$41,0)</f>
        <v>44</v>
      </c>
    </row>
    <row r="33" ht="14.25" customHeight="1">
      <c r="A33" s="33" t="s">
        <v>88</v>
      </c>
      <c r="B33" s="33">
        <f t="array" ref="B33">XLOOKUP(ITEM_MASTER!$A33,'Bill of Materials'!$C$2:$C$61,'Bill of Materials'!$A$2:$A$61)</f>
        <v>2</v>
      </c>
      <c r="C33" s="33" t="str">
        <f t="array" ref="C33">IF(XLOOKUP(ITEM_MASTER!$A33,'Bill of Materials'!$C$2:$C$61,'Bill of Materials'!$I$2:$I$61)="Japan", "FOB_JP", "EXW_VN")</f>
        <v>FOB_JP</v>
      </c>
      <c r="D33" s="35">
        <f t="array" ref="D33">IF(ITEM_MASTER!$C33="FOB_JP", XLOOKUP(ITEM_MASTER!$A33,'Foreign Suppliers'!$A$2:$A$37,'Foreign Suppliers'!$H$2:$H$37), XLOOKUP(ITEM_MASTER!$A33, 'Local Suppliers'!$A$2:$A$25, 'Local Suppliers'!$H$2:$H$25))</f>
        <v>6803.82</v>
      </c>
      <c r="E33" s="33">
        <f t="array" ref="E33">XLOOKUP(ITEM_MASTER!$A33,'Packing Specification'!$A$2:$A$61,'Packing Specification'!$C$2:$C$61)</f>
        <v>35</v>
      </c>
      <c r="F33" s="33">
        <f t="array" ref="F33">XLOOKUP(ITEM_MASTER!$A33,'Inventory Status'!$A$2:$A$41,'Inventory Status'!$I$2:$I$41,0)</f>
        <v>90</v>
      </c>
    </row>
    <row r="34" ht="14.25" customHeight="1">
      <c r="A34" s="33" t="s">
        <v>90</v>
      </c>
      <c r="B34" s="33">
        <f t="array" ref="B34">XLOOKUP(ITEM_MASTER!$A34,'Bill of Materials'!$C$2:$C$61,'Bill of Materials'!$A$2:$A$61)</f>
        <v>2</v>
      </c>
      <c r="C34" s="33" t="str">
        <f t="array" ref="C34">IF(XLOOKUP(ITEM_MASTER!$A34,'Bill of Materials'!$C$2:$C$61,'Bill of Materials'!$I$2:$I$61)="Japan", "FOB_JP", "EXW_VN")</f>
        <v>EXW_VN</v>
      </c>
      <c r="D34" s="35">
        <f t="array" ref="D34">IF(ITEM_MASTER!$C34="FOB_JP", XLOOKUP(ITEM_MASTER!$A34,'Foreign Suppliers'!$A$2:$A$37,'Foreign Suppliers'!$H$2:$H$37), XLOOKUP(ITEM_MASTER!$A34, 'Local Suppliers'!$A$2:$A$25, 'Local Suppliers'!$H$2:$H$25))</f>
        <v>4065.72</v>
      </c>
      <c r="E34" s="33">
        <f t="array" ref="E34">XLOOKUP(ITEM_MASTER!$A34,'Packing Specification'!$A$2:$A$61,'Packing Specification'!$C$2:$C$61)</f>
        <v>35</v>
      </c>
      <c r="F34" s="33">
        <f t="array" ref="F34">XLOOKUP(ITEM_MASTER!$A34,'Inventory Status'!$A$2:$A$41,'Inventory Status'!$I$2:$I$41,0)</f>
        <v>173</v>
      </c>
    </row>
    <row r="35" ht="14.25" customHeight="1">
      <c r="A35" s="33" t="s">
        <v>92</v>
      </c>
      <c r="B35" s="33">
        <f t="array" ref="B35">XLOOKUP(ITEM_MASTER!$A35,'Bill of Materials'!$C$2:$C$61,'Bill of Materials'!$A$2:$A$61)</f>
        <v>2</v>
      </c>
      <c r="C35" s="33" t="str">
        <f t="array" ref="C35">IF(XLOOKUP(ITEM_MASTER!$A35,'Bill of Materials'!$C$2:$C$61,'Bill of Materials'!$I$2:$I$61)="Japan", "FOB_JP", "EXW_VN")</f>
        <v>EXW_VN</v>
      </c>
      <c r="D35" s="35">
        <f t="array" ref="D35">IF(ITEM_MASTER!$C35="FOB_JP", XLOOKUP(ITEM_MASTER!$A35,'Foreign Suppliers'!$A$2:$A$37,'Foreign Suppliers'!$H$2:$H$37), XLOOKUP(ITEM_MASTER!$A35, 'Local Suppliers'!$A$2:$A$25, 'Local Suppliers'!$H$2:$H$25))</f>
        <v>2298.9</v>
      </c>
      <c r="E35" s="33">
        <f t="array" ref="E35">XLOOKUP(ITEM_MASTER!$A35,'Packing Specification'!$A$2:$A$61,'Packing Specification'!$C$2:$C$61)</f>
        <v>35</v>
      </c>
      <c r="F35" s="33">
        <f t="array" ref="F35">XLOOKUP(ITEM_MASTER!$A35,'Inventory Status'!$A$2:$A$41,'Inventory Status'!$I$2:$I$41,0)</f>
        <v>59</v>
      </c>
    </row>
    <row r="36" ht="14.25" customHeight="1">
      <c r="A36" s="33" t="s">
        <v>94</v>
      </c>
      <c r="B36" s="33">
        <f t="array" ref="B36">XLOOKUP(ITEM_MASTER!$A36,'Bill of Materials'!$C$2:$C$61,'Bill of Materials'!$A$2:$A$61)</f>
        <v>2</v>
      </c>
      <c r="C36" s="33" t="str">
        <f t="array" ref="C36">IF(XLOOKUP(ITEM_MASTER!$A36,'Bill of Materials'!$C$2:$C$61,'Bill of Materials'!$I$2:$I$61)="Japan", "FOB_JP", "EXW_VN")</f>
        <v>FOB_JP</v>
      </c>
      <c r="D36" s="35">
        <f t="array" ref="D36">IF(ITEM_MASTER!$C36="FOB_JP", XLOOKUP(ITEM_MASTER!$A36,'Foreign Suppliers'!$A$2:$A$37,'Foreign Suppliers'!$H$2:$H$37), XLOOKUP(ITEM_MASTER!$A36, 'Local Suppliers'!$A$2:$A$25, 'Local Suppliers'!$H$2:$H$25))</f>
        <v>5824.76</v>
      </c>
      <c r="E36" s="33">
        <f t="array" ref="E36">XLOOKUP(ITEM_MASTER!$A36,'Packing Specification'!$A$2:$A$61,'Packing Specification'!$C$2:$C$61)</f>
        <v>14</v>
      </c>
      <c r="F36" s="33">
        <f t="array" ref="F36">XLOOKUP(ITEM_MASTER!$A36,'Inventory Status'!$A$2:$A$41,'Inventory Status'!$I$2:$I$41,0)</f>
        <v>113</v>
      </c>
    </row>
    <row r="37" ht="14.25" customHeight="1">
      <c r="A37" s="33" t="s">
        <v>96</v>
      </c>
      <c r="B37" s="33">
        <f t="array" ref="B37">XLOOKUP(ITEM_MASTER!$A37,'Bill of Materials'!$C$2:$C$61,'Bill of Materials'!$A$2:$A$61)</f>
        <v>2</v>
      </c>
      <c r="C37" s="33" t="str">
        <f t="array" ref="C37">IF(XLOOKUP(ITEM_MASTER!$A37,'Bill of Materials'!$C$2:$C$61,'Bill of Materials'!$I$2:$I$61)="Japan", "FOB_JP", "EXW_VN")</f>
        <v>FOB_JP</v>
      </c>
      <c r="D37" s="35">
        <f t="array" ref="D37">IF(ITEM_MASTER!$C37="FOB_JP", XLOOKUP(ITEM_MASTER!$A37,'Foreign Suppliers'!$A$2:$A$37,'Foreign Suppliers'!$H$2:$H$37), XLOOKUP(ITEM_MASTER!$A37, 'Local Suppliers'!$A$2:$A$25, 'Local Suppliers'!$H$2:$H$25))</f>
        <v>5200.72</v>
      </c>
      <c r="E37" s="33">
        <f t="array" ref="E37">XLOOKUP(ITEM_MASTER!$A37,'Packing Specification'!$A$2:$A$61,'Packing Specification'!$C$2:$C$61)</f>
        <v>35</v>
      </c>
      <c r="F37" s="33">
        <f t="array" ref="F37">XLOOKUP(ITEM_MASTER!$A37,'Inventory Status'!$A$2:$A$41,'Inventory Status'!$I$2:$I$41,0)</f>
        <v>141</v>
      </c>
    </row>
    <row r="38" ht="14.25" customHeight="1">
      <c r="A38" s="33" t="s">
        <v>98</v>
      </c>
      <c r="B38" s="33">
        <f t="array" ref="B38">XLOOKUP(ITEM_MASTER!$A38,'Bill of Materials'!$C$2:$C$61,'Bill of Materials'!$A$2:$A$61)</f>
        <v>2</v>
      </c>
      <c r="C38" s="33" t="str">
        <f t="array" ref="C38">IF(XLOOKUP(ITEM_MASTER!$A38,'Bill of Materials'!$C$2:$C$61,'Bill of Materials'!$I$2:$I$61)="Japan", "FOB_JP", "EXW_VN")</f>
        <v>FOB_JP</v>
      </c>
      <c r="D38" s="35">
        <f t="array" ref="D38">IF(ITEM_MASTER!$C38="FOB_JP", XLOOKUP(ITEM_MASTER!$A38,'Foreign Suppliers'!$A$2:$A$37,'Foreign Suppliers'!$H$2:$H$37), XLOOKUP(ITEM_MASTER!$A38, 'Local Suppliers'!$A$2:$A$25, 'Local Suppliers'!$H$2:$H$25))</f>
        <v>8465.36</v>
      </c>
      <c r="E38" s="33">
        <f t="array" ref="E38">XLOOKUP(ITEM_MASTER!$A38,'Packing Specification'!$A$2:$A$61,'Packing Specification'!$C$2:$C$61)</f>
        <v>35</v>
      </c>
      <c r="F38" s="33">
        <f t="array" ref="F38">XLOOKUP(ITEM_MASTER!$A38,'Inventory Status'!$A$2:$A$41,'Inventory Status'!$I$2:$I$41,0)</f>
        <v>11</v>
      </c>
    </row>
    <row r="39" ht="14.25" customHeight="1">
      <c r="A39" s="33" t="s">
        <v>100</v>
      </c>
      <c r="B39" s="33">
        <f t="array" ref="B39">XLOOKUP(ITEM_MASTER!$A39,'Bill of Materials'!$C$2:$C$61,'Bill of Materials'!$A$2:$A$61)</f>
        <v>2</v>
      </c>
      <c r="C39" s="33" t="str">
        <f t="array" ref="C39">IF(XLOOKUP(ITEM_MASTER!$A39,'Bill of Materials'!$C$2:$C$61,'Bill of Materials'!$I$2:$I$61)="Japan", "FOB_JP", "EXW_VN")</f>
        <v>FOB_JP</v>
      </c>
      <c r="D39" s="35">
        <f t="array" ref="D39">IF(ITEM_MASTER!$C39="FOB_JP", XLOOKUP(ITEM_MASTER!$A39,'Foreign Suppliers'!$A$2:$A$37,'Foreign Suppliers'!$H$2:$H$37), XLOOKUP(ITEM_MASTER!$A39, 'Local Suppliers'!$A$2:$A$25, 'Local Suppliers'!$H$2:$H$25))</f>
        <v>2560.12</v>
      </c>
      <c r="E39" s="33">
        <f t="array" ref="E39">XLOOKUP(ITEM_MASTER!$A39,'Packing Specification'!$A$2:$A$61,'Packing Specification'!$C$2:$C$61)</f>
        <v>35</v>
      </c>
      <c r="F39" s="33">
        <f t="array" ref="F39">XLOOKUP(ITEM_MASTER!$A39,'Inventory Status'!$A$2:$A$41,'Inventory Status'!$I$2:$I$41,0)</f>
        <v>143</v>
      </c>
    </row>
    <row r="40" ht="14.25" customHeight="1">
      <c r="A40" s="33" t="s">
        <v>102</v>
      </c>
      <c r="B40" s="33">
        <f t="array" ref="B40">XLOOKUP(ITEM_MASTER!$A40,'Bill of Materials'!$C$2:$C$61,'Bill of Materials'!$A$2:$A$61)</f>
        <v>2</v>
      </c>
      <c r="C40" s="33" t="str">
        <f t="array" ref="C40">IF(XLOOKUP(ITEM_MASTER!$A40,'Bill of Materials'!$C$2:$C$61,'Bill of Materials'!$I$2:$I$61)="Japan", "FOB_JP", "EXW_VN")</f>
        <v>EXW_VN</v>
      </c>
      <c r="D40" s="35">
        <f t="array" ref="D40">IF(ITEM_MASTER!$C40="FOB_JP", XLOOKUP(ITEM_MASTER!$A40,'Foreign Suppliers'!$A$2:$A$37,'Foreign Suppliers'!$H$2:$H$37), XLOOKUP(ITEM_MASTER!$A40, 'Local Suppliers'!$A$2:$A$25, 'Local Suppliers'!$H$2:$H$25))</f>
        <v>2395.64</v>
      </c>
      <c r="E40" s="33">
        <f t="array" ref="E40">XLOOKUP(ITEM_MASTER!$A40,'Packing Specification'!$A$2:$A$61,'Packing Specification'!$C$2:$C$61)</f>
        <v>35</v>
      </c>
      <c r="F40" s="33">
        <f t="array" ref="F40">XLOOKUP(ITEM_MASTER!$A40,'Inventory Status'!$A$2:$A$41,'Inventory Status'!$I$2:$I$41,0)</f>
        <v>63</v>
      </c>
    </row>
    <row r="41" ht="14.25" customHeight="1">
      <c r="A41" s="33" t="s">
        <v>104</v>
      </c>
      <c r="B41" s="33">
        <f t="array" ref="B41">XLOOKUP(ITEM_MASTER!$A41,'Bill of Materials'!$C$2:$C$61,'Bill of Materials'!$A$2:$A$61)</f>
        <v>2</v>
      </c>
      <c r="C41" s="33" t="str">
        <f t="array" ref="C41">IF(XLOOKUP(ITEM_MASTER!$A41,'Bill of Materials'!$C$2:$C$61,'Bill of Materials'!$I$2:$I$61)="Japan", "FOB_JP", "EXW_VN")</f>
        <v>EXW_VN</v>
      </c>
      <c r="D41" s="35">
        <f t="array" ref="D41">IF(ITEM_MASTER!$C41="FOB_JP", XLOOKUP(ITEM_MASTER!$A41,'Foreign Suppliers'!$A$2:$A$37,'Foreign Suppliers'!$H$2:$H$37), XLOOKUP(ITEM_MASTER!$A41, 'Local Suppliers'!$A$2:$A$25, 'Local Suppliers'!$H$2:$H$25))</f>
        <v>3968.98</v>
      </c>
      <c r="E41" s="33">
        <f t="array" ref="E41">XLOOKUP(ITEM_MASTER!$A41,'Packing Specification'!$A$2:$A$61,'Packing Specification'!$C$2:$C$61)</f>
        <v>35</v>
      </c>
      <c r="F41" s="33">
        <f t="array" ref="F41">XLOOKUP(ITEM_MASTER!$A41,'Inventory Status'!$A$2:$A$41,'Inventory Status'!$I$2:$I$41,0)</f>
        <v>115</v>
      </c>
    </row>
    <row r="42" ht="14.25" customHeight="1">
      <c r="A42" s="33" t="s">
        <v>106</v>
      </c>
      <c r="B42" s="33">
        <f t="array" ref="B42">XLOOKUP(ITEM_MASTER!$A42,'Bill of Materials'!$C$2:$C$61,'Bill of Materials'!$A$2:$A$61)</f>
        <v>2</v>
      </c>
      <c r="C42" s="33" t="str">
        <f t="array" ref="C42">IF(XLOOKUP(ITEM_MASTER!$A42,'Bill of Materials'!$C$2:$C$61,'Bill of Materials'!$I$2:$I$61)="Japan", "FOB_JP", "EXW_VN")</f>
        <v>FOB_JP</v>
      </c>
      <c r="D42" s="35">
        <f t="array" ref="D42">IF(ITEM_MASTER!$C42="FOB_JP", XLOOKUP(ITEM_MASTER!$A42,'Foreign Suppliers'!$A$2:$A$37,'Foreign Suppliers'!$H$2:$H$37), XLOOKUP(ITEM_MASTER!$A42, 'Local Suppliers'!$A$2:$A$25, 'Local Suppliers'!$H$2:$H$25))</f>
        <v>3818.27</v>
      </c>
      <c r="E42" s="33">
        <f t="array" ref="E42">XLOOKUP(ITEM_MASTER!$A42,'Packing Specification'!$A$2:$A$61,'Packing Specification'!$C$2:$C$61)</f>
        <v>50</v>
      </c>
      <c r="F42" s="33">
        <f t="array" ref="F42">XLOOKUP(ITEM_MASTER!$A42,'Inventory Status'!$A$2:$A$41,'Inventory Status'!$I$2:$I$41,0)</f>
        <v>13</v>
      </c>
    </row>
    <row r="43" ht="14.25" customHeight="1">
      <c r="A43" s="33" t="s">
        <v>108</v>
      </c>
      <c r="B43" s="33">
        <f t="array" ref="B43">XLOOKUP(ITEM_MASTER!$A43,'Bill of Materials'!$C$2:$C$61,'Bill of Materials'!$A$2:$A$61)</f>
        <v>2</v>
      </c>
      <c r="C43" s="33" t="str">
        <f t="array" ref="C43">IF(XLOOKUP(ITEM_MASTER!$A43,'Bill of Materials'!$C$2:$C$61,'Bill of Materials'!$I$2:$I$61)="Japan", "FOB_JP", "EXW_VN")</f>
        <v>FOB_JP</v>
      </c>
      <c r="D43" s="35">
        <f t="array" ref="D43">IF(ITEM_MASTER!$C43="FOB_JP", XLOOKUP(ITEM_MASTER!$A43,'Foreign Suppliers'!$A$2:$A$37,'Foreign Suppliers'!$H$2:$H$37), XLOOKUP(ITEM_MASTER!$A43, 'Local Suppliers'!$A$2:$A$25, 'Local Suppliers'!$H$2:$H$25))</f>
        <v>1759.11</v>
      </c>
      <c r="E43" s="33">
        <f t="array" ref="E43">XLOOKUP(ITEM_MASTER!$A43,'Packing Specification'!$A$2:$A$61,'Packing Specification'!$C$2:$C$61)</f>
        <v>50</v>
      </c>
      <c r="F43" s="33">
        <f t="array" ref="F43">XLOOKUP(ITEM_MASTER!$A43,'Inventory Status'!$A$2:$A$41,'Inventory Status'!$I$2:$I$41,0)</f>
        <v>63</v>
      </c>
    </row>
    <row r="44" ht="14.25" customHeight="1">
      <c r="A44" s="33" t="s">
        <v>110</v>
      </c>
      <c r="B44" s="33">
        <f t="array" ref="B44">XLOOKUP(ITEM_MASTER!$A44,'Bill of Materials'!$C$2:$C$61,'Bill of Materials'!$A$2:$A$61)</f>
        <v>2</v>
      </c>
      <c r="C44" s="33" t="str">
        <f t="array" ref="C44">IF(XLOOKUP(ITEM_MASTER!$A44,'Bill of Materials'!$C$2:$C$61,'Bill of Materials'!$I$2:$I$61)="Japan", "FOB_JP", "EXW_VN")</f>
        <v>EXW_VN</v>
      </c>
      <c r="D44" s="35">
        <f t="array" ref="D44">IF(ITEM_MASTER!$C44="FOB_JP", XLOOKUP(ITEM_MASTER!$A44,'Foreign Suppliers'!$A$2:$A$37,'Foreign Suppliers'!$H$2:$H$37), XLOOKUP(ITEM_MASTER!$A44, 'Local Suppliers'!$A$2:$A$25, 'Local Suppliers'!$H$2:$H$25))</f>
        <v>1351.63</v>
      </c>
      <c r="E44" s="33">
        <f t="array" ref="E44">XLOOKUP(ITEM_MASTER!$A44,'Packing Specification'!$A$2:$A$61,'Packing Specification'!$C$2:$C$61)</f>
        <v>50</v>
      </c>
      <c r="F44" s="33">
        <f t="array" ref="F44">XLOOKUP(ITEM_MASTER!$A44,'Inventory Status'!$A$2:$A$41,'Inventory Status'!$I$2:$I$41,0)</f>
        <v>200</v>
      </c>
    </row>
    <row r="45" ht="14.25" customHeight="1">
      <c r="A45" s="33" t="s">
        <v>112</v>
      </c>
      <c r="B45" s="33">
        <f t="array" ref="B45">XLOOKUP(ITEM_MASTER!$A45,'Bill of Materials'!$C$2:$C$61,'Bill of Materials'!$A$2:$A$61)</f>
        <v>2</v>
      </c>
      <c r="C45" s="33" t="str">
        <f t="array" ref="C45">IF(XLOOKUP(ITEM_MASTER!$A45,'Bill of Materials'!$C$2:$C$61,'Bill of Materials'!$I$2:$I$61)="Japan", "FOB_JP", "EXW_VN")</f>
        <v>EXW_VN</v>
      </c>
      <c r="D45" s="35">
        <f t="array" ref="D45">IF(ITEM_MASTER!$C45="FOB_JP", XLOOKUP(ITEM_MASTER!$A45,'Foreign Suppliers'!$A$2:$A$37,'Foreign Suppliers'!$H$2:$H$37), XLOOKUP(ITEM_MASTER!$A45, 'Local Suppliers'!$A$2:$A$25, 'Local Suppliers'!$H$2:$H$25))</f>
        <v>1642.68</v>
      </c>
      <c r="E45" s="33">
        <f t="array" ref="E45">XLOOKUP(ITEM_MASTER!$A45,'Packing Specification'!$A$2:$A$61,'Packing Specification'!$C$2:$C$61)</f>
        <v>50</v>
      </c>
      <c r="F45" s="33">
        <f t="array" ref="F45">XLOOKUP(ITEM_MASTER!$A45,'Inventory Status'!$A$2:$A$41,'Inventory Status'!$I$2:$I$41,0)</f>
        <v>155</v>
      </c>
    </row>
    <row r="46" ht="14.25" customHeight="1">
      <c r="A46" s="33" t="s">
        <v>114</v>
      </c>
      <c r="B46" s="33">
        <f t="array" ref="B46">XLOOKUP(ITEM_MASTER!$A46,'Bill of Materials'!$C$2:$C$61,'Bill of Materials'!$A$2:$A$61)</f>
        <v>2</v>
      </c>
      <c r="C46" s="33" t="str">
        <f t="array" ref="C46">IF(XLOOKUP(ITEM_MASTER!$A46,'Bill of Materials'!$C$2:$C$61,'Bill of Materials'!$I$2:$I$61)="Japan", "FOB_JP", "EXW_VN")</f>
        <v>FOB_JP</v>
      </c>
      <c r="D46" s="35">
        <f t="array" ref="D46">IF(ITEM_MASTER!$C46="FOB_JP", XLOOKUP(ITEM_MASTER!$A46,'Foreign Suppliers'!$A$2:$A$37,'Foreign Suppliers'!$H$2:$H$37), XLOOKUP(ITEM_MASTER!$A46, 'Local Suppliers'!$A$2:$A$25, 'Local Suppliers'!$H$2:$H$25))</f>
        <v>4859.01</v>
      </c>
      <c r="E46" s="33">
        <f t="array" ref="E46">XLOOKUP(ITEM_MASTER!$A46,'Packing Specification'!$A$2:$A$61,'Packing Specification'!$C$2:$C$61)</f>
        <v>20</v>
      </c>
      <c r="F46" s="33">
        <f t="array" ref="F46">XLOOKUP(ITEM_MASTER!$A46,'Inventory Status'!$A$2:$A$41,'Inventory Status'!$I$2:$I$41,0)</f>
        <v>53</v>
      </c>
    </row>
    <row r="47" ht="14.25" customHeight="1">
      <c r="A47" s="33" t="s">
        <v>116</v>
      </c>
      <c r="B47" s="33">
        <f t="array" ref="B47">XLOOKUP(ITEM_MASTER!$A47,'Bill of Materials'!$C$2:$C$61,'Bill of Materials'!$A$2:$A$61)</f>
        <v>2</v>
      </c>
      <c r="C47" s="33" t="str">
        <f t="array" ref="C47">IF(XLOOKUP(ITEM_MASTER!$A47,'Bill of Materials'!$C$2:$C$61,'Bill of Materials'!$I$2:$I$61)="Japan", "FOB_JP", "EXW_VN")</f>
        <v>FOB_JP</v>
      </c>
      <c r="D47" s="35">
        <f t="array" ref="D47">IF(ITEM_MASTER!$C47="FOB_JP", XLOOKUP(ITEM_MASTER!$A47,'Foreign Suppliers'!$A$2:$A$37,'Foreign Suppliers'!$H$2:$H$37), XLOOKUP(ITEM_MASTER!$A47, 'Local Suppliers'!$A$2:$A$25, 'Local Suppliers'!$H$2:$H$25))</f>
        <v>718.36</v>
      </c>
      <c r="E47" s="33">
        <f t="array" ref="E47">XLOOKUP(ITEM_MASTER!$A47,'Packing Specification'!$A$2:$A$61,'Packing Specification'!$C$2:$C$61)</f>
        <v>50</v>
      </c>
      <c r="F47" s="33">
        <f t="array" ref="F47">XLOOKUP(ITEM_MASTER!$A47,'Inventory Status'!$A$2:$A$41,'Inventory Status'!$I$2:$I$41,0)</f>
        <v>171</v>
      </c>
    </row>
    <row r="48" ht="14.25" customHeight="1">
      <c r="A48" s="33" t="s">
        <v>118</v>
      </c>
      <c r="B48" s="33">
        <f t="array" ref="B48">XLOOKUP(ITEM_MASTER!$A48,'Bill of Materials'!$C$2:$C$61,'Bill of Materials'!$A$2:$A$61)</f>
        <v>2</v>
      </c>
      <c r="C48" s="33" t="str">
        <f t="array" ref="C48">IF(XLOOKUP(ITEM_MASTER!$A48,'Bill of Materials'!$C$2:$C$61,'Bill of Materials'!$I$2:$I$61)="Japan", "FOB_JP", "EXW_VN")</f>
        <v>FOB_JP</v>
      </c>
      <c r="D48" s="35">
        <f t="array" ref="D48">IF(ITEM_MASTER!$C48="FOB_JP", XLOOKUP(ITEM_MASTER!$A48,'Foreign Suppliers'!$A$2:$A$37,'Foreign Suppliers'!$H$2:$H$37), XLOOKUP(ITEM_MASTER!$A48, 'Local Suppliers'!$A$2:$A$25, 'Local Suppliers'!$H$2:$H$25))</f>
        <v>2169.04</v>
      </c>
      <c r="E48" s="33">
        <f t="array" ref="E48">XLOOKUP(ITEM_MASTER!$A48,'Packing Specification'!$A$2:$A$61,'Packing Specification'!$C$2:$C$61)</f>
        <v>50</v>
      </c>
      <c r="F48" s="33">
        <f t="array" ref="F48">XLOOKUP(ITEM_MASTER!$A48,'Inventory Status'!$A$2:$A$41,'Inventory Status'!$I$2:$I$41,0)</f>
        <v>199</v>
      </c>
    </row>
    <row r="49" ht="14.25" customHeight="1">
      <c r="A49" s="33" t="s">
        <v>120</v>
      </c>
      <c r="B49" s="33">
        <f t="array" ref="B49">XLOOKUP(ITEM_MASTER!$A49,'Bill of Materials'!$C$2:$C$61,'Bill of Materials'!$A$2:$A$61)</f>
        <v>2</v>
      </c>
      <c r="C49" s="33" t="str">
        <f t="array" ref="C49">IF(XLOOKUP(ITEM_MASTER!$A49,'Bill of Materials'!$C$2:$C$61,'Bill of Materials'!$I$2:$I$61)="Japan", "FOB_JP", "EXW_VN")</f>
        <v>FOB_JP</v>
      </c>
      <c r="D49" s="35">
        <f t="array" ref="D49">IF(ITEM_MASTER!$C49="FOB_JP", XLOOKUP(ITEM_MASTER!$A49,'Foreign Suppliers'!$A$2:$A$37,'Foreign Suppliers'!$H$2:$H$37), XLOOKUP(ITEM_MASTER!$A49, 'Local Suppliers'!$A$2:$A$25, 'Local Suppliers'!$H$2:$H$25))</f>
        <v>3408.33</v>
      </c>
      <c r="E49" s="33">
        <f t="array" ref="E49">XLOOKUP(ITEM_MASTER!$A49,'Packing Specification'!$A$2:$A$61,'Packing Specification'!$C$2:$C$61)</f>
        <v>50</v>
      </c>
      <c r="F49" s="33">
        <f t="array" ref="F49">XLOOKUP(ITEM_MASTER!$A49,'Inventory Status'!$A$2:$A$41,'Inventory Status'!$I$2:$I$41,0)</f>
        <v>23</v>
      </c>
    </row>
    <row r="50" ht="14.25" customHeight="1">
      <c r="A50" s="33" t="s">
        <v>122</v>
      </c>
      <c r="B50" s="33">
        <f t="array" ref="B50">XLOOKUP(ITEM_MASTER!$A50,'Bill of Materials'!$C$2:$C$61,'Bill of Materials'!$A$2:$A$61)</f>
        <v>2</v>
      </c>
      <c r="C50" s="33" t="str">
        <f t="array" ref="C50">IF(XLOOKUP(ITEM_MASTER!$A50,'Bill of Materials'!$C$2:$C$61,'Bill of Materials'!$I$2:$I$61)="Japan", "FOB_JP", "EXW_VN")</f>
        <v>EXW_VN</v>
      </c>
      <c r="D50" s="35">
        <f t="array" ref="D50">IF(ITEM_MASTER!$C50="FOB_JP", XLOOKUP(ITEM_MASTER!$A50,'Foreign Suppliers'!$A$2:$A$37,'Foreign Suppliers'!$H$2:$H$37), XLOOKUP(ITEM_MASTER!$A50, 'Local Suppliers'!$A$2:$A$25, 'Local Suppliers'!$H$2:$H$25))</f>
        <v>647.07</v>
      </c>
      <c r="E50" s="33">
        <f t="array" ref="E50">XLOOKUP(ITEM_MASTER!$A50,'Packing Specification'!$A$2:$A$61,'Packing Specification'!$C$2:$C$61)</f>
        <v>50</v>
      </c>
      <c r="F50" s="33">
        <f t="array" ref="F50">XLOOKUP(ITEM_MASTER!$A50,'Inventory Status'!$A$2:$A$41,'Inventory Status'!$I$2:$I$41,0)</f>
        <v>104</v>
      </c>
    </row>
    <row r="51" ht="14.25" customHeight="1">
      <c r="A51" s="33" t="s">
        <v>124</v>
      </c>
      <c r="B51" s="33">
        <f t="array" ref="B51">XLOOKUP(ITEM_MASTER!$A51,'Bill of Materials'!$C$2:$C$61,'Bill of Materials'!$A$2:$A$61)</f>
        <v>2</v>
      </c>
      <c r="C51" s="33" t="str">
        <f t="array" ref="C51">IF(XLOOKUP(ITEM_MASTER!$A51,'Bill of Materials'!$C$2:$C$61,'Bill of Materials'!$I$2:$I$61)="Japan", "FOB_JP", "EXW_VN")</f>
        <v>EXW_VN</v>
      </c>
      <c r="D51" s="35">
        <f t="array" ref="D51">IF(ITEM_MASTER!$C51="FOB_JP", XLOOKUP(ITEM_MASTER!$A51,'Foreign Suppliers'!$A$2:$A$37,'Foreign Suppliers'!$H$2:$H$37), XLOOKUP(ITEM_MASTER!$A51, 'Local Suppliers'!$A$2:$A$25, 'Local Suppliers'!$H$2:$H$25))</f>
        <v>2347.24</v>
      </c>
      <c r="E51" s="33">
        <f t="array" ref="E51">XLOOKUP(ITEM_MASTER!$A51,'Packing Specification'!$A$2:$A$61,'Packing Specification'!$C$2:$C$61)</f>
        <v>50</v>
      </c>
      <c r="F51" s="33">
        <f t="array" ref="F51">XLOOKUP(ITEM_MASTER!$A51,'Inventory Status'!$A$2:$A$41,'Inventory Status'!$I$2:$I$41,0)</f>
        <v>57</v>
      </c>
    </row>
    <row r="52" ht="14.25" customHeight="1">
      <c r="A52" s="33" t="s">
        <v>126</v>
      </c>
      <c r="B52" s="33">
        <f t="array" ref="B52">XLOOKUP(ITEM_MASTER!$A52,'Bill of Materials'!$C$2:$C$61,'Bill of Materials'!$A$2:$A$61)</f>
        <v>2</v>
      </c>
      <c r="C52" s="33" t="str">
        <f t="array" ref="C52">IF(XLOOKUP(ITEM_MASTER!$A52,'Bill of Materials'!$C$2:$C$61,'Bill of Materials'!$I$2:$I$61)="Japan", "FOB_JP", "EXW_VN")</f>
        <v>FOB_JP</v>
      </c>
      <c r="D52" s="35">
        <f t="array" ref="D52">IF(ITEM_MASTER!$C52="FOB_JP", XLOOKUP(ITEM_MASTER!$A52,'Foreign Suppliers'!$A$2:$A$37,'Foreign Suppliers'!$H$2:$H$37), XLOOKUP(ITEM_MASTER!$A52, 'Local Suppliers'!$A$2:$A$25, 'Local Suppliers'!$H$2:$H$25))</f>
        <v>3638.25</v>
      </c>
      <c r="E52" s="33">
        <f t="array" ref="E52">XLOOKUP(ITEM_MASTER!$A52,'Packing Specification'!$A$2:$A$61,'Packing Specification'!$C$2:$C$61)</f>
        <v>35</v>
      </c>
      <c r="F52" s="33">
        <f t="array" ref="F52">XLOOKUP(ITEM_MASTER!$A52,'Inventory Status'!$A$2:$A$41,'Inventory Status'!$I$2:$I$41,0)</f>
        <v>24</v>
      </c>
    </row>
    <row r="53" ht="14.25" customHeight="1">
      <c r="A53" s="33" t="s">
        <v>128</v>
      </c>
      <c r="B53" s="33">
        <f t="array" ref="B53">XLOOKUP(ITEM_MASTER!$A53,'Bill of Materials'!$C$2:$C$61,'Bill of Materials'!$A$2:$A$61)</f>
        <v>2</v>
      </c>
      <c r="C53" s="33" t="str">
        <f t="array" ref="C53">IF(XLOOKUP(ITEM_MASTER!$A53,'Bill of Materials'!$C$2:$C$61,'Bill of Materials'!$I$2:$I$61)="Japan", "FOB_JP", "EXW_VN")</f>
        <v>FOB_JP</v>
      </c>
      <c r="D53" s="35">
        <f t="array" ref="D53">IF(ITEM_MASTER!$C53="FOB_JP", XLOOKUP(ITEM_MASTER!$A53,'Foreign Suppliers'!$A$2:$A$37,'Foreign Suppliers'!$H$2:$H$37), XLOOKUP(ITEM_MASTER!$A53, 'Local Suppliers'!$A$2:$A$25, 'Local Suppliers'!$H$2:$H$25))</f>
        <v>5005.73</v>
      </c>
      <c r="E53" s="33">
        <f t="array" ref="E53">XLOOKUP(ITEM_MASTER!$A53,'Packing Specification'!$A$2:$A$61,'Packing Specification'!$C$2:$C$61)</f>
        <v>35</v>
      </c>
      <c r="F53" s="33">
        <f t="array" ref="F53">XLOOKUP(ITEM_MASTER!$A53,'Inventory Status'!$A$2:$A$41,'Inventory Status'!$I$2:$I$41,0)</f>
        <v>199</v>
      </c>
    </row>
    <row r="54" ht="14.25" customHeight="1">
      <c r="A54" s="33" t="s">
        <v>130</v>
      </c>
      <c r="B54" s="33">
        <f t="array" ref="B54">XLOOKUP(ITEM_MASTER!$A54,'Bill of Materials'!$C$2:$C$61,'Bill of Materials'!$A$2:$A$61)</f>
        <v>2</v>
      </c>
      <c r="C54" s="33" t="str">
        <f t="array" ref="C54">IF(XLOOKUP(ITEM_MASTER!$A54,'Bill of Materials'!$C$2:$C$61,'Bill of Materials'!$I$2:$I$61)="Japan", "FOB_JP", "EXW_VN")</f>
        <v>EXW_VN</v>
      </c>
      <c r="D54" s="35">
        <f t="array" ref="D54">IF(ITEM_MASTER!$C54="FOB_JP", XLOOKUP(ITEM_MASTER!$A54,'Foreign Suppliers'!$A$2:$A$37,'Foreign Suppliers'!$H$2:$H$37), XLOOKUP(ITEM_MASTER!$A54, 'Local Suppliers'!$A$2:$A$25, 'Local Suppliers'!$H$2:$H$25))</f>
        <v>3760.36</v>
      </c>
      <c r="E54" s="33">
        <f t="array" ref="E54">XLOOKUP(ITEM_MASTER!$A54,'Packing Specification'!$A$2:$A$61,'Packing Specification'!$C$2:$C$61)</f>
        <v>35</v>
      </c>
      <c r="F54" s="33">
        <f t="array" ref="F54">XLOOKUP(ITEM_MASTER!$A54,'Inventory Status'!$A$2:$A$41,'Inventory Status'!$I$2:$I$41,0)</f>
        <v>49</v>
      </c>
    </row>
    <row r="55" ht="14.25" customHeight="1">
      <c r="A55" s="33" t="s">
        <v>132</v>
      </c>
      <c r="B55" s="33">
        <f t="array" ref="B55">XLOOKUP(ITEM_MASTER!$A55,'Bill of Materials'!$C$2:$C$61,'Bill of Materials'!$A$2:$A$61)</f>
        <v>2</v>
      </c>
      <c r="C55" s="33" t="str">
        <f t="array" ref="C55">IF(XLOOKUP(ITEM_MASTER!$A55,'Bill of Materials'!$C$2:$C$61,'Bill of Materials'!$I$2:$I$61)="Japan", "FOB_JP", "EXW_VN")</f>
        <v>EXW_VN</v>
      </c>
      <c r="D55" s="35">
        <f t="array" ref="D55">IF(ITEM_MASTER!$C55="FOB_JP", XLOOKUP(ITEM_MASTER!$A55,'Foreign Suppliers'!$A$2:$A$37,'Foreign Suppliers'!$H$2:$H$37), XLOOKUP(ITEM_MASTER!$A55, 'Local Suppliers'!$A$2:$A$25, 'Local Suppliers'!$H$2:$H$25))</f>
        <v>1229.5</v>
      </c>
      <c r="E55" s="33">
        <f t="array" ref="E55">XLOOKUP(ITEM_MASTER!$A55,'Packing Specification'!$A$2:$A$61,'Packing Specification'!$C$2:$C$61)</f>
        <v>35</v>
      </c>
      <c r="F55" s="33">
        <f t="array" ref="F55">XLOOKUP(ITEM_MASTER!$A55,'Inventory Status'!$A$2:$A$41,'Inventory Status'!$I$2:$I$41,0)</f>
        <v>91</v>
      </c>
    </row>
    <row r="56" ht="14.25" customHeight="1">
      <c r="A56" s="33" t="s">
        <v>134</v>
      </c>
      <c r="B56" s="33">
        <f t="array" ref="B56">XLOOKUP(ITEM_MASTER!$A56,'Bill of Materials'!$C$2:$C$61,'Bill of Materials'!$A$2:$A$61)</f>
        <v>2</v>
      </c>
      <c r="C56" s="33" t="str">
        <f t="array" ref="C56">IF(XLOOKUP(ITEM_MASTER!$A56,'Bill of Materials'!$C$2:$C$61,'Bill of Materials'!$I$2:$I$61)="Japan", "FOB_JP", "EXW_VN")</f>
        <v>FOB_JP</v>
      </c>
      <c r="D56" s="35">
        <f t="array" ref="D56">IF(ITEM_MASTER!$C56="FOB_JP", XLOOKUP(ITEM_MASTER!$A56,'Foreign Suppliers'!$A$2:$A$37,'Foreign Suppliers'!$H$2:$H$37), XLOOKUP(ITEM_MASTER!$A56, 'Local Suppliers'!$A$2:$A$25, 'Local Suppliers'!$H$2:$H$25))</f>
        <v>4169.85</v>
      </c>
      <c r="E56" s="33">
        <f t="array" ref="E56">XLOOKUP(ITEM_MASTER!$A56,'Packing Specification'!$A$2:$A$61,'Packing Specification'!$C$2:$C$61)</f>
        <v>14</v>
      </c>
      <c r="F56" s="33">
        <f t="array" ref="F56">XLOOKUP(ITEM_MASTER!$A56,'Inventory Status'!$A$2:$A$41,'Inventory Status'!$I$2:$I$41,0)</f>
        <v>120</v>
      </c>
    </row>
    <row r="57" ht="14.25" customHeight="1">
      <c r="A57" s="33" t="s">
        <v>136</v>
      </c>
      <c r="B57" s="33">
        <f t="array" ref="B57">XLOOKUP(ITEM_MASTER!$A57,'Bill of Materials'!$C$2:$C$61,'Bill of Materials'!$A$2:$A$61)</f>
        <v>2</v>
      </c>
      <c r="C57" s="33" t="str">
        <f t="array" ref="C57">IF(XLOOKUP(ITEM_MASTER!$A57,'Bill of Materials'!$C$2:$C$61,'Bill of Materials'!$I$2:$I$61)="Japan", "FOB_JP", "EXW_VN")</f>
        <v>FOB_JP</v>
      </c>
      <c r="D57" s="35">
        <f t="array" ref="D57">IF(ITEM_MASTER!$C57="FOB_JP", XLOOKUP(ITEM_MASTER!$A57,'Foreign Suppliers'!$A$2:$A$37,'Foreign Suppliers'!$H$2:$H$37), XLOOKUP(ITEM_MASTER!$A57, 'Local Suppliers'!$A$2:$A$25, 'Local Suppliers'!$H$2:$H$25))</f>
        <v>4474.12</v>
      </c>
      <c r="E57" s="33">
        <f t="array" ref="E57">XLOOKUP(ITEM_MASTER!$A57,'Packing Specification'!$A$2:$A$61,'Packing Specification'!$C$2:$C$61)</f>
        <v>35</v>
      </c>
      <c r="F57" s="33">
        <f t="array" ref="F57">XLOOKUP(ITEM_MASTER!$A57,'Inventory Status'!$A$2:$A$41,'Inventory Status'!$I$2:$I$41,0)</f>
        <v>62</v>
      </c>
    </row>
    <row r="58" ht="14.25" customHeight="1">
      <c r="A58" s="33" t="s">
        <v>138</v>
      </c>
      <c r="B58" s="33">
        <f t="array" ref="B58">XLOOKUP(ITEM_MASTER!$A58,'Bill of Materials'!$C$2:$C$61,'Bill of Materials'!$A$2:$A$61)</f>
        <v>2</v>
      </c>
      <c r="C58" s="33" t="str">
        <f t="array" ref="C58">IF(XLOOKUP(ITEM_MASTER!$A58,'Bill of Materials'!$C$2:$C$61,'Bill of Materials'!$I$2:$I$61)="Japan", "FOB_JP", "EXW_VN")</f>
        <v>FOB_JP</v>
      </c>
      <c r="D58" s="35">
        <f t="array" ref="D58">IF(ITEM_MASTER!$C58="FOB_JP", XLOOKUP(ITEM_MASTER!$A58,'Foreign Suppliers'!$A$2:$A$37,'Foreign Suppliers'!$H$2:$H$37), XLOOKUP(ITEM_MASTER!$A58, 'Local Suppliers'!$A$2:$A$25, 'Local Suppliers'!$H$2:$H$25))</f>
        <v>1857.59</v>
      </c>
      <c r="E58" s="33">
        <f t="array" ref="E58">XLOOKUP(ITEM_MASTER!$A58,'Packing Specification'!$A$2:$A$61,'Packing Specification'!$C$2:$C$61)</f>
        <v>35</v>
      </c>
      <c r="F58" s="33">
        <f t="array" ref="F58">XLOOKUP(ITEM_MASTER!$A58,'Inventory Status'!$A$2:$A$41,'Inventory Status'!$I$2:$I$41,0)</f>
        <v>33</v>
      </c>
    </row>
    <row r="59" ht="14.25" customHeight="1">
      <c r="A59" s="33" t="s">
        <v>140</v>
      </c>
      <c r="B59" s="33">
        <f t="array" ref="B59">XLOOKUP(ITEM_MASTER!$A59,'Bill of Materials'!$C$2:$C$61,'Bill of Materials'!$A$2:$A$61)</f>
        <v>2</v>
      </c>
      <c r="C59" s="33" t="str">
        <f t="array" ref="C59">IF(XLOOKUP(ITEM_MASTER!$A59,'Bill of Materials'!$C$2:$C$61,'Bill of Materials'!$I$2:$I$61)="Japan", "FOB_JP", "EXW_VN")</f>
        <v>FOB_JP</v>
      </c>
      <c r="D59" s="35">
        <f t="array" ref="D59">IF(ITEM_MASTER!$C59="FOB_JP", XLOOKUP(ITEM_MASTER!$A59,'Foreign Suppliers'!$A$2:$A$37,'Foreign Suppliers'!$H$2:$H$37), XLOOKUP(ITEM_MASTER!$A59, 'Local Suppliers'!$A$2:$A$25, 'Local Suppliers'!$H$2:$H$25))</f>
        <v>6786.38</v>
      </c>
      <c r="E59" s="33">
        <f t="array" ref="E59">XLOOKUP(ITEM_MASTER!$A59,'Packing Specification'!$A$2:$A$61,'Packing Specification'!$C$2:$C$61)</f>
        <v>35</v>
      </c>
      <c r="F59" s="33">
        <f t="array" ref="F59">XLOOKUP(ITEM_MASTER!$A59,'Inventory Status'!$A$2:$A$41,'Inventory Status'!$I$2:$I$41,0)</f>
        <v>163</v>
      </c>
    </row>
    <row r="60" ht="14.25" customHeight="1">
      <c r="A60" s="33" t="s">
        <v>142</v>
      </c>
      <c r="B60" s="33">
        <f t="array" ref="B60">XLOOKUP(ITEM_MASTER!$A60,'Bill of Materials'!$C$2:$C$61,'Bill of Materials'!$A$2:$A$61)</f>
        <v>2</v>
      </c>
      <c r="C60" s="33" t="str">
        <f t="array" ref="C60">IF(XLOOKUP(ITEM_MASTER!$A60,'Bill of Materials'!$C$2:$C$61,'Bill of Materials'!$I$2:$I$61)="Japan", "FOB_JP", "EXW_VN")</f>
        <v>EXW_VN</v>
      </c>
      <c r="D60" s="35">
        <f t="array" ref="D60">IF(ITEM_MASTER!$C60="FOB_JP", XLOOKUP(ITEM_MASTER!$A60,'Foreign Suppliers'!$A$2:$A$37,'Foreign Suppliers'!$H$2:$H$37), XLOOKUP(ITEM_MASTER!$A60, 'Local Suppliers'!$A$2:$A$25, 'Local Suppliers'!$H$2:$H$25))</f>
        <v>2264.4</v>
      </c>
      <c r="E60" s="33">
        <f t="array" ref="E60">XLOOKUP(ITEM_MASTER!$A60,'Packing Specification'!$A$2:$A$61,'Packing Specification'!$C$2:$C$61)</f>
        <v>35</v>
      </c>
      <c r="F60" s="33">
        <f t="array" ref="F60">XLOOKUP(ITEM_MASTER!$A60,'Inventory Status'!$A$2:$A$41,'Inventory Status'!$I$2:$I$41,0)</f>
        <v>197</v>
      </c>
    </row>
    <row r="61" ht="14.25" customHeight="1">
      <c r="A61" s="33" t="s">
        <v>144</v>
      </c>
      <c r="B61" s="33">
        <f t="array" ref="B61">XLOOKUP(ITEM_MASTER!$A61,'Bill of Materials'!$C$2:$C$61,'Bill of Materials'!$A$2:$A$61)</f>
        <v>2</v>
      </c>
      <c r="C61" s="33" t="str">
        <f t="array" ref="C61">IF(XLOOKUP(ITEM_MASTER!$A61,'Bill of Materials'!$C$2:$C$61,'Bill of Materials'!$I$2:$I$61)="Japan", "FOB_JP", "EXW_VN")</f>
        <v>EXW_VN</v>
      </c>
      <c r="D61" s="35">
        <f t="array" ref="D61">IF(ITEM_MASTER!$C61="FOB_JP", XLOOKUP(ITEM_MASTER!$A61,'Foreign Suppliers'!$A$2:$A$37,'Foreign Suppliers'!$H$2:$H$37), XLOOKUP(ITEM_MASTER!$A61, 'Local Suppliers'!$A$2:$A$25, 'Local Suppliers'!$H$2:$H$25))</f>
        <v>2725.46</v>
      </c>
      <c r="E61" s="33">
        <f t="array" ref="E61">XLOOKUP(ITEM_MASTER!$A61,'Packing Specification'!$A$2:$A$61,'Packing Specification'!$C$2:$C$61)</f>
        <v>35</v>
      </c>
      <c r="F61" s="33">
        <f t="array" ref="F61">XLOOKUP(ITEM_MASTER!$A61,'Inventory Status'!$A$2:$A$41,'Inventory Status'!$I$2:$I$41,0)</f>
        <v>133</v>
      </c>
    </row>
    <row r="62" ht="14.25" customHeight="1">
      <c r="D62" s="36"/>
    </row>
    <row r="63" ht="14.25" customHeight="1">
      <c r="D63" s="36"/>
    </row>
    <row r="64" ht="14.25" customHeight="1">
      <c r="D64" s="36"/>
    </row>
    <row r="65" ht="14.25" customHeight="1">
      <c r="D65" s="36"/>
    </row>
    <row r="66" ht="14.25" customHeight="1">
      <c r="D66" s="36"/>
    </row>
    <row r="67" ht="14.25" customHeight="1">
      <c r="D67" s="36"/>
    </row>
    <row r="68" ht="14.25" customHeight="1">
      <c r="D68" s="36"/>
    </row>
    <row r="69" ht="14.25" customHeight="1">
      <c r="D69" s="36"/>
    </row>
    <row r="70" ht="14.25" customHeight="1">
      <c r="D70" s="36"/>
    </row>
    <row r="71" ht="14.25" customHeight="1">
      <c r="D71" s="36"/>
    </row>
    <row r="72" ht="14.25" customHeight="1">
      <c r="D72" s="36"/>
    </row>
    <row r="73" ht="14.25" customHeight="1">
      <c r="D73" s="36"/>
    </row>
    <row r="74" ht="14.25" customHeight="1">
      <c r="D74" s="36"/>
    </row>
    <row r="75" ht="14.25" customHeight="1">
      <c r="D75" s="36"/>
    </row>
    <row r="76" ht="14.25" customHeight="1">
      <c r="D76" s="36"/>
    </row>
    <row r="77" ht="14.25" customHeight="1">
      <c r="D77" s="36"/>
    </row>
    <row r="78" ht="14.25" customHeight="1">
      <c r="D78" s="36"/>
    </row>
    <row r="79" ht="14.25" customHeight="1">
      <c r="D79" s="36"/>
    </row>
    <row r="80" ht="14.25" customHeight="1">
      <c r="D80" s="36"/>
    </row>
    <row r="81" ht="14.25" customHeight="1">
      <c r="D81" s="36"/>
    </row>
    <row r="82" ht="14.25" customHeight="1">
      <c r="D82" s="36"/>
    </row>
    <row r="83" ht="14.25" customHeight="1">
      <c r="D83" s="36"/>
    </row>
    <row r="84" ht="14.25" customHeight="1">
      <c r="D84" s="36"/>
    </row>
    <row r="85" ht="14.25" customHeight="1">
      <c r="D85" s="36"/>
    </row>
    <row r="86" ht="14.25" customHeight="1">
      <c r="D86" s="36"/>
    </row>
    <row r="87" ht="14.25" customHeight="1">
      <c r="D87" s="36"/>
    </row>
    <row r="88" ht="14.25" customHeight="1">
      <c r="D88" s="36"/>
    </row>
    <row r="89" ht="14.25" customHeight="1">
      <c r="D89" s="36"/>
    </row>
    <row r="90" ht="14.25" customHeight="1">
      <c r="D90" s="36"/>
    </row>
    <row r="91" ht="14.25" customHeight="1">
      <c r="D91" s="36"/>
    </row>
    <row r="92" ht="14.25" customHeight="1">
      <c r="D92" s="36"/>
    </row>
    <row r="93" ht="14.25" customHeight="1">
      <c r="D93" s="36"/>
    </row>
    <row r="94" ht="14.25" customHeight="1">
      <c r="D94" s="36"/>
    </row>
    <row r="95" ht="14.25" customHeight="1">
      <c r="D95" s="36"/>
    </row>
    <row r="96" ht="14.25" customHeight="1">
      <c r="D96" s="36"/>
    </row>
    <row r="97" ht="14.25" customHeight="1">
      <c r="D97" s="36"/>
    </row>
    <row r="98" ht="14.25" customHeight="1">
      <c r="D98" s="36"/>
    </row>
    <row r="99" ht="14.25" customHeight="1">
      <c r="D99" s="36"/>
    </row>
    <row r="100" ht="14.25" customHeight="1">
      <c r="D100" s="36"/>
    </row>
    <row r="101" ht="14.25" customHeight="1">
      <c r="D101" s="36"/>
    </row>
    <row r="102" ht="14.25" customHeight="1">
      <c r="D102" s="36"/>
    </row>
    <row r="103" ht="14.25" customHeight="1">
      <c r="D103" s="36"/>
    </row>
    <row r="104" ht="14.25" customHeight="1">
      <c r="D104" s="36"/>
    </row>
    <row r="105" ht="14.25" customHeight="1">
      <c r="D105" s="36"/>
    </row>
    <row r="106" ht="14.25" customHeight="1">
      <c r="D106" s="36"/>
    </row>
    <row r="107" ht="14.25" customHeight="1">
      <c r="D107" s="36"/>
    </row>
    <row r="108" ht="14.25" customHeight="1">
      <c r="D108" s="36"/>
    </row>
    <row r="109" ht="14.25" customHeight="1">
      <c r="D109" s="36"/>
    </row>
    <row r="110" ht="14.25" customHeight="1">
      <c r="D110" s="36"/>
    </row>
    <row r="111" ht="14.25" customHeight="1">
      <c r="D111" s="36"/>
    </row>
    <row r="112" ht="14.25" customHeight="1">
      <c r="D112" s="36"/>
    </row>
    <row r="113" ht="14.25" customHeight="1">
      <c r="D113" s="36"/>
    </row>
    <row r="114" ht="14.25" customHeight="1">
      <c r="D114" s="36"/>
    </row>
    <row r="115" ht="14.25" customHeight="1">
      <c r="D115" s="36"/>
    </row>
    <row r="116" ht="14.25" customHeight="1">
      <c r="D116" s="36"/>
    </row>
    <row r="117" ht="14.25" customHeight="1">
      <c r="D117" s="36"/>
    </row>
    <row r="118" ht="14.25" customHeight="1">
      <c r="D118" s="36"/>
    </row>
    <row r="119" ht="14.25" customHeight="1">
      <c r="D119" s="36"/>
    </row>
    <row r="120" ht="14.25" customHeight="1">
      <c r="D120" s="36"/>
    </row>
    <row r="121" ht="14.25" customHeight="1">
      <c r="D121" s="36"/>
    </row>
    <row r="122" ht="14.25" customHeight="1">
      <c r="D122" s="36"/>
    </row>
    <row r="123" ht="14.25" customHeight="1">
      <c r="D123" s="36"/>
    </row>
    <row r="124" ht="14.25" customHeight="1">
      <c r="D124" s="36"/>
    </row>
    <row r="125" ht="14.25" customHeight="1">
      <c r="D125" s="36"/>
    </row>
    <row r="126" ht="14.25" customHeight="1">
      <c r="D126" s="36"/>
    </row>
    <row r="127" ht="14.25" customHeight="1">
      <c r="D127" s="36"/>
    </row>
    <row r="128" ht="14.25" customHeight="1">
      <c r="D128" s="36"/>
    </row>
    <row r="129" ht="14.25" customHeight="1">
      <c r="D129" s="36"/>
    </row>
    <row r="130" ht="14.25" customHeight="1">
      <c r="D130" s="36"/>
    </row>
    <row r="131" ht="14.25" customHeight="1">
      <c r="D131" s="36"/>
    </row>
    <row r="132" ht="14.25" customHeight="1">
      <c r="D132" s="36"/>
    </row>
    <row r="133" ht="14.25" customHeight="1">
      <c r="D133" s="36"/>
    </row>
    <row r="134" ht="14.25" customHeight="1">
      <c r="D134" s="36"/>
    </row>
    <row r="135" ht="14.25" customHeight="1">
      <c r="D135" s="36"/>
    </row>
    <row r="136" ht="14.25" customHeight="1">
      <c r="D136" s="36"/>
    </row>
    <row r="137" ht="14.25" customHeight="1">
      <c r="D137" s="36"/>
    </row>
    <row r="138" ht="14.25" customHeight="1">
      <c r="D138" s="36"/>
    </row>
    <row r="139" ht="14.25" customHeight="1">
      <c r="D139" s="36"/>
    </row>
    <row r="140" ht="14.25" customHeight="1">
      <c r="D140" s="36"/>
    </row>
    <row r="141" ht="14.25" customHeight="1">
      <c r="D141" s="36"/>
    </row>
    <row r="142" ht="14.25" customHeight="1">
      <c r="D142" s="36"/>
    </row>
    <row r="143" ht="14.25" customHeight="1">
      <c r="D143" s="36"/>
    </row>
    <row r="144" ht="14.25" customHeight="1">
      <c r="D144" s="36"/>
    </row>
    <row r="145" ht="14.25" customHeight="1">
      <c r="D145" s="36"/>
    </row>
    <row r="146" ht="14.25" customHeight="1">
      <c r="D146" s="36"/>
    </row>
    <row r="147" ht="14.25" customHeight="1">
      <c r="D147" s="36"/>
    </row>
    <row r="148" ht="14.25" customHeight="1">
      <c r="D148" s="36"/>
    </row>
    <row r="149" ht="14.25" customHeight="1">
      <c r="D149" s="36"/>
    </row>
    <row r="150" ht="14.25" customHeight="1">
      <c r="D150" s="36"/>
    </row>
    <row r="151" ht="14.25" customHeight="1">
      <c r="D151" s="36"/>
    </row>
    <row r="152" ht="14.25" customHeight="1">
      <c r="D152" s="36"/>
    </row>
    <row r="153" ht="14.25" customHeight="1">
      <c r="D153" s="36"/>
    </row>
    <row r="154" ht="14.25" customHeight="1">
      <c r="D154" s="36"/>
    </row>
    <row r="155" ht="14.25" customHeight="1">
      <c r="D155" s="36"/>
    </row>
    <row r="156" ht="14.25" customHeight="1">
      <c r="D156" s="36"/>
    </row>
    <row r="157" ht="14.25" customHeight="1">
      <c r="D157" s="36"/>
    </row>
    <row r="158" ht="14.25" customHeight="1">
      <c r="D158" s="36"/>
    </row>
    <row r="159" ht="14.25" customHeight="1">
      <c r="D159" s="36"/>
    </row>
    <row r="160" ht="14.25" customHeight="1">
      <c r="D160" s="36"/>
    </row>
    <row r="161" ht="14.25" customHeight="1">
      <c r="D161" s="36"/>
    </row>
    <row r="162" ht="14.25" customHeight="1">
      <c r="D162" s="36"/>
    </row>
    <row r="163" ht="14.25" customHeight="1">
      <c r="D163" s="36"/>
    </row>
    <row r="164" ht="14.25" customHeight="1">
      <c r="D164" s="36"/>
    </row>
    <row r="165" ht="14.25" customHeight="1">
      <c r="D165" s="36"/>
    </row>
    <row r="166" ht="14.25" customHeight="1">
      <c r="D166" s="36"/>
    </row>
    <row r="167" ht="14.25" customHeight="1">
      <c r="D167" s="36"/>
    </row>
    <row r="168" ht="14.25" customHeight="1">
      <c r="D168" s="36"/>
    </row>
    <row r="169" ht="14.25" customHeight="1">
      <c r="D169" s="36"/>
    </row>
    <row r="170" ht="14.25" customHeight="1">
      <c r="D170" s="36"/>
    </row>
    <row r="171" ht="14.25" customHeight="1">
      <c r="D171" s="36"/>
    </row>
    <row r="172" ht="14.25" customHeight="1">
      <c r="D172" s="36"/>
    </row>
    <row r="173" ht="14.25" customHeight="1">
      <c r="D173" s="36"/>
    </row>
    <row r="174" ht="14.25" customHeight="1">
      <c r="D174" s="36"/>
    </row>
    <row r="175" ht="14.25" customHeight="1">
      <c r="D175" s="36"/>
    </row>
    <row r="176" ht="14.25" customHeight="1">
      <c r="D176" s="36"/>
    </row>
    <row r="177" ht="14.25" customHeight="1">
      <c r="D177" s="36"/>
    </row>
    <row r="178" ht="14.25" customHeight="1">
      <c r="D178" s="36"/>
    </row>
    <row r="179" ht="14.25" customHeight="1">
      <c r="D179" s="36"/>
    </row>
    <row r="180" ht="14.25" customHeight="1">
      <c r="D180" s="36"/>
    </row>
    <row r="181" ht="14.25" customHeight="1">
      <c r="D181" s="36"/>
    </row>
    <row r="182" ht="14.25" customHeight="1">
      <c r="D182" s="36"/>
    </row>
    <row r="183" ht="14.25" customHeight="1">
      <c r="D183" s="36"/>
    </row>
    <row r="184" ht="14.25" customHeight="1">
      <c r="D184" s="36"/>
    </row>
    <row r="185" ht="14.25" customHeight="1">
      <c r="D185" s="36"/>
    </row>
    <row r="186" ht="14.25" customHeight="1">
      <c r="D186" s="36"/>
    </row>
    <row r="187" ht="14.25" customHeight="1">
      <c r="D187" s="36"/>
    </row>
    <row r="188" ht="14.25" customHeight="1">
      <c r="D188" s="36"/>
    </row>
    <row r="189" ht="14.25" customHeight="1">
      <c r="D189" s="36"/>
    </row>
    <row r="190" ht="14.25" customHeight="1">
      <c r="D190" s="36"/>
    </row>
    <row r="191" ht="14.25" customHeight="1">
      <c r="D191" s="36"/>
    </row>
    <row r="192" ht="14.25" customHeight="1">
      <c r="D192" s="36"/>
    </row>
    <row r="193" ht="14.25" customHeight="1">
      <c r="D193" s="36"/>
    </row>
    <row r="194" ht="14.25" customHeight="1">
      <c r="D194" s="36"/>
    </row>
    <row r="195" ht="14.25" customHeight="1">
      <c r="D195" s="36"/>
    </row>
    <row r="196" ht="14.25" customHeight="1">
      <c r="D196" s="36"/>
    </row>
    <row r="197" ht="14.25" customHeight="1">
      <c r="D197" s="36"/>
    </row>
    <row r="198" ht="14.25" customHeight="1">
      <c r="D198" s="36"/>
    </row>
    <row r="199" ht="14.25" customHeight="1">
      <c r="D199" s="36"/>
    </row>
    <row r="200" ht="14.25" customHeight="1">
      <c r="D200" s="36"/>
    </row>
    <row r="201" ht="14.25" customHeight="1">
      <c r="D201" s="36"/>
    </row>
    <row r="202" ht="14.25" customHeight="1">
      <c r="D202" s="36"/>
    </row>
    <row r="203" ht="14.25" customHeight="1">
      <c r="D203" s="36"/>
    </row>
    <row r="204" ht="14.25" customHeight="1">
      <c r="D204" s="36"/>
    </row>
    <row r="205" ht="14.25" customHeight="1">
      <c r="D205" s="36"/>
    </row>
    <row r="206" ht="14.25" customHeight="1">
      <c r="D206" s="36"/>
    </row>
    <row r="207" ht="14.25" customHeight="1">
      <c r="D207" s="36"/>
    </row>
    <row r="208" ht="14.25" customHeight="1">
      <c r="D208" s="36"/>
    </row>
    <row r="209" ht="14.25" customHeight="1">
      <c r="D209" s="36"/>
    </row>
    <row r="210" ht="14.25" customHeight="1">
      <c r="D210" s="36"/>
    </row>
    <row r="211" ht="14.25" customHeight="1">
      <c r="D211" s="36"/>
    </row>
    <row r="212" ht="14.25" customHeight="1">
      <c r="D212" s="36"/>
    </row>
    <row r="213" ht="14.25" customHeight="1">
      <c r="D213" s="36"/>
    </row>
    <row r="214" ht="14.25" customHeight="1">
      <c r="D214" s="36"/>
    </row>
    <row r="215" ht="14.25" customHeight="1">
      <c r="D215" s="36"/>
    </row>
    <row r="216" ht="14.25" customHeight="1">
      <c r="D216" s="36"/>
    </row>
    <row r="217" ht="14.25" customHeight="1">
      <c r="D217" s="36"/>
    </row>
    <row r="218" ht="14.25" customHeight="1">
      <c r="D218" s="36"/>
    </row>
    <row r="219" ht="14.25" customHeight="1">
      <c r="D219" s="36"/>
    </row>
    <row r="220" ht="14.25" customHeight="1">
      <c r="D220" s="36"/>
    </row>
    <row r="221" ht="14.25" customHeight="1">
      <c r="D221" s="36"/>
    </row>
    <row r="222" ht="14.25" customHeight="1">
      <c r="D222" s="36"/>
    </row>
    <row r="223" ht="14.25" customHeight="1">
      <c r="D223" s="36"/>
    </row>
    <row r="224" ht="14.25" customHeight="1">
      <c r="D224" s="36"/>
    </row>
    <row r="225" ht="14.25" customHeight="1">
      <c r="D225" s="36"/>
    </row>
    <row r="226" ht="14.25" customHeight="1">
      <c r="D226" s="36"/>
    </row>
    <row r="227" ht="14.25" customHeight="1">
      <c r="D227" s="36"/>
    </row>
    <row r="228" ht="14.25" customHeight="1">
      <c r="D228" s="36"/>
    </row>
    <row r="229" ht="14.25" customHeight="1">
      <c r="D229" s="36"/>
    </row>
    <row r="230" ht="14.25" customHeight="1">
      <c r="D230" s="36"/>
    </row>
    <row r="231" ht="14.25" customHeight="1">
      <c r="D231" s="36"/>
    </row>
    <row r="232" ht="14.25" customHeight="1">
      <c r="D232" s="36"/>
    </row>
    <row r="233" ht="14.25" customHeight="1">
      <c r="D233" s="36"/>
    </row>
    <row r="234" ht="14.25" customHeight="1">
      <c r="D234" s="36"/>
    </row>
    <row r="235" ht="14.25" customHeight="1">
      <c r="D235" s="36"/>
    </row>
    <row r="236" ht="14.25" customHeight="1">
      <c r="D236" s="36"/>
    </row>
    <row r="237" ht="14.25" customHeight="1">
      <c r="D237" s="36"/>
    </row>
    <row r="238" ht="14.25" customHeight="1">
      <c r="D238" s="36"/>
    </row>
    <row r="239" ht="14.25" customHeight="1">
      <c r="D239" s="36"/>
    </row>
    <row r="240" ht="14.25" customHeight="1">
      <c r="D240" s="36"/>
    </row>
    <row r="241" ht="14.25" customHeight="1">
      <c r="D241" s="36"/>
    </row>
    <row r="242" ht="14.25" customHeight="1">
      <c r="D242" s="36"/>
    </row>
    <row r="243" ht="14.25" customHeight="1">
      <c r="D243" s="36"/>
    </row>
    <row r="244" ht="14.25" customHeight="1">
      <c r="D244" s="36"/>
    </row>
    <row r="245" ht="14.25" customHeight="1">
      <c r="D245" s="36"/>
    </row>
    <row r="246" ht="14.25" customHeight="1">
      <c r="D246" s="36"/>
    </row>
    <row r="247" ht="14.25" customHeight="1">
      <c r="D247" s="36"/>
    </row>
    <row r="248" ht="14.25" customHeight="1">
      <c r="D248" s="36"/>
    </row>
    <row r="249" ht="14.25" customHeight="1">
      <c r="D249" s="36"/>
    </row>
    <row r="250" ht="14.25" customHeight="1">
      <c r="D250" s="36"/>
    </row>
    <row r="251" ht="14.25" customHeight="1">
      <c r="D251" s="36"/>
    </row>
    <row r="252" ht="14.25" customHeight="1">
      <c r="D252" s="36"/>
    </row>
    <row r="253" ht="14.25" customHeight="1">
      <c r="D253" s="36"/>
    </row>
    <row r="254" ht="14.25" customHeight="1">
      <c r="D254" s="36"/>
    </row>
    <row r="255" ht="14.25" customHeight="1">
      <c r="D255" s="36"/>
    </row>
    <row r="256" ht="14.25" customHeight="1">
      <c r="D256" s="36"/>
    </row>
    <row r="257" ht="14.25" customHeight="1">
      <c r="D257" s="36"/>
    </row>
    <row r="258" ht="14.25" customHeight="1">
      <c r="D258" s="36"/>
    </row>
    <row r="259" ht="14.25" customHeight="1">
      <c r="D259" s="36"/>
    </row>
    <row r="260" ht="14.25" customHeight="1">
      <c r="D260" s="36"/>
    </row>
    <row r="261" ht="14.25" customHeight="1">
      <c r="D261" s="36"/>
    </row>
    <row r="262" ht="14.25" customHeight="1">
      <c r="D262" s="36"/>
    </row>
    <row r="263" ht="14.25" customHeight="1">
      <c r="D263" s="36"/>
    </row>
    <row r="264" ht="14.25" customHeight="1">
      <c r="D264" s="36"/>
    </row>
    <row r="265" ht="14.25" customHeight="1">
      <c r="D265" s="36"/>
    </row>
    <row r="266" ht="14.25" customHeight="1">
      <c r="D266" s="36"/>
    </row>
    <row r="267" ht="14.25" customHeight="1">
      <c r="D267" s="36"/>
    </row>
    <row r="268" ht="14.25" customHeight="1">
      <c r="D268" s="36"/>
    </row>
    <row r="269" ht="14.25" customHeight="1">
      <c r="D269" s="36"/>
    </row>
    <row r="270" ht="14.25" customHeight="1">
      <c r="D270" s="36"/>
    </row>
    <row r="271" ht="14.25" customHeight="1">
      <c r="D271" s="36"/>
    </row>
    <row r="272" ht="14.25" customHeight="1">
      <c r="D272" s="36"/>
    </row>
    <row r="273" ht="14.25" customHeight="1">
      <c r="D273" s="36"/>
    </row>
    <row r="274" ht="14.25" customHeight="1">
      <c r="D274" s="36"/>
    </row>
    <row r="275" ht="14.25" customHeight="1">
      <c r="D275" s="36"/>
    </row>
    <row r="276" ht="14.25" customHeight="1">
      <c r="D276" s="36"/>
    </row>
    <row r="277" ht="14.25" customHeight="1">
      <c r="D277" s="36"/>
    </row>
    <row r="278" ht="14.25" customHeight="1">
      <c r="D278" s="36"/>
    </row>
    <row r="279" ht="14.25" customHeight="1">
      <c r="D279" s="36"/>
    </row>
    <row r="280" ht="14.25" customHeight="1">
      <c r="D280" s="36"/>
    </row>
    <row r="281" ht="14.25" customHeight="1">
      <c r="D281" s="36"/>
    </row>
    <row r="282" ht="14.25" customHeight="1">
      <c r="D282" s="36"/>
    </row>
    <row r="283" ht="14.25" customHeight="1">
      <c r="D283" s="36"/>
    </row>
    <row r="284" ht="14.25" customHeight="1">
      <c r="D284" s="36"/>
    </row>
    <row r="285" ht="14.25" customHeight="1">
      <c r="D285" s="36"/>
    </row>
    <row r="286" ht="14.25" customHeight="1">
      <c r="D286" s="36"/>
    </row>
    <row r="287" ht="14.25" customHeight="1">
      <c r="D287" s="36"/>
    </row>
    <row r="288" ht="14.25" customHeight="1">
      <c r="D288" s="36"/>
    </row>
    <row r="289" ht="14.25" customHeight="1">
      <c r="D289" s="36"/>
    </row>
    <row r="290" ht="14.25" customHeight="1">
      <c r="D290" s="36"/>
    </row>
    <row r="291" ht="14.25" customHeight="1">
      <c r="D291" s="36"/>
    </row>
    <row r="292" ht="14.25" customHeight="1">
      <c r="D292" s="36"/>
    </row>
    <row r="293" ht="14.25" customHeight="1">
      <c r="D293" s="36"/>
    </row>
    <row r="294" ht="14.25" customHeight="1">
      <c r="D294" s="36"/>
    </row>
    <row r="295" ht="14.25" customHeight="1">
      <c r="D295" s="36"/>
    </row>
    <row r="296" ht="14.25" customHeight="1">
      <c r="D296" s="36"/>
    </row>
    <row r="297" ht="14.25" customHeight="1">
      <c r="D297" s="36"/>
    </row>
    <row r="298" ht="14.25" customHeight="1">
      <c r="D298" s="36"/>
    </row>
    <row r="299" ht="14.25" customHeight="1">
      <c r="D299" s="36"/>
    </row>
    <row r="300" ht="14.25" customHeight="1">
      <c r="D300" s="36"/>
    </row>
    <row r="301" ht="14.25" customHeight="1">
      <c r="D301" s="36"/>
    </row>
    <row r="302" ht="14.25" customHeight="1">
      <c r="D302" s="36"/>
    </row>
    <row r="303" ht="14.25" customHeight="1">
      <c r="D303" s="36"/>
    </row>
    <row r="304" ht="14.25" customHeight="1">
      <c r="D304" s="36"/>
    </row>
    <row r="305" ht="14.25" customHeight="1">
      <c r="D305" s="36"/>
    </row>
    <row r="306" ht="14.25" customHeight="1">
      <c r="D306" s="36"/>
    </row>
    <row r="307" ht="14.25" customHeight="1">
      <c r="D307" s="36"/>
    </row>
    <row r="308" ht="14.25" customHeight="1">
      <c r="D308" s="36"/>
    </row>
    <row r="309" ht="14.25" customHeight="1">
      <c r="D309" s="36"/>
    </row>
    <row r="310" ht="14.25" customHeight="1">
      <c r="D310" s="36"/>
    </row>
    <row r="311" ht="14.25" customHeight="1">
      <c r="D311" s="36"/>
    </row>
    <row r="312" ht="14.25" customHeight="1">
      <c r="D312" s="36"/>
    </row>
    <row r="313" ht="14.25" customHeight="1">
      <c r="D313" s="36"/>
    </row>
    <row r="314" ht="14.25" customHeight="1">
      <c r="D314" s="36"/>
    </row>
    <row r="315" ht="14.25" customHeight="1">
      <c r="D315" s="36"/>
    </row>
    <row r="316" ht="14.25" customHeight="1">
      <c r="D316" s="36"/>
    </row>
    <row r="317" ht="14.25" customHeight="1">
      <c r="D317" s="36"/>
    </row>
    <row r="318" ht="14.25" customHeight="1">
      <c r="D318" s="36"/>
    </row>
    <row r="319" ht="14.25" customHeight="1">
      <c r="D319" s="36"/>
    </row>
    <row r="320" ht="14.25" customHeight="1">
      <c r="D320" s="36"/>
    </row>
    <row r="321" ht="14.25" customHeight="1">
      <c r="D321" s="36"/>
    </row>
    <row r="322" ht="14.25" customHeight="1">
      <c r="D322" s="36"/>
    </row>
    <row r="323" ht="14.25" customHeight="1">
      <c r="D323" s="36"/>
    </row>
    <row r="324" ht="14.25" customHeight="1">
      <c r="D324" s="36"/>
    </row>
    <row r="325" ht="14.25" customHeight="1">
      <c r="D325" s="36"/>
    </row>
    <row r="326" ht="14.25" customHeight="1">
      <c r="D326" s="36"/>
    </row>
    <row r="327" ht="14.25" customHeight="1">
      <c r="D327" s="36"/>
    </row>
    <row r="328" ht="14.25" customHeight="1">
      <c r="D328" s="36"/>
    </row>
    <row r="329" ht="14.25" customHeight="1">
      <c r="D329" s="36"/>
    </row>
    <row r="330" ht="14.25" customHeight="1">
      <c r="D330" s="36"/>
    </row>
    <row r="331" ht="14.25" customHeight="1">
      <c r="D331" s="36"/>
    </row>
    <row r="332" ht="14.25" customHeight="1">
      <c r="D332" s="36"/>
    </row>
    <row r="333" ht="14.25" customHeight="1">
      <c r="D333" s="36"/>
    </row>
    <row r="334" ht="14.25" customHeight="1">
      <c r="D334" s="36"/>
    </row>
    <row r="335" ht="14.25" customHeight="1">
      <c r="D335" s="36"/>
    </row>
    <row r="336" ht="14.25" customHeight="1">
      <c r="D336" s="36"/>
    </row>
    <row r="337" ht="14.25" customHeight="1">
      <c r="D337" s="36"/>
    </row>
    <row r="338" ht="14.25" customHeight="1">
      <c r="D338" s="36"/>
    </row>
    <row r="339" ht="14.25" customHeight="1">
      <c r="D339" s="36"/>
    </row>
    <row r="340" ht="14.25" customHeight="1">
      <c r="D340" s="36"/>
    </row>
    <row r="341" ht="14.25" customHeight="1">
      <c r="D341" s="36"/>
    </row>
    <row r="342" ht="14.25" customHeight="1">
      <c r="D342" s="36"/>
    </row>
    <row r="343" ht="14.25" customHeight="1">
      <c r="D343" s="36"/>
    </row>
    <row r="344" ht="14.25" customHeight="1">
      <c r="D344" s="36"/>
    </row>
    <row r="345" ht="14.25" customHeight="1">
      <c r="D345" s="36"/>
    </row>
    <row r="346" ht="14.25" customHeight="1">
      <c r="D346" s="36"/>
    </row>
    <row r="347" ht="14.25" customHeight="1">
      <c r="D347" s="36"/>
    </row>
    <row r="348" ht="14.25" customHeight="1">
      <c r="D348" s="36"/>
    </row>
    <row r="349" ht="14.25" customHeight="1">
      <c r="D349" s="36"/>
    </row>
    <row r="350" ht="14.25" customHeight="1">
      <c r="D350" s="36"/>
    </row>
    <row r="351" ht="14.25" customHeight="1">
      <c r="D351" s="36"/>
    </row>
    <row r="352" ht="14.25" customHeight="1">
      <c r="D352" s="36"/>
    </row>
    <row r="353" ht="14.25" customHeight="1">
      <c r="D353" s="36"/>
    </row>
    <row r="354" ht="14.25" customHeight="1">
      <c r="D354" s="36"/>
    </row>
    <row r="355" ht="14.25" customHeight="1">
      <c r="D355" s="36"/>
    </row>
    <row r="356" ht="14.25" customHeight="1">
      <c r="D356" s="36"/>
    </row>
    <row r="357" ht="14.25" customHeight="1">
      <c r="D357" s="36"/>
    </row>
    <row r="358" ht="14.25" customHeight="1">
      <c r="D358" s="36"/>
    </row>
    <row r="359" ht="14.25" customHeight="1">
      <c r="D359" s="36"/>
    </row>
    <row r="360" ht="14.25" customHeight="1">
      <c r="D360" s="36"/>
    </row>
    <row r="361" ht="14.25" customHeight="1">
      <c r="D361" s="36"/>
    </row>
    <row r="362" ht="14.25" customHeight="1">
      <c r="D362" s="36"/>
    </row>
    <row r="363" ht="14.25" customHeight="1">
      <c r="D363" s="36"/>
    </row>
    <row r="364" ht="14.25" customHeight="1">
      <c r="D364" s="36"/>
    </row>
    <row r="365" ht="14.25" customHeight="1">
      <c r="D365" s="36"/>
    </row>
    <row r="366" ht="14.25" customHeight="1">
      <c r="D366" s="36"/>
    </row>
    <row r="367" ht="14.25" customHeight="1">
      <c r="D367" s="36"/>
    </row>
    <row r="368" ht="14.25" customHeight="1">
      <c r="D368" s="36"/>
    </row>
    <row r="369" ht="14.25" customHeight="1">
      <c r="D369" s="36"/>
    </row>
    <row r="370" ht="14.25" customHeight="1">
      <c r="D370" s="36"/>
    </row>
    <row r="371" ht="14.25" customHeight="1">
      <c r="D371" s="36"/>
    </row>
    <row r="372" ht="14.25" customHeight="1">
      <c r="D372" s="36"/>
    </row>
    <row r="373" ht="14.25" customHeight="1">
      <c r="D373" s="36"/>
    </row>
    <row r="374" ht="14.25" customHeight="1">
      <c r="D374" s="36"/>
    </row>
    <row r="375" ht="14.25" customHeight="1">
      <c r="D375" s="36"/>
    </row>
    <row r="376" ht="14.25" customHeight="1">
      <c r="D376" s="36"/>
    </row>
    <row r="377" ht="14.25" customHeight="1">
      <c r="D377" s="36"/>
    </row>
    <row r="378" ht="14.25" customHeight="1">
      <c r="D378" s="36"/>
    </row>
    <row r="379" ht="14.25" customHeight="1">
      <c r="D379" s="36"/>
    </row>
    <row r="380" ht="14.25" customHeight="1">
      <c r="D380" s="36"/>
    </row>
    <row r="381" ht="14.25" customHeight="1">
      <c r="D381" s="36"/>
    </row>
    <row r="382" ht="14.25" customHeight="1">
      <c r="D382" s="36"/>
    </row>
    <row r="383" ht="14.25" customHeight="1">
      <c r="D383" s="36"/>
    </row>
    <row r="384" ht="14.25" customHeight="1">
      <c r="D384" s="36"/>
    </row>
    <row r="385" ht="14.25" customHeight="1">
      <c r="D385" s="36"/>
    </row>
    <row r="386" ht="14.25" customHeight="1">
      <c r="D386" s="36"/>
    </row>
    <row r="387" ht="14.25" customHeight="1">
      <c r="D387" s="36"/>
    </row>
    <row r="388" ht="14.25" customHeight="1">
      <c r="D388" s="36"/>
    </row>
    <row r="389" ht="14.25" customHeight="1">
      <c r="D389" s="36"/>
    </row>
    <row r="390" ht="14.25" customHeight="1">
      <c r="D390" s="36"/>
    </row>
    <row r="391" ht="14.25" customHeight="1">
      <c r="D391" s="36"/>
    </row>
    <row r="392" ht="14.25" customHeight="1">
      <c r="D392" s="36"/>
    </row>
    <row r="393" ht="14.25" customHeight="1">
      <c r="D393" s="36"/>
    </row>
    <row r="394" ht="14.25" customHeight="1">
      <c r="D394" s="36"/>
    </row>
    <row r="395" ht="14.25" customHeight="1">
      <c r="D395" s="36"/>
    </row>
    <row r="396" ht="14.25" customHeight="1">
      <c r="D396" s="36"/>
    </row>
    <row r="397" ht="14.25" customHeight="1">
      <c r="D397" s="36"/>
    </row>
    <row r="398" ht="14.25" customHeight="1">
      <c r="D398" s="36"/>
    </row>
    <row r="399" ht="14.25" customHeight="1">
      <c r="D399" s="36"/>
    </row>
    <row r="400" ht="14.25" customHeight="1">
      <c r="D400" s="36"/>
    </row>
    <row r="401" ht="14.25" customHeight="1">
      <c r="D401" s="36"/>
    </row>
    <row r="402" ht="14.25" customHeight="1">
      <c r="D402" s="36"/>
    </row>
    <row r="403" ht="14.25" customHeight="1">
      <c r="D403" s="36"/>
    </row>
    <row r="404" ht="14.25" customHeight="1">
      <c r="D404" s="36"/>
    </row>
    <row r="405" ht="14.25" customHeight="1">
      <c r="D405" s="36"/>
    </row>
    <row r="406" ht="14.25" customHeight="1">
      <c r="D406" s="36"/>
    </row>
    <row r="407" ht="14.25" customHeight="1">
      <c r="D407" s="36"/>
    </row>
    <row r="408" ht="14.25" customHeight="1">
      <c r="D408" s="36"/>
    </row>
    <row r="409" ht="14.25" customHeight="1">
      <c r="D409" s="36"/>
    </row>
    <row r="410" ht="14.25" customHeight="1">
      <c r="D410" s="36"/>
    </row>
    <row r="411" ht="14.25" customHeight="1">
      <c r="D411" s="36"/>
    </row>
    <row r="412" ht="14.25" customHeight="1">
      <c r="D412" s="36"/>
    </row>
    <row r="413" ht="14.25" customHeight="1">
      <c r="D413" s="36"/>
    </row>
    <row r="414" ht="14.25" customHeight="1">
      <c r="D414" s="36"/>
    </row>
    <row r="415" ht="14.25" customHeight="1">
      <c r="D415" s="36"/>
    </row>
    <row r="416" ht="14.25" customHeight="1">
      <c r="D416" s="36"/>
    </row>
    <row r="417" ht="14.25" customHeight="1">
      <c r="D417" s="36"/>
    </row>
    <row r="418" ht="14.25" customHeight="1">
      <c r="D418" s="36"/>
    </row>
    <row r="419" ht="14.25" customHeight="1">
      <c r="D419" s="36"/>
    </row>
    <row r="420" ht="14.25" customHeight="1">
      <c r="D420" s="36"/>
    </row>
    <row r="421" ht="14.25" customHeight="1">
      <c r="D421" s="36"/>
    </row>
    <row r="422" ht="14.25" customHeight="1">
      <c r="D422" s="36"/>
    </row>
    <row r="423" ht="14.25" customHeight="1">
      <c r="D423" s="36"/>
    </row>
    <row r="424" ht="14.25" customHeight="1">
      <c r="D424" s="36"/>
    </row>
    <row r="425" ht="14.25" customHeight="1">
      <c r="D425" s="36"/>
    </row>
    <row r="426" ht="14.25" customHeight="1">
      <c r="D426" s="36"/>
    </row>
    <row r="427" ht="14.25" customHeight="1">
      <c r="D427" s="36"/>
    </row>
    <row r="428" ht="14.25" customHeight="1">
      <c r="D428" s="36"/>
    </row>
    <row r="429" ht="14.25" customHeight="1">
      <c r="D429" s="36"/>
    </row>
    <row r="430" ht="14.25" customHeight="1">
      <c r="D430" s="36"/>
    </row>
    <row r="431" ht="14.25" customHeight="1">
      <c r="D431" s="36"/>
    </row>
    <row r="432" ht="14.25" customHeight="1">
      <c r="D432" s="36"/>
    </row>
    <row r="433" ht="14.25" customHeight="1">
      <c r="D433" s="36"/>
    </row>
    <row r="434" ht="14.25" customHeight="1">
      <c r="D434" s="36"/>
    </row>
    <row r="435" ht="14.25" customHeight="1">
      <c r="D435" s="36"/>
    </row>
    <row r="436" ht="14.25" customHeight="1">
      <c r="D436" s="36"/>
    </row>
    <row r="437" ht="14.25" customHeight="1">
      <c r="D437" s="36"/>
    </row>
    <row r="438" ht="14.25" customHeight="1">
      <c r="D438" s="36"/>
    </row>
    <row r="439" ht="14.25" customHeight="1">
      <c r="D439" s="36"/>
    </row>
    <row r="440" ht="14.25" customHeight="1">
      <c r="D440" s="36"/>
    </row>
    <row r="441" ht="14.25" customHeight="1">
      <c r="D441" s="36"/>
    </row>
    <row r="442" ht="14.25" customHeight="1">
      <c r="D442" s="36"/>
    </row>
    <row r="443" ht="14.25" customHeight="1">
      <c r="D443" s="36"/>
    </row>
    <row r="444" ht="14.25" customHeight="1">
      <c r="D444" s="36"/>
    </row>
    <row r="445" ht="14.25" customHeight="1">
      <c r="D445" s="36"/>
    </row>
    <row r="446" ht="14.25" customHeight="1">
      <c r="D446" s="36"/>
    </row>
    <row r="447" ht="14.25" customHeight="1">
      <c r="D447" s="36"/>
    </row>
    <row r="448" ht="14.25" customHeight="1">
      <c r="D448" s="36"/>
    </row>
    <row r="449" ht="14.25" customHeight="1">
      <c r="D449" s="36"/>
    </row>
    <row r="450" ht="14.25" customHeight="1">
      <c r="D450" s="36"/>
    </row>
    <row r="451" ht="14.25" customHeight="1">
      <c r="D451" s="36"/>
    </row>
    <row r="452" ht="14.25" customHeight="1">
      <c r="D452" s="36"/>
    </row>
    <row r="453" ht="14.25" customHeight="1">
      <c r="D453" s="36"/>
    </row>
    <row r="454" ht="14.25" customHeight="1">
      <c r="D454" s="36"/>
    </row>
    <row r="455" ht="14.25" customHeight="1">
      <c r="D455" s="36"/>
    </row>
    <row r="456" ht="14.25" customHeight="1">
      <c r="D456" s="36"/>
    </row>
    <row r="457" ht="14.25" customHeight="1">
      <c r="D457" s="36"/>
    </row>
    <row r="458" ht="14.25" customHeight="1">
      <c r="D458" s="36"/>
    </row>
    <row r="459" ht="14.25" customHeight="1">
      <c r="D459" s="36"/>
    </row>
    <row r="460" ht="14.25" customHeight="1">
      <c r="D460" s="36"/>
    </row>
    <row r="461" ht="14.25" customHeight="1">
      <c r="D461" s="36"/>
    </row>
    <row r="462" ht="14.25" customHeight="1">
      <c r="D462" s="36"/>
    </row>
    <row r="463" ht="14.25" customHeight="1">
      <c r="D463" s="36"/>
    </row>
    <row r="464" ht="14.25" customHeight="1">
      <c r="D464" s="36"/>
    </row>
    <row r="465" ht="14.25" customHeight="1">
      <c r="D465" s="36"/>
    </row>
    <row r="466" ht="14.25" customHeight="1">
      <c r="D466" s="36"/>
    </row>
    <row r="467" ht="14.25" customHeight="1">
      <c r="D467" s="36"/>
    </row>
    <row r="468" ht="14.25" customHeight="1">
      <c r="D468" s="36"/>
    </row>
    <row r="469" ht="14.25" customHeight="1">
      <c r="D469" s="36"/>
    </row>
    <row r="470" ht="14.25" customHeight="1">
      <c r="D470" s="36"/>
    </row>
    <row r="471" ht="14.25" customHeight="1">
      <c r="D471" s="36"/>
    </row>
    <row r="472" ht="14.25" customHeight="1">
      <c r="D472" s="36"/>
    </row>
    <row r="473" ht="14.25" customHeight="1">
      <c r="D473" s="36"/>
    </row>
    <row r="474" ht="14.25" customHeight="1">
      <c r="D474" s="36"/>
    </row>
    <row r="475" ht="14.25" customHeight="1">
      <c r="D475" s="36"/>
    </row>
    <row r="476" ht="14.25" customHeight="1">
      <c r="D476" s="36"/>
    </row>
    <row r="477" ht="14.25" customHeight="1">
      <c r="D477" s="36"/>
    </row>
    <row r="478" ht="14.25" customHeight="1">
      <c r="D478" s="36"/>
    </row>
    <row r="479" ht="14.25" customHeight="1">
      <c r="D479" s="36"/>
    </row>
    <row r="480" ht="14.25" customHeight="1">
      <c r="D480" s="36"/>
    </row>
    <row r="481" ht="14.25" customHeight="1">
      <c r="D481" s="36"/>
    </row>
    <row r="482" ht="14.25" customHeight="1">
      <c r="D482" s="36"/>
    </row>
    <row r="483" ht="14.25" customHeight="1">
      <c r="D483" s="36"/>
    </row>
    <row r="484" ht="14.25" customHeight="1">
      <c r="D484" s="36"/>
    </row>
    <row r="485" ht="14.25" customHeight="1">
      <c r="D485" s="36"/>
    </row>
    <row r="486" ht="14.25" customHeight="1">
      <c r="D486" s="36"/>
    </row>
    <row r="487" ht="14.25" customHeight="1">
      <c r="D487" s="36"/>
    </row>
    <row r="488" ht="14.25" customHeight="1">
      <c r="D488" s="36"/>
    </row>
    <row r="489" ht="14.25" customHeight="1">
      <c r="D489" s="36"/>
    </row>
    <row r="490" ht="14.25" customHeight="1">
      <c r="D490" s="36"/>
    </row>
    <row r="491" ht="14.25" customHeight="1">
      <c r="D491" s="36"/>
    </row>
    <row r="492" ht="14.25" customHeight="1">
      <c r="D492" s="36"/>
    </row>
    <row r="493" ht="14.25" customHeight="1">
      <c r="D493" s="36"/>
    </row>
    <row r="494" ht="14.25" customHeight="1">
      <c r="D494" s="36"/>
    </row>
    <row r="495" ht="14.25" customHeight="1">
      <c r="D495" s="36"/>
    </row>
    <row r="496" ht="14.25" customHeight="1">
      <c r="D496" s="36"/>
    </row>
    <row r="497" ht="14.25" customHeight="1">
      <c r="D497" s="36"/>
    </row>
    <row r="498" ht="14.25" customHeight="1">
      <c r="D498" s="36"/>
    </row>
    <row r="499" ht="14.25" customHeight="1">
      <c r="D499" s="36"/>
    </row>
    <row r="500" ht="14.25" customHeight="1">
      <c r="D500" s="36"/>
    </row>
    <row r="501" ht="14.25" customHeight="1">
      <c r="D501" s="36"/>
    </row>
    <row r="502" ht="14.25" customHeight="1">
      <c r="D502" s="36"/>
    </row>
    <row r="503" ht="14.25" customHeight="1">
      <c r="D503" s="36"/>
    </row>
    <row r="504" ht="14.25" customHeight="1">
      <c r="D504" s="36"/>
    </row>
    <row r="505" ht="14.25" customHeight="1">
      <c r="D505" s="36"/>
    </row>
    <row r="506" ht="14.25" customHeight="1">
      <c r="D506" s="36"/>
    </row>
    <row r="507" ht="14.25" customHeight="1">
      <c r="D507" s="36"/>
    </row>
    <row r="508" ht="14.25" customHeight="1">
      <c r="D508" s="36"/>
    </row>
    <row r="509" ht="14.25" customHeight="1">
      <c r="D509" s="36"/>
    </row>
    <row r="510" ht="14.25" customHeight="1">
      <c r="D510" s="36"/>
    </row>
    <row r="511" ht="14.25" customHeight="1">
      <c r="D511" s="36"/>
    </row>
    <row r="512" ht="14.25" customHeight="1">
      <c r="D512" s="36"/>
    </row>
    <row r="513" ht="14.25" customHeight="1">
      <c r="D513" s="36"/>
    </row>
    <row r="514" ht="14.25" customHeight="1">
      <c r="D514" s="36"/>
    </row>
    <row r="515" ht="14.25" customHeight="1">
      <c r="D515" s="36"/>
    </row>
    <row r="516" ht="14.25" customHeight="1">
      <c r="D516" s="36"/>
    </row>
    <row r="517" ht="14.25" customHeight="1">
      <c r="D517" s="36"/>
    </row>
    <row r="518" ht="14.25" customHeight="1">
      <c r="D518" s="36"/>
    </row>
    <row r="519" ht="14.25" customHeight="1">
      <c r="D519" s="36"/>
    </row>
    <row r="520" ht="14.25" customHeight="1">
      <c r="D520" s="36"/>
    </row>
    <row r="521" ht="14.25" customHeight="1">
      <c r="D521" s="36"/>
    </row>
    <row r="522" ht="14.25" customHeight="1">
      <c r="D522" s="36"/>
    </row>
    <row r="523" ht="14.25" customHeight="1">
      <c r="D523" s="36"/>
    </row>
    <row r="524" ht="14.25" customHeight="1">
      <c r="D524" s="36"/>
    </row>
    <row r="525" ht="14.25" customHeight="1">
      <c r="D525" s="36"/>
    </row>
    <row r="526" ht="14.25" customHeight="1">
      <c r="D526" s="36"/>
    </row>
    <row r="527" ht="14.25" customHeight="1">
      <c r="D527" s="36"/>
    </row>
    <row r="528" ht="14.25" customHeight="1">
      <c r="D528" s="36"/>
    </row>
    <row r="529" ht="14.25" customHeight="1">
      <c r="D529" s="36"/>
    </row>
    <row r="530" ht="14.25" customHeight="1">
      <c r="D530" s="36"/>
    </row>
    <row r="531" ht="14.25" customHeight="1">
      <c r="D531" s="36"/>
    </row>
    <row r="532" ht="14.25" customHeight="1">
      <c r="D532" s="36"/>
    </row>
    <row r="533" ht="14.25" customHeight="1">
      <c r="D533" s="36"/>
    </row>
    <row r="534" ht="14.25" customHeight="1">
      <c r="D534" s="36"/>
    </row>
    <row r="535" ht="14.25" customHeight="1">
      <c r="D535" s="36"/>
    </row>
    <row r="536" ht="14.25" customHeight="1">
      <c r="D536" s="36"/>
    </row>
    <row r="537" ht="14.25" customHeight="1">
      <c r="D537" s="36"/>
    </row>
    <row r="538" ht="14.25" customHeight="1">
      <c r="D538" s="36"/>
    </row>
    <row r="539" ht="14.25" customHeight="1">
      <c r="D539" s="36"/>
    </row>
    <row r="540" ht="14.25" customHeight="1">
      <c r="D540" s="36"/>
    </row>
    <row r="541" ht="14.25" customHeight="1">
      <c r="D541" s="36"/>
    </row>
    <row r="542" ht="14.25" customHeight="1">
      <c r="D542" s="36"/>
    </row>
    <row r="543" ht="14.25" customHeight="1">
      <c r="D543" s="36"/>
    </row>
    <row r="544" ht="14.25" customHeight="1">
      <c r="D544" s="36"/>
    </row>
    <row r="545" ht="14.25" customHeight="1">
      <c r="D545" s="36"/>
    </row>
    <row r="546" ht="14.25" customHeight="1">
      <c r="D546" s="36"/>
    </row>
    <row r="547" ht="14.25" customHeight="1">
      <c r="D547" s="36"/>
    </row>
    <row r="548" ht="14.25" customHeight="1">
      <c r="D548" s="36"/>
    </row>
    <row r="549" ht="14.25" customHeight="1">
      <c r="D549" s="36"/>
    </row>
    <row r="550" ht="14.25" customHeight="1">
      <c r="D550" s="36"/>
    </row>
    <row r="551" ht="14.25" customHeight="1">
      <c r="D551" s="36"/>
    </row>
    <row r="552" ht="14.25" customHeight="1">
      <c r="D552" s="36"/>
    </row>
    <row r="553" ht="14.25" customHeight="1">
      <c r="D553" s="36"/>
    </row>
    <row r="554" ht="14.25" customHeight="1">
      <c r="D554" s="36"/>
    </row>
    <row r="555" ht="14.25" customHeight="1">
      <c r="D555" s="36"/>
    </row>
    <row r="556" ht="14.25" customHeight="1">
      <c r="D556" s="36"/>
    </row>
    <row r="557" ht="14.25" customHeight="1">
      <c r="D557" s="36"/>
    </row>
    <row r="558" ht="14.25" customHeight="1">
      <c r="D558" s="36"/>
    </row>
    <row r="559" ht="14.25" customHeight="1">
      <c r="D559" s="36"/>
    </row>
    <row r="560" ht="14.25" customHeight="1">
      <c r="D560" s="36"/>
    </row>
    <row r="561" ht="14.25" customHeight="1">
      <c r="D561" s="36"/>
    </row>
    <row r="562" ht="14.25" customHeight="1">
      <c r="D562" s="36"/>
    </row>
    <row r="563" ht="14.25" customHeight="1">
      <c r="D563" s="36"/>
    </row>
    <row r="564" ht="14.25" customHeight="1">
      <c r="D564" s="36"/>
    </row>
    <row r="565" ht="14.25" customHeight="1">
      <c r="D565" s="36"/>
    </row>
    <row r="566" ht="14.25" customHeight="1">
      <c r="D566" s="36"/>
    </row>
    <row r="567" ht="14.25" customHeight="1">
      <c r="D567" s="36"/>
    </row>
    <row r="568" ht="14.25" customHeight="1">
      <c r="D568" s="36"/>
    </row>
    <row r="569" ht="14.25" customHeight="1">
      <c r="D569" s="36"/>
    </row>
    <row r="570" ht="14.25" customHeight="1">
      <c r="D570" s="36"/>
    </row>
    <row r="571" ht="14.25" customHeight="1">
      <c r="D571" s="36"/>
    </row>
    <row r="572" ht="14.25" customHeight="1">
      <c r="D572" s="36"/>
    </row>
    <row r="573" ht="14.25" customHeight="1">
      <c r="D573" s="36"/>
    </row>
    <row r="574" ht="14.25" customHeight="1">
      <c r="D574" s="36"/>
    </row>
    <row r="575" ht="14.25" customHeight="1">
      <c r="D575" s="36"/>
    </row>
    <row r="576" ht="14.25" customHeight="1">
      <c r="D576" s="36"/>
    </row>
    <row r="577" ht="14.25" customHeight="1">
      <c r="D577" s="36"/>
    </row>
    <row r="578" ht="14.25" customHeight="1">
      <c r="D578" s="36"/>
    </row>
    <row r="579" ht="14.25" customHeight="1">
      <c r="D579" s="36"/>
    </row>
    <row r="580" ht="14.25" customHeight="1">
      <c r="D580" s="36"/>
    </row>
    <row r="581" ht="14.25" customHeight="1">
      <c r="D581" s="36"/>
    </row>
    <row r="582" ht="14.25" customHeight="1">
      <c r="D582" s="36"/>
    </row>
    <row r="583" ht="14.25" customHeight="1">
      <c r="D583" s="36"/>
    </row>
    <row r="584" ht="14.25" customHeight="1">
      <c r="D584" s="36"/>
    </row>
    <row r="585" ht="14.25" customHeight="1">
      <c r="D585" s="36"/>
    </row>
    <row r="586" ht="14.25" customHeight="1">
      <c r="D586" s="36"/>
    </row>
    <row r="587" ht="14.25" customHeight="1">
      <c r="D587" s="36"/>
    </row>
    <row r="588" ht="14.25" customHeight="1">
      <c r="D588" s="36"/>
    </row>
    <row r="589" ht="14.25" customHeight="1">
      <c r="D589" s="36"/>
    </row>
    <row r="590" ht="14.25" customHeight="1">
      <c r="D590" s="36"/>
    </row>
    <row r="591" ht="14.25" customHeight="1">
      <c r="D591" s="36"/>
    </row>
    <row r="592" ht="14.25" customHeight="1">
      <c r="D592" s="36"/>
    </row>
    <row r="593" ht="14.25" customHeight="1">
      <c r="D593" s="36"/>
    </row>
    <row r="594" ht="14.25" customHeight="1">
      <c r="D594" s="36"/>
    </row>
    <row r="595" ht="14.25" customHeight="1">
      <c r="D595" s="36"/>
    </row>
    <row r="596" ht="14.25" customHeight="1">
      <c r="D596" s="36"/>
    </row>
    <row r="597" ht="14.25" customHeight="1">
      <c r="D597" s="36"/>
    </row>
    <row r="598" ht="14.25" customHeight="1">
      <c r="D598" s="36"/>
    </row>
    <row r="599" ht="14.25" customHeight="1">
      <c r="D599" s="36"/>
    </row>
    <row r="600" ht="14.25" customHeight="1">
      <c r="D600" s="36"/>
    </row>
    <row r="601" ht="14.25" customHeight="1">
      <c r="D601" s="36"/>
    </row>
    <row r="602" ht="14.25" customHeight="1">
      <c r="D602" s="36"/>
    </row>
    <row r="603" ht="14.25" customHeight="1">
      <c r="D603" s="36"/>
    </row>
    <row r="604" ht="14.25" customHeight="1">
      <c r="D604" s="36"/>
    </row>
    <row r="605" ht="14.25" customHeight="1">
      <c r="D605" s="36"/>
    </row>
    <row r="606" ht="14.25" customHeight="1">
      <c r="D606" s="36"/>
    </row>
    <row r="607" ht="14.25" customHeight="1">
      <c r="D607" s="36"/>
    </row>
    <row r="608" ht="14.25" customHeight="1">
      <c r="D608" s="36"/>
    </row>
    <row r="609" ht="14.25" customHeight="1">
      <c r="D609" s="36"/>
    </row>
    <row r="610" ht="14.25" customHeight="1">
      <c r="D610" s="36"/>
    </row>
    <row r="611" ht="14.25" customHeight="1">
      <c r="D611" s="36"/>
    </row>
    <row r="612" ht="14.25" customHeight="1">
      <c r="D612" s="36"/>
    </row>
    <row r="613" ht="14.25" customHeight="1">
      <c r="D613" s="36"/>
    </row>
    <row r="614" ht="14.25" customHeight="1">
      <c r="D614" s="36"/>
    </row>
    <row r="615" ht="14.25" customHeight="1">
      <c r="D615" s="36"/>
    </row>
    <row r="616" ht="14.25" customHeight="1">
      <c r="D616" s="36"/>
    </row>
    <row r="617" ht="14.25" customHeight="1">
      <c r="D617" s="36"/>
    </row>
    <row r="618" ht="14.25" customHeight="1">
      <c r="D618" s="36"/>
    </row>
    <row r="619" ht="14.25" customHeight="1">
      <c r="D619" s="36"/>
    </row>
    <row r="620" ht="14.25" customHeight="1">
      <c r="D620" s="36"/>
    </row>
    <row r="621" ht="14.25" customHeight="1">
      <c r="D621" s="36"/>
    </row>
    <row r="622" ht="14.25" customHeight="1">
      <c r="D622" s="36"/>
    </row>
    <row r="623" ht="14.25" customHeight="1">
      <c r="D623" s="36"/>
    </row>
    <row r="624" ht="14.25" customHeight="1">
      <c r="D624" s="36"/>
    </row>
    <row r="625" ht="14.25" customHeight="1">
      <c r="D625" s="36"/>
    </row>
    <row r="626" ht="14.25" customHeight="1">
      <c r="D626" s="36"/>
    </row>
    <row r="627" ht="14.25" customHeight="1">
      <c r="D627" s="36"/>
    </row>
    <row r="628" ht="14.25" customHeight="1">
      <c r="D628" s="36"/>
    </row>
    <row r="629" ht="14.25" customHeight="1">
      <c r="D629" s="36"/>
    </row>
    <row r="630" ht="14.25" customHeight="1">
      <c r="D630" s="36"/>
    </row>
    <row r="631" ht="14.25" customHeight="1">
      <c r="D631" s="36"/>
    </row>
    <row r="632" ht="14.25" customHeight="1">
      <c r="D632" s="36"/>
    </row>
    <row r="633" ht="14.25" customHeight="1">
      <c r="D633" s="36"/>
    </row>
    <row r="634" ht="14.25" customHeight="1">
      <c r="D634" s="36"/>
    </row>
    <row r="635" ht="14.25" customHeight="1">
      <c r="D635" s="36"/>
    </row>
    <row r="636" ht="14.25" customHeight="1">
      <c r="D636" s="36"/>
    </row>
    <row r="637" ht="14.25" customHeight="1">
      <c r="D637" s="36"/>
    </row>
    <row r="638" ht="14.25" customHeight="1">
      <c r="D638" s="36"/>
    </row>
    <row r="639" ht="14.25" customHeight="1">
      <c r="D639" s="36"/>
    </row>
    <row r="640" ht="14.25" customHeight="1">
      <c r="D640" s="36"/>
    </row>
    <row r="641" ht="14.25" customHeight="1">
      <c r="D641" s="36"/>
    </row>
    <row r="642" ht="14.25" customHeight="1">
      <c r="D642" s="36"/>
    </row>
    <row r="643" ht="14.25" customHeight="1">
      <c r="D643" s="36"/>
    </row>
    <row r="644" ht="14.25" customHeight="1">
      <c r="D644" s="36"/>
    </row>
    <row r="645" ht="14.25" customHeight="1">
      <c r="D645" s="36"/>
    </row>
    <row r="646" ht="14.25" customHeight="1">
      <c r="D646" s="36"/>
    </row>
    <row r="647" ht="14.25" customHeight="1">
      <c r="D647" s="36"/>
    </row>
    <row r="648" ht="14.25" customHeight="1">
      <c r="D648" s="36"/>
    </row>
    <row r="649" ht="14.25" customHeight="1">
      <c r="D649" s="36"/>
    </row>
    <row r="650" ht="14.25" customHeight="1">
      <c r="D650" s="36"/>
    </row>
    <row r="651" ht="14.25" customHeight="1">
      <c r="D651" s="36"/>
    </row>
    <row r="652" ht="14.25" customHeight="1">
      <c r="D652" s="36"/>
    </row>
    <row r="653" ht="14.25" customHeight="1">
      <c r="D653" s="36"/>
    </row>
    <row r="654" ht="14.25" customHeight="1">
      <c r="D654" s="36"/>
    </row>
    <row r="655" ht="14.25" customHeight="1">
      <c r="D655" s="36"/>
    </row>
    <row r="656" ht="14.25" customHeight="1">
      <c r="D656" s="36"/>
    </row>
    <row r="657" ht="14.25" customHeight="1">
      <c r="D657" s="36"/>
    </row>
    <row r="658" ht="14.25" customHeight="1">
      <c r="D658" s="36"/>
    </row>
    <row r="659" ht="14.25" customHeight="1">
      <c r="D659" s="36"/>
    </row>
    <row r="660" ht="14.25" customHeight="1">
      <c r="D660" s="36"/>
    </row>
    <row r="661" ht="14.25" customHeight="1">
      <c r="D661" s="36"/>
    </row>
    <row r="662" ht="14.25" customHeight="1">
      <c r="D662" s="36"/>
    </row>
    <row r="663" ht="14.25" customHeight="1">
      <c r="D663" s="36"/>
    </row>
    <row r="664" ht="14.25" customHeight="1">
      <c r="D664" s="36"/>
    </row>
    <row r="665" ht="14.25" customHeight="1">
      <c r="D665" s="36"/>
    </row>
    <row r="666" ht="14.25" customHeight="1">
      <c r="D666" s="36"/>
    </row>
    <row r="667" ht="14.25" customHeight="1">
      <c r="D667" s="36"/>
    </row>
    <row r="668" ht="14.25" customHeight="1">
      <c r="D668" s="36"/>
    </row>
    <row r="669" ht="14.25" customHeight="1">
      <c r="D669" s="36"/>
    </row>
    <row r="670" ht="14.25" customHeight="1">
      <c r="D670" s="36"/>
    </row>
    <row r="671" ht="14.25" customHeight="1">
      <c r="D671" s="36"/>
    </row>
    <row r="672" ht="14.25" customHeight="1">
      <c r="D672" s="36"/>
    </row>
    <row r="673" ht="14.25" customHeight="1">
      <c r="D673" s="36"/>
    </row>
    <row r="674" ht="14.25" customHeight="1">
      <c r="D674" s="36"/>
    </row>
    <row r="675" ht="14.25" customHeight="1">
      <c r="D675" s="36"/>
    </row>
    <row r="676" ht="14.25" customHeight="1">
      <c r="D676" s="36"/>
    </row>
    <row r="677" ht="14.25" customHeight="1">
      <c r="D677" s="36"/>
    </row>
    <row r="678" ht="14.25" customHeight="1">
      <c r="D678" s="36"/>
    </row>
    <row r="679" ht="14.25" customHeight="1">
      <c r="D679" s="36"/>
    </row>
    <row r="680" ht="14.25" customHeight="1">
      <c r="D680" s="36"/>
    </row>
    <row r="681" ht="14.25" customHeight="1">
      <c r="D681" s="36"/>
    </row>
    <row r="682" ht="14.25" customHeight="1">
      <c r="D682" s="36"/>
    </row>
    <row r="683" ht="14.25" customHeight="1">
      <c r="D683" s="36"/>
    </row>
    <row r="684" ht="14.25" customHeight="1">
      <c r="D684" s="36"/>
    </row>
    <row r="685" ht="14.25" customHeight="1">
      <c r="D685" s="36"/>
    </row>
    <row r="686" ht="14.25" customHeight="1">
      <c r="D686" s="36"/>
    </row>
    <row r="687" ht="14.25" customHeight="1">
      <c r="D687" s="36"/>
    </row>
    <row r="688" ht="14.25" customHeight="1">
      <c r="D688" s="36"/>
    </row>
    <row r="689" ht="14.25" customHeight="1">
      <c r="D689" s="36"/>
    </row>
    <row r="690" ht="14.25" customHeight="1">
      <c r="D690" s="36"/>
    </row>
    <row r="691" ht="14.25" customHeight="1">
      <c r="D691" s="36"/>
    </row>
    <row r="692" ht="14.25" customHeight="1">
      <c r="D692" s="36"/>
    </row>
    <row r="693" ht="14.25" customHeight="1">
      <c r="D693" s="36"/>
    </row>
    <row r="694" ht="14.25" customHeight="1">
      <c r="D694" s="36"/>
    </row>
    <row r="695" ht="14.25" customHeight="1">
      <c r="D695" s="36"/>
    </row>
    <row r="696" ht="14.25" customHeight="1">
      <c r="D696" s="36"/>
    </row>
    <row r="697" ht="14.25" customHeight="1">
      <c r="D697" s="36"/>
    </row>
    <row r="698" ht="14.25" customHeight="1">
      <c r="D698" s="36"/>
    </row>
    <row r="699" ht="14.25" customHeight="1">
      <c r="D699" s="36"/>
    </row>
    <row r="700" ht="14.25" customHeight="1">
      <c r="D700" s="36"/>
    </row>
    <row r="701" ht="14.25" customHeight="1">
      <c r="D701" s="36"/>
    </row>
    <row r="702" ht="14.25" customHeight="1">
      <c r="D702" s="36"/>
    </row>
    <row r="703" ht="14.25" customHeight="1">
      <c r="D703" s="36"/>
    </row>
    <row r="704" ht="14.25" customHeight="1">
      <c r="D704" s="36"/>
    </row>
    <row r="705" ht="14.25" customHeight="1">
      <c r="D705" s="36"/>
    </row>
    <row r="706" ht="14.25" customHeight="1">
      <c r="D706" s="36"/>
    </row>
    <row r="707" ht="14.25" customHeight="1">
      <c r="D707" s="36"/>
    </row>
    <row r="708" ht="14.25" customHeight="1">
      <c r="D708" s="36"/>
    </row>
    <row r="709" ht="14.25" customHeight="1">
      <c r="D709" s="36"/>
    </row>
    <row r="710" ht="14.25" customHeight="1">
      <c r="D710" s="36"/>
    </row>
    <row r="711" ht="14.25" customHeight="1">
      <c r="D711" s="36"/>
    </row>
    <row r="712" ht="14.25" customHeight="1">
      <c r="D712" s="36"/>
    </row>
    <row r="713" ht="14.25" customHeight="1">
      <c r="D713" s="36"/>
    </row>
    <row r="714" ht="14.25" customHeight="1">
      <c r="D714" s="36"/>
    </row>
    <row r="715" ht="14.25" customHeight="1">
      <c r="D715" s="36"/>
    </row>
    <row r="716" ht="14.25" customHeight="1">
      <c r="D716" s="36"/>
    </row>
    <row r="717" ht="14.25" customHeight="1">
      <c r="D717" s="36"/>
    </row>
    <row r="718" ht="14.25" customHeight="1">
      <c r="D718" s="36"/>
    </row>
    <row r="719" ht="14.25" customHeight="1">
      <c r="D719" s="36"/>
    </row>
    <row r="720" ht="14.25" customHeight="1">
      <c r="D720" s="36"/>
    </row>
    <row r="721" ht="14.25" customHeight="1">
      <c r="D721" s="36"/>
    </row>
    <row r="722" ht="14.25" customHeight="1">
      <c r="D722" s="36"/>
    </row>
    <row r="723" ht="14.25" customHeight="1">
      <c r="D723" s="36"/>
    </row>
    <row r="724" ht="14.25" customHeight="1">
      <c r="D724" s="36"/>
    </row>
    <row r="725" ht="14.25" customHeight="1">
      <c r="D725" s="36"/>
    </row>
    <row r="726" ht="14.25" customHeight="1">
      <c r="D726" s="36"/>
    </row>
    <row r="727" ht="14.25" customHeight="1">
      <c r="D727" s="36"/>
    </row>
    <row r="728" ht="14.25" customHeight="1">
      <c r="D728" s="36"/>
    </row>
    <row r="729" ht="14.25" customHeight="1">
      <c r="D729" s="36"/>
    </row>
    <row r="730" ht="14.25" customHeight="1">
      <c r="D730" s="36"/>
    </row>
    <row r="731" ht="14.25" customHeight="1">
      <c r="D731" s="36"/>
    </row>
    <row r="732" ht="14.25" customHeight="1">
      <c r="D732" s="36"/>
    </row>
    <row r="733" ht="14.25" customHeight="1">
      <c r="D733" s="36"/>
    </row>
    <row r="734" ht="14.25" customHeight="1">
      <c r="D734" s="36"/>
    </row>
    <row r="735" ht="14.25" customHeight="1">
      <c r="D735" s="36"/>
    </row>
    <row r="736" ht="14.25" customHeight="1">
      <c r="D736" s="36"/>
    </row>
    <row r="737" ht="14.25" customHeight="1">
      <c r="D737" s="36"/>
    </row>
    <row r="738" ht="14.25" customHeight="1">
      <c r="D738" s="36"/>
    </row>
    <row r="739" ht="14.25" customHeight="1">
      <c r="D739" s="36"/>
    </row>
    <row r="740" ht="14.25" customHeight="1">
      <c r="D740" s="36"/>
    </row>
    <row r="741" ht="14.25" customHeight="1">
      <c r="D741" s="36"/>
    </row>
    <row r="742" ht="14.25" customHeight="1">
      <c r="D742" s="36"/>
    </row>
    <row r="743" ht="14.25" customHeight="1">
      <c r="D743" s="36"/>
    </row>
    <row r="744" ht="14.25" customHeight="1">
      <c r="D744" s="36"/>
    </row>
    <row r="745" ht="14.25" customHeight="1">
      <c r="D745" s="36"/>
    </row>
    <row r="746" ht="14.25" customHeight="1">
      <c r="D746" s="36"/>
    </row>
    <row r="747" ht="14.25" customHeight="1">
      <c r="D747" s="36"/>
    </row>
    <row r="748" ht="14.25" customHeight="1">
      <c r="D748" s="36"/>
    </row>
    <row r="749" ht="14.25" customHeight="1">
      <c r="D749" s="36"/>
    </row>
    <row r="750" ht="14.25" customHeight="1">
      <c r="D750" s="36"/>
    </row>
    <row r="751" ht="14.25" customHeight="1">
      <c r="D751" s="36"/>
    </row>
    <row r="752" ht="14.25" customHeight="1">
      <c r="D752" s="36"/>
    </row>
    <row r="753" ht="14.25" customHeight="1">
      <c r="D753" s="36"/>
    </row>
    <row r="754" ht="14.25" customHeight="1">
      <c r="D754" s="36"/>
    </row>
    <row r="755" ht="14.25" customHeight="1">
      <c r="D755" s="36"/>
    </row>
    <row r="756" ht="14.25" customHeight="1">
      <c r="D756" s="36"/>
    </row>
    <row r="757" ht="14.25" customHeight="1">
      <c r="D757" s="36"/>
    </row>
    <row r="758" ht="14.25" customHeight="1">
      <c r="D758" s="36"/>
    </row>
    <row r="759" ht="14.25" customHeight="1">
      <c r="D759" s="36"/>
    </row>
    <row r="760" ht="14.25" customHeight="1">
      <c r="D760" s="36"/>
    </row>
    <row r="761" ht="14.25" customHeight="1">
      <c r="D761" s="36"/>
    </row>
    <row r="762" ht="14.25" customHeight="1">
      <c r="D762" s="36"/>
    </row>
    <row r="763" ht="14.25" customHeight="1">
      <c r="D763" s="36"/>
    </row>
    <row r="764" ht="14.25" customHeight="1">
      <c r="D764" s="36"/>
    </row>
    <row r="765" ht="14.25" customHeight="1">
      <c r="D765" s="36"/>
    </row>
    <row r="766" ht="14.25" customHeight="1">
      <c r="D766" s="36"/>
    </row>
    <row r="767" ht="14.25" customHeight="1">
      <c r="D767" s="36"/>
    </row>
    <row r="768" ht="14.25" customHeight="1">
      <c r="D768" s="36"/>
    </row>
    <row r="769" ht="14.25" customHeight="1">
      <c r="D769" s="36"/>
    </row>
    <row r="770" ht="14.25" customHeight="1">
      <c r="D770" s="36"/>
    </row>
    <row r="771" ht="14.25" customHeight="1">
      <c r="D771" s="36"/>
    </row>
    <row r="772" ht="14.25" customHeight="1">
      <c r="D772" s="36"/>
    </row>
    <row r="773" ht="14.25" customHeight="1">
      <c r="D773" s="36"/>
    </row>
    <row r="774" ht="14.25" customHeight="1">
      <c r="D774" s="36"/>
    </row>
    <row r="775" ht="14.25" customHeight="1">
      <c r="D775" s="36"/>
    </row>
    <row r="776" ht="14.25" customHeight="1">
      <c r="D776" s="36"/>
    </row>
    <row r="777" ht="14.25" customHeight="1">
      <c r="D777" s="36"/>
    </row>
    <row r="778" ht="14.25" customHeight="1">
      <c r="D778" s="36"/>
    </row>
    <row r="779" ht="14.25" customHeight="1">
      <c r="D779" s="36"/>
    </row>
    <row r="780" ht="14.25" customHeight="1">
      <c r="D780" s="36"/>
    </row>
    <row r="781" ht="14.25" customHeight="1">
      <c r="D781" s="36"/>
    </row>
    <row r="782" ht="14.25" customHeight="1">
      <c r="D782" s="36"/>
    </row>
    <row r="783" ht="14.25" customHeight="1">
      <c r="D783" s="36"/>
    </row>
    <row r="784" ht="14.25" customHeight="1">
      <c r="D784" s="36"/>
    </row>
    <row r="785" ht="14.25" customHeight="1">
      <c r="D785" s="36"/>
    </row>
    <row r="786" ht="14.25" customHeight="1">
      <c r="D786" s="36"/>
    </row>
    <row r="787" ht="14.25" customHeight="1">
      <c r="D787" s="36"/>
    </row>
    <row r="788" ht="14.25" customHeight="1">
      <c r="D788" s="36"/>
    </row>
    <row r="789" ht="14.25" customHeight="1">
      <c r="D789" s="36"/>
    </row>
    <row r="790" ht="14.25" customHeight="1">
      <c r="D790" s="36"/>
    </row>
    <row r="791" ht="14.25" customHeight="1">
      <c r="D791" s="36"/>
    </row>
    <row r="792" ht="14.25" customHeight="1">
      <c r="D792" s="36"/>
    </row>
    <row r="793" ht="14.25" customHeight="1">
      <c r="D793" s="36"/>
    </row>
    <row r="794" ht="14.25" customHeight="1">
      <c r="D794" s="36"/>
    </row>
    <row r="795" ht="14.25" customHeight="1">
      <c r="D795" s="36"/>
    </row>
    <row r="796" ht="14.25" customHeight="1">
      <c r="D796" s="36"/>
    </row>
    <row r="797" ht="14.25" customHeight="1">
      <c r="D797" s="36"/>
    </row>
    <row r="798" ht="14.25" customHeight="1">
      <c r="D798" s="36"/>
    </row>
    <row r="799" ht="14.25" customHeight="1">
      <c r="D799" s="36"/>
    </row>
    <row r="800" ht="14.25" customHeight="1">
      <c r="D800" s="36"/>
    </row>
    <row r="801" ht="14.25" customHeight="1">
      <c r="D801" s="36"/>
    </row>
    <row r="802" ht="14.25" customHeight="1">
      <c r="D802" s="36"/>
    </row>
    <row r="803" ht="14.25" customHeight="1">
      <c r="D803" s="36"/>
    </row>
    <row r="804" ht="14.25" customHeight="1">
      <c r="D804" s="36"/>
    </row>
    <row r="805" ht="14.25" customHeight="1">
      <c r="D805" s="36"/>
    </row>
    <row r="806" ht="14.25" customHeight="1">
      <c r="D806" s="36"/>
    </row>
    <row r="807" ht="14.25" customHeight="1">
      <c r="D807" s="36"/>
    </row>
    <row r="808" ht="14.25" customHeight="1">
      <c r="D808" s="36"/>
    </row>
    <row r="809" ht="14.25" customHeight="1">
      <c r="D809" s="36"/>
    </row>
    <row r="810" ht="14.25" customHeight="1">
      <c r="D810" s="36"/>
    </row>
    <row r="811" ht="14.25" customHeight="1">
      <c r="D811" s="36"/>
    </row>
    <row r="812" ht="14.25" customHeight="1">
      <c r="D812" s="36"/>
    </row>
    <row r="813" ht="14.25" customHeight="1">
      <c r="D813" s="36"/>
    </row>
    <row r="814" ht="14.25" customHeight="1">
      <c r="D814" s="36"/>
    </row>
    <row r="815" ht="14.25" customHeight="1">
      <c r="D815" s="36"/>
    </row>
    <row r="816" ht="14.25" customHeight="1">
      <c r="D816" s="36"/>
    </row>
    <row r="817" ht="14.25" customHeight="1">
      <c r="D817" s="36"/>
    </row>
    <row r="818" ht="14.25" customHeight="1">
      <c r="D818" s="36"/>
    </row>
    <row r="819" ht="14.25" customHeight="1">
      <c r="D819" s="36"/>
    </row>
    <row r="820" ht="14.25" customHeight="1">
      <c r="D820" s="36"/>
    </row>
    <row r="821" ht="14.25" customHeight="1">
      <c r="D821" s="36"/>
    </row>
    <row r="822" ht="14.25" customHeight="1">
      <c r="D822" s="36"/>
    </row>
    <row r="823" ht="14.25" customHeight="1">
      <c r="D823" s="36"/>
    </row>
    <row r="824" ht="14.25" customHeight="1">
      <c r="D824" s="36"/>
    </row>
    <row r="825" ht="14.25" customHeight="1">
      <c r="D825" s="36"/>
    </row>
    <row r="826" ht="14.25" customHeight="1">
      <c r="D826" s="36"/>
    </row>
    <row r="827" ht="14.25" customHeight="1">
      <c r="D827" s="36"/>
    </row>
    <row r="828" ht="14.25" customHeight="1">
      <c r="D828" s="36"/>
    </row>
    <row r="829" ht="14.25" customHeight="1">
      <c r="D829" s="36"/>
    </row>
    <row r="830" ht="14.25" customHeight="1">
      <c r="D830" s="36"/>
    </row>
    <row r="831" ht="14.25" customHeight="1">
      <c r="D831" s="36"/>
    </row>
    <row r="832" ht="14.25" customHeight="1">
      <c r="D832" s="36"/>
    </row>
    <row r="833" ht="14.25" customHeight="1">
      <c r="D833" s="36"/>
    </row>
    <row r="834" ht="14.25" customHeight="1">
      <c r="D834" s="36"/>
    </row>
    <row r="835" ht="14.25" customHeight="1">
      <c r="D835" s="36"/>
    </row>
    <row r="836" ht="14.25" customHeight="1">
      <c r="D836" s="36"/>
    </row>
    <row r="837" ht="14.25" customHeight="1">
      <c r="D837" s="36"/>
    </row>
    <row r="838" ht="14.25" customHeight="1">
      <c r="D838" s="36"/>
    </row>
    <row r="839" ht="14.25" customHeight="1">
      <c r="D839" s="36"/>
    </row>
    <row r="840" ht="14.25" customHeight="1">
      <c r="D840" s="36"/>
    </row>
    <row r="841" ht="14.25" customHeight="1">
      <c r="D841" s="36"/>
    </row>
    <row r="842" ht="14.25" customHeight="1">
      <c r="D842" s="36"/>
    </row>
    <row r="843" ht="14.25" customHeight="1">
      <c r="D843" s="36"/>
    </row>
    <row r="844" ht="14.25" customHeight="1">
      <c r="D844" s="36"/>
    </row>
    <row r="845" ht="14.25" customHeight="1">
      <c r="D845" s="36"/>
    </row>
    <row r="846" ht="14.25" customHeight="1">
      <c r="D846" s="36"/>
    </row>
    <row r="847" ht="14.25" customHeight="1">
      <c r="D847" s="36"/>
    </row>
    <row r="848" ht="14.25" customHeight="1">
      <c r="D848" s="36"/>
    </row>
    <row r="849" ht="14.25" customHeight="1">
      <c r="D849" s="36"/>
    </row>
    <row r="850" ht="14.25" customHeight="1">
      <c r="D850" s="36"/>
    </row>
    <row r="851" ht="14.25" customHeight="1">
      <c r="D851" s="36"/>
    </row>
    <row r="852" ht="14.25" customHeight="1">
      <c r="D852" s="36"/>
    </row>
    <row r="853" ht="14.25" customHeight="1">
      <c r="D853" s="36"/>
    </row>
    <row r="854" ht="14.25" customHeight="1">
      <c r="D854" s="36"/>
    </row>
    <row r="855" ht="14.25" customHeight="1">
      <c r="D855" s="36"/>
    </row>
    <row r="856" ht="14.25" customHeight="1">
      <c r="D856" s="36"/>
    </row>
    <row r="857" ht="14.25" customHeight="1">
      <c r="D857" s="36"/>
    </row>
    <row r="858" ht="14.25" customHeight="1">
      <c r="D858" s="36"/>
    </row>
    <row r="859" ht="14.25" customHeight="1">
      <c r="D859" s="36"/>
    </row>
    <row r="860" ht="14.25" customHeight="1">
      <c r="D860" s="36"/>
    </row>
    <row r="861" ht="14.25" customHeight="1">
      <c r="D861" s="36"/>
    </row>
    <row r="862" ht="14.25" customHeight="1">
      <c r="D862" s="36"/>
    </row>
    <row r="863" ht="14.25" customHeight="1">
      <c r="D863" s="36"/>
    </row>
    <row r="864" ht="14.25" customHeight="1">
      <c r="D864" s="36"/>
    </row>
    <row r="865" ht="14.25" customHeight="1">
      <c r="D865" s="36"/>
    </row>
    <row r="866" ht="14.25" customHeight="1">
      <c r="D866" s="36"/>
    </row>
    <row r="867" ht="14.25" customHeight="1">
      <c r="D867" s="36"/>
    </row>
    <row r="868" ht="14.25" customHeight="1">
      <c r="D868" s="36"/>
    </row>
    <row r="869" ht="14.25" customHeight="1">
      <c r="D869" s="36"/>
    </row>
    <row r="870" ht="14.25" customHeight="1">
      <c r="D870" s="36"/>
    </row>
    <row r="871" ht="14.25" customHeight="1">
      <c r="D871" s="36"/>
    </row>
    <row r="872" ht="14.25" customHeight="1">
      <c r="D872" s="36"/>
    </row>
    <row r="873" ht="14.25" customHeight="1">
      <c r="D873" s="36"/>
    </row>
    <row r="874" ht="14.25" customHeight="1">
      <c r="D874" s="36"/>
    </row>
    <row r="875" ht="14.25" customHeight="1">
      <c r="D875" s="36"/>
    </row>
    <row r="876" ht="14.25" customHeight="1">
      <c r="D876" s="36"/>
    </row>
    <row r="877" ht="14.25" customHeight="1">
      <c r="D877" s="36"/>
    </row>
    <row r="878" ht="14.25" customHeight="1">
      <c r="D878" s="36"/>
    </row>
    <row r="879" ht="14.25" customHeight="1">
      <c r="D879" s="36"/>
    </row>
    <row r="880" ht="14.25" customHeight="1">
      <c r="D880" s="36"/>
    </row>
    <row r="881" ht="14.25" customHeight="1">
      <c r="D881" s="36"/>
    </row>
    <row r="882" ht="14.25" customHeight="1">
      <c r="D882" s="36"/>
    </row>
    <row r="883" ht="14.25" customHeight="1">
      <c r="D883" s="36"/>
    </row>
    <row r="884" ht="14.25" customHeight="1">
      <c r="D884" s="36"/>
    </row>
    <row r="885" ht="14.25" customHeight="1">
      <c r="D885" s="36"/>
    </row>
    <row r="886" ht="14.25" customHeight="1">
      <c r="D886" s="36"/>
    </row>
    <row r="887" ht="14.25" customHeight="1">
      <c r="D887" s="36"/>
    </row>
    <row r="888" ht="14.25" customHeight="1">
      <c r="D888" s="36"/>
    </row>
    <row r="889" ht="14.25" customHeight="1">
      <c r="D889" s="36"/>
    </row>
    <row r="890" ht="14.25" customHeight="1">
      <c r="D890" s="36"/>
    </row>
    <row r="891" ht="14.25" customHeight="1">
      <c r="D891" s="36"/>
    </row>
    <row r="892" ht="14.25" customHeight="1">
      <c r="D892" s="36"/>
    </row>
    <row r="893" ht="14.25" customHeight="1">
      <c r="D893" s="36"/>
    </row>
    <row r="894" ht="14.25" customHeight="1">
      <c r="D894" s="36"/>
    </row>
    <row r="895" ht="14.25" customHeight="1">
      <c r="D895" s="36"/>
    </row>
    <row r="896" ht="14.25" customHeight="1">
      <c r="D896" s="36"/>
    </row>
    <row r="897" ht="14.25" customHeight="1">
      <c r="D897" s="36"/>
    </row>
    <row r="898" ht="14.25" customHeight="1">
      <c r="D898" s="36"/>
    </row>
    <row r="899" ht="14.25" customHeight="1">
      <c r="D899" s="36"/>
    </row>
    <row r="900" ht="14.25" customHeight="1">
      <c r="D900" s="36"/>
    </row>
    <row r="901" ht="14.25" customHeight="1">
      <c r="D901" s="36"/>
    </row>
    <row r="902" ht="14.25" customHeight="1">
      <c r="D902" s="36"/>
    </row>
    <row r="903" ht="14.25" customHeight="1">
      <c r="D903" s="36"/>
    </row>
    <row r="904" ht="14.25" customHeight="1">
      <c r="D904" s="36"/>
    </row>
    <row r="905" ht="14.25" customHeight="1">
      <c r="D905" s="36"/>
    </row>
    <row r="906" ht="14.25" customHeight="1">
      <c r="D906" s="36"/>
    </row>
    <row r="907" ht="14.25" customHeight="1">
      <c r="D907" s="36"/>
    </row>
    <row r="908" ht="14.25" customHeight="1">
      <c r="D908" s="36"/>
    </row>
    <row r="909" ht="14.25" customHeight="1">
      <c r="D909" s="36"/>
    </row>
    <row r="910" ht="14.25" customHeight="1">
      <c r="D910" s="36"/>
    </row>
    <row r="911" ht="14.25" customHeight="1">
      <c r="D911" s="36"/>
    </row>
    <row r="912" ht="14.25" customHeight="1">
      <c r="D912" s="36"/>
    </row>
    <row r="913" ht="14.25" customHeight="1">
      <c r="D913" s="36"/>
    </row>
    <row r="914" ht="14.25" customHeight="1">
      <c r="D914" s="36"/>
    </row>
    <row r="915" ht="14.25" customHeight="1">
      <c r="D915" s="36"/>
    </row>
    <row r="916" ht="14.25" customHeight="1">
      <c r="D916" s="36"/>
    </row>
    <row r="917" ht="14.25" customHeight="1">
      <c r="D917" s="36"/>
    </row>
    <row r="918" ht="14.25" customHeight="1">
      <c r="D918" s="36"/>
    </row>
    <row r="919" ht="14.25" customHeight="1">
      <c r="D919" s="36"/>
    </row>
    <row r="920" ht="14.25" customHeight="1">
      <c r="D920" s="36"/>
    </row>
    <row r="921" ht="14.25" customHeight="1">
      <c r="D921" s="36"/>
    </row>
    <row r="922" ht="14.25" customHeight="1">
      <c r="D922" s="36"/>
    </row>
    <row r="923" ht="14.25" customHeight="1">
      <c r="D923" s="36"/>
    </row>
    <row r="924" ht="14.25" customHeight="1">
      <c r="D924" s="36"/>
    </row>
    <row r="925" ht="14.25" customHeight="1">
      <c r="D925" s="36"/>
    </row>
    <row r="926" ht="14.25" customHeight="1">
      <c r="D926" s="36"/>
    </row>
    <row r="927" ht="14.25" customHeight="1">
      <c r="D927" s="36"/>
    </row>
    <row r="928" ht="14.25" customHeight="1">
      <c r="D928" s="36"/>
    </row>
    <row r="929" ht="14.25" customHeight="1">
      <c r="D929" s="36"/>
    </row>
    <row r="930" ht="14.25" customHeight="1">
      <c r="D930" s="36"/>
    </row>
    <row r="931" ht="14.25" customHeight="1">
      <c r="D931" s="36"/>
    </row>
    <row r="932" ht="14.25" customHeight="1">
      <c r="D932" s="36"/>
    </row>
    <row r="933" ht="14.25" customHeight="1">
      <c r="D933" s="36"/>
    </row>
    <row r="934" ht="14.25" customHeight="1">
      <c r="D934" s="36"/>
    </row>
    <row r="935" ht="14.25" customHeight="1">
      <c r="D935" s="36"/>
    </row>
    <row r="936" ht="14.25" customHeight="1">
      <c r="D936" s="36"/>
    </row>
    <row r="937" ht="14.25" customHeight="1">
      <c r="D937" s="36"/>
    </row>
    <row r="938" ht="14.25" customHeight="1">
      <c r="D938" s="36"/>
    </row>
    <row r="939" ht="14.25" customHeight="1">
      <c r="D939" s="36"/>
    </row>
    <row r="940" ht="14.25" customHeight="1">
      <c r="D940" s="36"/>
    </row>
    <row r="941" ht="14.25" customHeight="1">
      <c r="D941" s="36"/>
    </row>
    <row r="942" ht="14.25" customHeight="1">
      <c r="D942" s="36"/>
    </row>
    <row r="943" ht="14.25" customHeight="1">
      <c r="D943" s="36"/>
    </row>
    <row r="944" ht="14.25" customHeight="1">
      <c r="D944" s="36"/>
    </row>
    <row r="945" ht="14.25" customHeight="1">
      <c r="D945" s="36"/>
    </row>
    <row r="946" ht="14.25" customHeight="1">
      <c r="D946" s="36"/>
    </row>
    <row r="947" ht="14.25" customHeight="1">
      <c r="D947" s="36"/>
    </row>
    <row r="948" ht="14.25" customHeight="1">
      <c r="D948" s="36"/>
    </row>
    <row r="949" ht="14.25" customHeight="1">
      <c r="D949" s="36"/>
    </row>
    <row r="950" ht="14.25" customHeight="1">
      <c r="D950" s="36"/>
    </row>
    <row r="951" ht="14.25" customHeight="1">
      <c r="D951" s="36"/>
    </row>
    <row r="952" ht="14.25" customHeight="1">
      <c r="D952" s="36"/>
    </row>
    <row r="953" ht="14.25" customHeight="1">
      <c r="D953" s="36"/>
    </row>
    <row r="954" ht="14.25" customHeight="1">
      <c r="D954" s="36"/>
    </row>
    <row r="955" ht="14.25" customHeight="1">
      <c r="D955" s="36"/>
    </row>
    <row r="956" ht="14.25" customHeight="1">
      <c r="D956" s="36"/>
    </row>
    <row r="957" ht="14.25" customHeight="1">
      <c r="D957" s="36"/>
    </row>
    <row r="958" ht="14.25" customHeight="1">
      <c r="D958" s="36"/>
    </row>
    <row r="959" ht="14.25" customHeight="1">
      <c r="D959" s="36"/>
    </row>
    <row r="960" ht="14.25" customHeight="1">
      <c r="D960" s="36"/>
    </row>
    <row r="961" ht="14.25" customHeight="1">
      <c r="D961" s="36"/>
    </row>
    <row r="962" ht="14.25" customHeight="1">
      <c r="D962" s="36"/>
    </row>
    <row r="963" ht="14.25" customHeight="1">
      <c r="D963" s="36"/>
    </row>
    <row r="964" ht="14.25" customHeight="1">
      <c r="D964" s="36"/>
    </row>
    <row r="965" ht="14.25" customHeight="1">
      <c r="D965" s="36"/>
    </row>
    <row r="966" ht="14.25" customHeight="1">
      <c r="D966" s="36"/>
    </row>
    <row r="967" ht="14.25" customHeight="1">
      <c r="D967" s="36"/>
    </row>
    <row r="968" ht="14.25" customHeight="1">
      <c r="D968" s="36"/>
    </row>
    <row r="969" ht="14.25" customHeight="1">
      <c r="D969" s="36"/>
    </row>
    <row r="970" ht="14.25" customHeight="1">
      <c r="D970" s="36"/>
    </row>
    <row r="971" ht="14.25" customHeight="1">
      <c r="D971" s="36"/>
    </row>
    <row r="972" ht="14.25" customHeight="1">
      <c r="D972" s="36"/>
    </row>
    <row r="973" ht="14.25" customHeight="1">
      <c r="D973" s="36"/>
    </row>
    <row r="974" ht="14.25" customHeight="1">
      <c r="D974" s="36"/>
    </row>
    <row r="975" ht="14.25" customHeight="1">
      <c r="D975" s="36"/>
    </row>
    <row r="976" ht="14.25" customHeight="1">
      <c r="D976" s="36"/>
    </row>
    <row r="977" ht="14.25" customHeight="1">
      <c r="D977" s="36"/>
    </row>
    <row r="978" ht="14.25" customHeight="1">
      <c r="D978" s="36"/>
    </row>
    <row r="979" ht="14.25" customHeight="1">
      <c r="D979" s="36"/>
    </row>
    <row r="980" ht="14.25" customHeight="1">
      <c r="D980" s="36"/>
    </row>
    <row r="981" ht="14.25" customHeight="1">
      <c r="D981" s="36"/>
    </row>
    <row r="982" ht="14.25" customHeight="1">
      <c r="D982" s="36"/>
    </row>
    <row r="983" ht="14.25" customHeight="1">
      <c r="D983" s="36"/>
    </row>
    <row r="984" ht="14.25" customHeight="1">
      <c r="D984" s="36"/>
    </row>
    <row r="985" ht="14.25" customHeight="1">
      <c r="D985" s="36"/>
    </row>
    <row r="986" ht="14.25" customHeight="1">
      <c r="D986" s="36"/>
    </row>
    <row r="987" ht="14.25" customHeight="1">
      <c r="D987" s="36"/>
    </row>
    <row r="988" ht="14.25" customHeight="1">
      <c r="D988" s="36"/>
    </row>
    <row r="989" ht="14.25" customHeight="1">
      <c r="D989" s="36"/>
    </row>
    <row r="990" ht="14.25" customHeight="1">
      <c r="D990" s="36"/>
    </row>
    <row r="991" ht="14.25" customHeight="1">
      <c r="D991" s="36"/>
    </row>
    <row r="992" ht="14.25" customHeight="1">
      <c r="D992" s="36"/>
    </row>
    <row r="993" ht="14.25" customHeight="1">
      <c r="D993" s="36"/>
    </row>
    <row r="994" ht="14.25" customHeight="1">
      <c r="D994" s="36"/>
    </row>
    <row r="995" ht="14.25" customHeight="1">
      <c r="D995" s="36"/>
    </row>
    <row r="996" ht="14.25" customHeight="1">
      <c r="D996" s="36"/>
    </row>
    <row r="997" ht="14.25" customHeight="1">
      <c r="D997" s="36"/>
    </row>
    <row r="998" ht="14.25" customHeight="1">
      <c r="D998" s="36"/>
    </row>
    <row r="999" ht="14.25" customHeight="1">
      <c r="D999" s="36"/>
    </row>
    <row r="1000" ht="14.25" customHeight="1">
      <c r="D1000" s="3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7.29"/>
    <col customWidth="1" min="3" max="3" width="15.14"/>
    <col customWidth="1" min="4" max="4" width="18.57"/>
    <col customWidth="1" min="5" max="5" width="19.71"/>
    <col customWidth="1" min="6" max="6" width="15.29"/>
    <col customWidth="1" min="7" max="10" width="18.29"/>
    <col customWidth="1" min="11" max="11" width="21.57"/>
    <col customWidth="1" min="12" max="26" width="8.71"/>
  </cols>
  <sheetData>
    <row r="1" ht="14.25" customHeight="1">
      <c r="A1" s="32" t="s">
        <v>253</v>
      </c>
      <c r="B1" s="32" t="s">
        <v>268</v>
      </c>
      <c r="C1" s="32" t="s">
        <v>232</v>
      </c>
      <c r="D1" s="37" t="s">
        <v>272</v>
      </c>
      <c r="E1" s="32" t="s">
        <v>273</v>
      </c>
      <c r="F1" s="37" t="s">
        <v>275</v>
      </c>
      <c r="G1" s="37" t="s">
        <v>276</v>
      </c>
      <c r="H1" s="37" t="s">
        <v>233</v>
      </c>
      <c r="I1" s="37" t="s">
        <v>234</v>
      </c>
      <c r="J1" s="37" t="s">
        <v>235</v>
      </c>
      <c r="K1" s="37" t="s">
        <v>277</v>
      </c>
    </row>
    <row r="2" ht="14.25" customHeight="1">
      <c r="A2" s="33" t="s">
        <v>256</v>
      </c>
      <c r="B2" s="33" t="s">
        <v>11</v>
      </c>
      <c r="C2" s="33" t="s">
        <v>236</v>
      </c>
      <c r="D2" s="35">
        <v>4048.09</v>
      </c>
      <c r="E2" s="33">
        <v>10.0</v>
      </c>
      <c r="F2" s="35">
        <f t="array" ref="F2">IF(C2 ="FOB_JP", XLOOKUP(A2,CONTAINER_COST_MONTH!$A$2:$A$13,CONTAINER_COST_MONTH!$B$2:$B$13), 285)</f>
        <v>3172</v>
      </c>
      <c r="G2" s="35">
        <f t="shared" ref="G2:G721" si="1">F2/E2</f>
        <v>317.2</v>
      </c>
      <c r="H2" s="38">
        <f t="array" ref="H2">XLOOKUP(COST_BUY_MONTHLY!$C2,TAX!$A$2:$A$3,TAX!$B$2:$B$3)</f>
        <v>0.002</v>
      </c>
      <c r="I2" s="39">
        <f t="array" ref="I2">XLOOKUP(COST_BUY_MONTHLY!$C2,TAX!$A$2:$A$3,TAX!$C$2:$C$3)</f>
        <v>0.2</v>
      </c>
      <c r="J2" s="39">
        <f t="array" ref="J2">XLOOKUP(COST_BUY_MONTHLY!$C2,TAX!$A$2:$A$3,TAX!$D$2:$D$3)</f>
        <v>0.1</v>
      </c>
      <c r="K2" s="35">
        <f t="shared" ref="K2:K721" si="2">(D2+G2)*(1+H2)*(1+I2)*(1+J2)</f>
        <v>5773.707166</v>
      </c>
    </row>
    <row r="3" ht="14.25" customHeight="1">
      <c r="A3" s="33" t="s">
        <v>256</v>
      </c>
      <c r="B3" s="33" t="s">
        <v>18</v>
      </c>
      <c r="C3" s="33" t="s">
        <v>237</v>
      </c>
      <c r="D3" s="35">
        <v>2173.3</v>
      </c>
      <c r="E3" s="33">
        <v>40.0</v>
      </c>
      <c r="F3" s="35">
        <f t="array" ref="F3">IF(C3 ="FOB_JP", XLOOKUP(A3,CONTAINER_COST_MONTH!$A$2:$A$13,CONTAINER_COST_MONTH!$B$2:$B$13), 285)</f>
        <v>285</v>
      </c>
      <c r="G3" s="35">
        <f t="shared" si="1"/>
        <v>7.125</v>
      </c>
      <c r="H3" s="38">
        <f t="array" ref="H3">XLOOKUP(COST_BUY_MONTHLY!$C3,TAX!$A$2:$A$3,TAX!$B$2:$B$3)</f>
        <v>0</v>
      </c>
      <c r="I3" s="39">
        <f t="array" ref="I3">XLOOKUP(COST_BUY_MONTHLY!$C3,TAX!$A$2:$A$3,TAX!$C$2:$C$3)</f>
        <v>0</v>
      </c>
      <c r="J3" s="39">
        <f t="array" ref="J3">XLOOKUP(COST_BUY_MONTHLY!$C3,TAX!$A$2:$A$3,TAX!$D$2:$D$3)</f>
        <v>0.1</v>
      </c>
      <c r="K3" s="35">
        <f t="shared" si="2"/>
        <v>2398.4675</v>
      </c>
    </row>
    <row r="4" ht="14.25" customHeight="1">
      <c r="A4" s="33" t="s">
        <v>256</v>
      </c>
      <c r="B4" s="33" t="s">
        <v>22</v>
      </c>
      <c r="C4" s="33" t="s">
        <v>236</v>
      </c>
      <c r="D4" s="35">
        <v>4048.09</v>
      </c>
      <c r="E4" s="33">
        <v>20.0</v>
      </c>
      <c r="F4" s="35">
        <f t="array" ref="F4">IF(C4 ="FOB_JP", XLOOKUP(A4,CONTAINER_COST_MONTH!$A$2:$A$13,CONTAINER_COST_MONTH!$B$2:$B$13), 285)</f>
        <v>3172</v>
      </c>
      <c r="G4" s="35">
        <f t="shared" si="1"/>
        <v>158.6</v>
      </c>
      <c r="H4" s="38">
        <f t="array" ref="H4">XLOOKUP(COST_BUY_MONTHLY!$C4,TAX!$A$2:$A$3,TAX!$B$2:$B$3)</f>
        <v>0.002</v>
      </c>
      <c r="I4" s="39">
        <f t="array" ref="I4">XLOOKUP(COST_BUY_MONTHLY!$C4,TAX!$A$2:$A$3,TAX!$C$2:$C$3)</f>
        <v>0.2</v>
      </c>
      <c r="J4" s="39">
        <f t="array" ref="J4">XLOOKUP(COST_BUY_MONTHLY!$C4,TAX!$A$2:$A$3,TAX!$D$2:$D$3)</f>
        <v>0.1</v>
      </c>
      <c r="K4" s="35">
        <f t="shared" si="2"/>
        <v>5563.936462</v>
      </c>
    </row>
    <row r="5" ht="14.25" customHeight="1">
      <c r="A5" s="33" t="s">
        <v>256</v>
      </c>
      <c r="B5" s="33" t="s">
        <v>24</v>
      </c>
      <c r="C5" s="33" t="s">
        <v>236</v>
      </c>
      <c r="D5" s="35">
        <v>4048.09</v>
      </c>
      <c r="E5" s="33">
        <v>15.0</v>
      </c>
      <c r="F5" s="35">
        <f t="array" ref="F5">IF(C5 ="FOB_JP", XLOOKUP(A5,CONTAINER_COST_MONTH!$A$2:$A$13,CONTAINER_COST_MONTH!$B$2:$B$13), 285)</f>
        <v>3172</v>
      </c>
      <c r="G5" s="35">
        <f t="shared" si="1"/>
        <v>211.4666667</v>
      </c>
      <c r="H5" s="38">
        <f t="array" ref="H5">XLOOKUP(COST_BUY_MONTHLY!$C5,TAX!$A$2:$A$3,TAX!$B$2:$B$3)</f>
        <v>0.002</v>
      </c>
      <c r="I5" s="39">
        <f t="array" ref="I5">XLOOKUP(COST_BUY_MONTHLY!$C5,TAX!$A$2:$A$3,TAX!$C$2:$C$3)</f>
        <v>0.2</v>
      </c>
      <c r="J5" s="39">
        <f t="array" ref="J5">XLOOKUP(COST_BUY_MONTHLY!$C5,TAX!$A$2:$A$3,TAX!$D$2:$D$3)</f>
        <v>0.1</v>
      </c>
      <c r="K5" s="35">
        <f t="shared" si="2"/>
        <v>5633.86003</v>
      </c>
    </row>
    <row r="6" ht="14.25" customHeight="1">
      <c r="A6" s="33" t="s">
        <v>256</v>
      </c>
      <c r="B6" s="33" t="s">
        <v>26</v>
      </c>
      <c r="C6" s="33" t="s">
        <v>237</v>
      </c>
      <c r="D6" s="35">
        <v>2173.3</v>
      </c>
      <c r="E6" s="33">
        <v>120.0</v>
      </c>
      <c r="F6" s="35">
        <f t="array" ref="F6">IF(C6 ="FOB_JP", XLOOKUP(A6,CONTAINER_COST_MONTH!$A$2:$A$13,CONTAINER_COST_MONTH!$B$2:$B$13), 285)</f>
        <v>285</v>
      </c>
      <c r="G6" s="35">
        <f t="shared" si="1"/>
        <v>2.375</v>
      </c>
      <c r="H6" s="38">
        <f t="array" ref="H6">XLOOKUP(COST_BUY_MONTHLY!$C6,TAX!$A$2:$A$3,TAX!$B$2:$B$3)</f>
        <v>0</v>
      </c>
      <c r="I6" s="39">
        <f t="array" ref="I6">XLOOKUP(COST_BUY_MONTHLY!$C6,TAX!$A$2:$A$3,TAX!$C$2:$C$3)</f>
        <v>0</v>
      </c>
      <c r="J6" s="39">
        <f t="array" ref="J6">XLOOKUP(COST_BUY_MONTHLY!$C6,TAX!$A$2:$A$3,TAX!$D$2:$D$3)</f>
        <v>0.1</v>
      </c>
      <c r="K6" s="35">
        <f t="shared" si="2"/>
        <v>2393.2425</v>
      </c>
    </row>
    <row r="7" ht="14.25" customHeight="1">
      <c r="A7" s="33" t="s">
        <v>256</v>
      </c>
      <c r="B7" s="33" t="s">
        <v>30</v>
      </c>
      <c r="C7" s="33" t="s">
        <v>236</v>
      </c>
      <c r="D7" s="35">
        <v>11025.48</v>
      </c>
      <c r="E7" s="33">
        <v>7.0</v>
      </c>
      <c r="F7" s="35">
        <f t="array" ref="F7">IF(C7 ="FOB_JP", XLOOKUP(A7,CONTAINER_COST_MONTH!$A$2:$A$13,CONTAINER_COST_MONTH!$B$2:$B$13), 285)</f>
        <v>3172</v>
      </c>
      <c r="G7" s="35">
        <f t="shared" si="1"/>
        <v>453.1428571</v>
      </c>
      <c r="H7" s="38">
        <f t="array" ref="H7">XLOOKUP(COST_BUY_MONTHLY!$C7,TAX!$A$2:$A$3,TAX!$B$2:$B$3)</f>
        <v>0.002</v>
      </c>
      <c r="I7" s="39">
        <f t="array" ref="I7">XLOOKUP(COST_BUY_MONTHLY!$C7,TAX!$A$2:$A$3,TAX!$C$2:$C$3)</f>
        <v>0.2</v>
      </c>
      <c r="J7" s="39">
        <f t="array" ref="J7">XLOOKUP(COST_BUY_MONTHLY!$C7,TAX!$A$2:$A$3,TAX!$D$2:$D$3)</f>
        <v>0.1</v>
      </c>
      <c r="K7" s="35">
        <f t="shared" si="2"/>
        <v>15182.08574</v>
      </c>
    </row>
    <row r="8" ht="14.25" customHeight="1">
      <c r="A8" s="33" t="s">
        <v>256</v>
      </c>
      <c r="B8" s="33" t="s">
        <v>33</v>
      </c>
      <c r="C8" s="33" t="s">
        <v>237</v>
      </c>
      <c r="D8" s="35">
        <v>6364.62</v>
      </c>
      <c r="E8" s="33">
        <v>28.0</v>
      </c>
      <c r="F8" s="35">
        <f t="array" ref="F8">IF(C8 ="FOB_JP", XLOOKUP(A8,CONTAINER_COST_MONTH!$A$2:$A$13,CONTAINER_COST_MONTH!$B$2:$B$13), 285)</f>
        <v>285</v>
      </c>
      <c r="G8" s="35">
        <f t="shared" si="1"/>
        <v>10.17857143</v>
      </c>
      <c r="H8" s="38">
        <f t="array" ref="H8">XLOOKUP(COST_BUY_MONTHLY!$C8,TAX!$A$2:$A$3,TAX!$B$2:$B$3)</f>
        <v>0</v>
      </c>
      <c r="I8" s="39">
        <f t="array" ref="I8">XLOOKUP(COST_BUY_MONTHLY!$C8,TAX!$A$2:$A$3,TAX!$C$2:$C$3)</f>
        <v>0</v>
      </c>
      <c r="J8" s="39">
        <f t="array" ref="J8">XLOOKUP(COST_BUY_MONTHLY!$C8,TAX!$A$2:$A$3,TAX!$D$2:$D$3)</f>
        <v>0.1</v>
      </c>
      <c r="K8" s="35">
        <f t="shared" si="2"/>
        <v>7012.278429</v>
      </c>
    </row>
    <row r="9" ht="14.25" customHeight="1">
      <c r="A9" s="33" t="s">
        <v>256</v>
      </c>
      <c r="B9" s="33" t="s">
        <v>35</v>
      </c>
      <c r="C9" s="33" t="s">
        <v>236</v>
      </c>
      <c r="D9" s="35">
        <v>11025.48</v>
      </c>
      <c r="E9" s="33">
        <v>14.0</v>
      </c>
      <c r="F9" s="35">
        <f t="array" ref="F9">IF(C9 ="FOB_JP", XLOOKUP(A9,CONTAINER_COST_MONTH!$A$2:$A$13,CONTAINER_COST_MONTH!$B$2:$B$13), 285)</f>
        <v>3172</v>
      </c>
      <c r="G9" s="35">
        <f t="shared" si="1"/>
        <v>226.5714286</v>
      </c>
      <c r="H9" s="38">
        <f t="array" ref="H9">XLOOKUP(COST_BUY_MONTHLY!$C9,TAX!$A$2:$A$3,TAX!$B$2:$B$3)</f>
        <v>0.002</v>
      </c>
      <c r="I9" s="39">
        <f t="array" ref="I9">XLOOKUP(COST_BUY_MONTHLY!$C9,TAX!$A$2:$A$3,TAX!$C$2:$C$3)</f>
        <v>0.2</v>
      </c>
      <c r="J9" s="39">
        <f t="array" ref="J9">XLOOKUP(COST_BUY_MONTHLY!$C9,TAX!$A$2:$A$3,TAX!$D$2:$D$3)</f>
        <v>0.1</v>
      </c>
      <c r="K9" s="35">
        <f t="shared" si="2"/>
        <v>14882.4133</v>
      </c>
    </row>
    <row r="10" ht="14.25" customHeight="1">
      <c r="A10" s="33" t="s">
        <v>256</v>
      </c>
      <c r="B10" s="33" t="s">
        <v>37</v>
      </c>
      <c r="C10" s="33" t="s">
        <v>236</v>
      </c>
      <c r="D10" s="35">
        <v>11025.48</v>
      </c>
      <c r="E10" s="33">
        <v>10.0</v>
      </c>
      <c r="F10" s="35">
        <f t="array" ref="F10">IF(C10 ="FOB_JP", XLOOKUP(A10,CONTAINER_COST_MONTH!$A$2:$A$13,CONTAINER_COST_MONTH!$B$2:$B$13), 285)</f>
        <v>3172</v>
      </c>
      <c r="G10" s="35">
        <f t="shared" si="1"/>
        <v>317.2</v>
      </c>
      <c r="H10" s="38">
        <f t="array" ref="H10">XLOOKUP(COST_BUY_MONTHLY!$C10,TAX!$A$2:$A$3,TAX!$B$2:$B$3)</f>
        <v>0.002</v>
      </c>
      <c r="I10" s="39">
        <f t="array" ref="I10">XLOOKUP(COST_BUY_MONTHLY!$C10,TAX!$A$2:$A$3,TAX!$C$2:$C$3)</f>
        <v>0.2</v>
      </c>
      <c r="J10" s="39">
        <f t="array" ref="J10">XLOOKUP(COST_BUY_MONTHLY!$C10,TAX!$A$2:$A$3,TAX!$D$2:$D$3)</f>
        <v>0.1</v>
      </c>
      <c r="K10" s="35">
        <f t="shared" si="2"/>
        <v>15002.28228</v>
      </c>
    </row>
    <row r="11" ht="14.25" customHeight="1">
      <c r="A11" s="33" t="s">
        <v>256</v>
      </c>
      <c r="B11" s="33" t="s">
        <v>39</v>
      </c>
      <c r="C11" s="33" t="s">
        <v>237</v>
      </c>
      <c r="D11" s="35">
        <v>6364.62</v>
      </c>
      <c r="E11" s="33">
        <v>84.0</v>
      </c>
      <c r="F11" s="35">
        <f t="array" ref="F11">IF(C11 ="FOB_JP", XLOOKUP(A11,CONTAINER_COST_MONTH!$A$2:$A$13,CONTAINER_COST_MONTH!$B$2:$B$13), 285)</f>
        <v>285</v>
      </c>
      <c r="G11" s="35">
        <f t="shared" si="1"/>
        <v>3.392857143</v>
      </c>
      <c r="H11" s="38">
        <f t="array" ref="H11">XLOOKUP(COST_BUY_MONTHLY!$C11,TAX!$A$2:$A$3,TAX!$B$2:$B$3)</f>
        <v>0</v>
      </c>
      <c r="I11" s="39">
        <f t="array" ref="I11">XLOOKUP(COST_BUY_MONTHLY!$C11,TAX!$A$2:$A$3,TAX!$C$2:$C$3)</f>
        <v>0</v>
      </c>
      <c r="J11" s="39">
        <f t="array" ref="J11">XLOOKUP(COST_BUY_MONTHLY!$C11,TAX!$A$2:$A$3,TAX!$D$2:$D$3)</f>
        <v>0.1</v>
      </c>
      <c r="K11" s="35">
        <f t="shared" si="2"/>
        <v>7004.814143</v>
      </c>
    </row>
    <row r="12" ht="14.25" customHeight="1">
      <c r="A12" s="33" t="s">
        <v>256</v>
      </c>
      <c r="B12" s="33" t="s">
        <v>42</v>
      </c>
      <c r="C12" s="33" t="s">
        <v>236</v>
      </c>
      <c r="D12" s="35">
        <v>5577.37</v>
      </c>
      <c r="E12" s="33">
        <v>10.0</v>
      </c>
      <c r="F12" s="35">
        <f t="array" ref="F12">IF(C12 ="FOB_JP", XLOOKUP(A12,CONTAINER_COST_MONTH!$A$2:$A$13,CONTAINER_COST_MONTH!$B$2:$B$13), 285)</f>
        <v>3172</v>
      </c>
      <c r="G12" s="35">
        <f t="shared" si="1"/>
        <v>317.2</v>
      </c>
      <c r="H12" s="38">
        <f t="array" ref="H12">XLOOKUP(COST_BUY_MONTHLY!$C12,TAX!$A$2:$A$3,TAX!$B$2:$B$3)</f>
        <v>0.002</v>
      </c>
      <c r="I12" s="39">
        <f t="array" ref="I12">XLOOKUP(COST_BUY_MONTHLY!$C12,TAX!$A$2:$A$3,TAX!$C$2:$C$3)</f>
        <v>0.2</v>
      </c>
      <c r="J12" s="39">
        <f t="array" ref="J12">XLOOKUP(COST_BUY_MONTHLY!$C12,TAX!$A$2:$A$3,TAX!$D$2:$D$3)</f>
        <v>0.1</v>
      </c>
      <c r="K12" s="35">
        <f t="shared" si="2"/>
        <v>7796.394065</v>
      </c>
    </row>
    <row r="13" ht="14.25" customHeight="1">
      <c r="A13" s="33" t="s">
        <v>256</v>
      </c>
      <c r="B13" s="33" t="s">
        <v>45</v>
      </c>
      <c r="C13" s="33" t="s">
        <v>237</v>
      </c>
      <c r="D13" s="35">
        <v>2994.32</v>
      </c>
      <c r="E13" s="33">
        <v>40.0</v>
      </c>
      <c r="F13" s="35">
        <f t="array" ref="F13">IF(C13 ="FOB_JP", XLOOKUP(A13,CONTAINER_COST_MONTH!$A$2:$A$13,CONTAINER_COST_MONTH!$B$2:$B$13), 285)</f>
        <v>285</v>
      </c>
      <c r="G13" s="35">
        <f t="shared" si="1"/>
        <v>7.125</v>
      </c>
      <c r="H13" s="38">
        <f t="array" ref="H13">XLOOKUP(COST_BUY_MONTHLY!$C13,TAX!$A$2:$A$3,TAX!$B$2:$B$3)</f>
        <v>0</v>
      </c>
      <c r="I13" s="39">
        <f t="array" ref="I13">XLOOKUP(COST_BUY_MONTHLY!$C13,TAX!$A$2:$A$3,TAX!$C$2:$C$3)</f>
        <v>0</v>
      </c>
      <c r="J13" s="39">
        <f t="array" ref="J13">XLOOKUP(COST_BUY_MONTHLY!$C13,TAX!$A$2:$A$3,TAX!$D$2:$D$3)</f>
        <v>0.1</v>
      </c>
      <c r="K13" s="35">
        <f t="shared" si="2"/>
        <v>3301.5895</v>
      </c>
    </row>
    <row r="14" ht="14.25" customHeight="1">
      <c r="A14" s="33" t="s">
        <v>256</v>
      </c>
      <c r="B14" s="33" t="s">
        <v>47</v>
      </c>
      <c r="C14" s="33" t="s">
        <v>236</v>
      </c>
      <c r="D14" s="35">
        <v>5577.37</v>
      </c>
      <c r="E14" s="33">
        <v>20.0</v>
      </c>
      <c r="F14" s="35">
        <f t="array" ref="F14">IF(C14 ="FOB_JP", XLOOKUP(A14,CONTAINER_COST_MONTH!$A$2:$A$13,CONTAINER_COST_MONTH!$B$2:$B$13), 285)</f>
        <v>3172</v>
      </c>
      <c r="G14" s="35">
        <f t="shared" si="1"/>
        <v>158.6</v>
      </c>
      <c r="H14" s="38">
        <f t="array" ref="H14">XLOOKUP(COST_BUY_MONTHLY!$C14,TAX!$A$2:$A$3,TAX!$B$2:$B$3)</f>
        <v>0.002</v>
      </c>
      <c r="I14" s="39">
        <f t="array" ref="I14">XLOOKUP(COST_BUY_MONTHLY!$C14,TAX!$A$2:$A$3,TAX!$C$2:$C$3)</f>
        <v>0.2</v>
      </c>
      <c r="J14" s="39">
        <f t="array" ref="J14">XLOOKUP(COST_BUY_MONTHLY!$C14,TAX!$A$2:$A$3,TAX!$D$2:$D$3)</f>
        <v>0.1</v>
      </c>
      <c r="K14" s="35">
        <f t="shared" si="2"/>
        <v>7586.623361</v>
      </c>
    </row>
    <row r="15" ht="14.25" customHeight="1">
      <c r="A15" s="33" t="s">
        <v>256</v>
      </c>
      <c r="B15" s="33" t="s">
        <v>49</v>
      </c>
      <c r="C15" s="33" t="s">
        <v>236</v>
      </c>
      <c r="D15" s="35">
        <v>5577.37</v>
      </c>
      <c r="E15" s="33">
        <v>15.0</v>
      </c>
      <c r="F15" s="35">
        <f t="array" ref="F15">IF(C15 ="FOB_JP", XLOOKUP(A15,CONTAINER_COST_MONTH!$A$2:$A$13,CONTAINER_COST_MONTH!$B$2:$B$13), 285)</f>
        <v>3172</v>
      </c>
      <c r="G15" s="35">
        <f t="shared" si="1"/>
        <v>211.4666667</v>
      </c>
      <c r="H15" s="38">
        <f t="array" ref="H15">XLOOKUP(COST_BUY_MONTHLY!$C15,TAX!$A$2:$A$3,TAX!$B$2:$B$3)</f>
        <v>0.002</v>
      </c>
      <c r="I15" s="39">
        <f t="array" ref="I15">XLOOKUP(COST_BUY_MONTHLY!$C15,TAX!$A$2:$A$3,TAX!$C$2:$C$3)</f>
        <v>0.2</v>
      </c>
      <c r="J15" s="39">
        <f t="array" ref="J15">XLOOKUP(COST_BUY_MONTHLY!$C15,TAX!$A$2:$A$3,TAX!$D$2:$D$3)</f>
        <v>0.1</v>
      </c>
      <c r="K15" s="35">
        <f t="shared" si="2"/>
        <v>7656.546929</v>
      </c>
    </row>
    <row r="16" ht="14.25" customHeight="1">
      <c r="A16" s="33" t="s">
        <v>256</v>
      </c>
      <c r="B16" s="33" t="s">
        <v>51</v>
      </c>
      <c r="C16" s="33" t="s">
        <v>237</v>
      </c>
      <c r="D16" s="35">
        <v>2994.32</v>
      </c>
      <c r="E16" s="33">
        <v>120.0</v>
      </c>
      <c r="F16" s="35">
        <f t="array" ref="F16">IF(C16 ="FOB_JP", XLOOKUP(A16,CONTAINER_COST_MONTH!$A$2:$A$13,CONTAINER_COST_MONTH!$B$2:$B$13), 285)</f>
        <v>285</v>
      </c>
      <c r="G16" s="35">
        <f t="shared" si="1"/>
        <v>2.375</v>
      </c>
      <c r="H16" s="38">
        <f t="array" ref="H16">XLOOKUP(COST_BUY_MONTHLY!$C16,TAX!$A$2:$A$3,TAX!$B$2:$B$3)</f>
        <v>0</v>
      </c>
      <c r="I16" s="39">
        <f t="array" ref="I16">XLOOKUP(COST_BUY_MONTHLY!$C16,TAX!$A$2:$A$3,TAX!$C$2:$C$3)</f>
        <v>0</v>
      </c>
      <c r="J16" s="39">
        <f t="array" ref="J16">XLOOKUP(COST_BUY_MONTHLY!$C16,TAX!$A$2:$A$3,TAX!$D$2:$D$3)</f>
        <v>0.1</v>
      </c>
      <c r="K16" s="35">
        <f t="shared" si="2"/>
        <v>3296.3645</v>
      </c>
    </row>
    <row r="17" ht="14.25" customHeight="1">
      <c r="A17" s="33" t="s">
        <v>256</v>
      </c>
      <c r="B17" s="33" t="s">
        <v>54</v>
      </c>
      <c r="C17" s="33" t="s">
        <v>236</v>
      </c>
      <c r="D17" s="35">
        <v>8643.97</v>
      </c>
      <c r="E17" s="33">
        <v>7.0</v>
      </c>
      <c r="F17" s="35">
        <f t="array" ref="F17">IF(C17 ="FOB_JP", XLOOKUP(A17,CONTAINER_COST_MONTH!$A$2:$A$13,CONTAINER_COST_MONTH!$B$2:$B$13), 285)</f>
        <v>3172</v>
      </c>
      <c r="G17" s="35">
        <f t="shared" si="1"/>
        <v>453.1428571</v>
      </c>
      <c r="H17" s="38">
        <f t="array" ref="H17">XLOOKUP(COST_BUY_MONTHLY!$C17,TAX!$A$2:$A$3,TAX!$B$2:$B$3)</f>
        <v>0.002</v>
      </c>
      <c r="I17" s="39">
        <f t="array" ref="I17">XLOOKUP(COST_BUY_MONTHLY!$C17,TAX!$A$2:$A$3,TAX!$C$2:$C$3)</f>
        <v>0.2</v>
      </c>
      <c r="J17" s="39">
        <f t="array" ref="J17">XLOOKUP(COST_BUY_MONTHLY!$C17,TAX!$A$2:$A$3,TAX!$D$2:$D$3)</f>
        <v>0.1</v>
      </c>
      <c r="K17" s="35">
        <f t="shared" si="2"/>
        <v>12032.20535</v>
      </c>
    </row>
    <row r="18" ht="14.25" customHeight="1">
      <c r="A18" s="33" t="s">
        <v>256</v>
      </c>
      <c r="B18" s="33" t="s">
        <v>57</v>
      </c>
      <c r="C18" s="33" t="s">
        <v>237</v>
      </c>
      <c r="D18" s="35">
        <v>4989.86</v>
      </c>
      <c r="E18" s="33">
        <v>28.0</v>
      </c>
      <c r="F18" s="35">
        <f t="array" ref="F18">IF(C18 ="FOB_JP", XLOOKUP(A18,CONTAINER_COST_MONTH!$A$2:$A$13,CONTAINER_COST_MONTH!$B$2:$B$13), 285)</f>
        <v>285</v>
      </c>
      <c r="G18" s="35">
        <f t="shared" si="1"/>
        <v>10.17857143</v>
      </c>
      <c r="H18" s="38">
        <f t="array" ref="H18">XLOOKUP(COST_BUY_MONTHLY!$C18,TAX!$A$2:$A$3,TAX!$B$2:$B$3)</f>
        <v>0</v>
      </c>
      <c r="I18" s="39">
        <f t="array" ref="I18">XLOOKUP(COST_BUY_MONTHLY!$C18,TAX!$A$2:$A$3,TAX!$C$2:$C$3)</f>
        <v>0</v>
      </c>
      <c r="J18" s="39">
        <f t="array" ref="J18">XLOOKUP(COST_BUY_MONTHLY!$C18,TAX!$A$2:$A$3,TAX!$D$2:$D$3)</f>
        <v>0.1</v>
      </c>
      <c r="K18" s="35">
        <f t="shared" si="2"/>
        <v>5500.042429</v>
      </c>
    </row>
    <row r="19" ht="14.25" customHeight="1">
      <c r="A19" s="33" t="s">
        <v>256</v>
      </c>
      <c r="B19" s="33" t="s">
        <v>59</v>
      </c>
      <c r="C19" s="33" t="s">
        <v>236</v>
      </c>
      <c r="D19" s="35">
        <v>8643.97</v>
      </c>
      <c r="E19" s="33">
        <v>14.0</v>
      </c>
      <c r="F19" s="35">
        <f t="array" ref="F19">IF(C19 ="FOB_JP", XLOOKUP(A19,CONTAINER_COST_MONTH!$A$2:$A$13,CONTAINER_COST_MONTH!$B$2:$B$13), 285)</f>
        <v>3172</v>
      </c>
      <c r="G19" s="35">
        <f t="shared" si="1"/>
        <v>226.5714286</v>
      </c>
      <c r="H19" s="38">
        <f t="array" ref="H19">XLOOKUP(COST_BUY_MONTHLY!$C19,TAX!$A$2:$A$3,TAX!$B$2:$B$3)</f>
        <v>0.002</v>
      </c>
      <c r="I19" s="39">
        <f t="array" ref="I19">XLOOKUP(COST_BUY_MONTHLY!$C19,TAX!$A$2:$A$3,TAX!$C$2:$C$3)</f>
        <v>0.2</v>
      </c>
      <c r="J19" s="39">
        <f t="array" ref="J19">XLOOKUP(COST_BUY_MONTHLY!$C19,TAX!$A$2:$A$3,TAX!$D$2:$D$3)</f>
        <v>0.1</v>
      </c>
      <c r="K19" s="35">
        <f t="shared" si="2"/>
        <v>11732.53292</v>
      </c>
    </row>
    <row r="20" ht="14.25" customHeight="1">
      <c r="A20" s="33" t="s">
        <v>256</v>
      </c>
      <c r="B20" s="33" t="s">
        <v>61</v>
      </c>
      <c r="C20" s="33" t="s">
        <v>236</v>
      </c>
      <c r="D20" s="35">
        <v>8643.97</v>
      </c>
      <c r="E20" s="33">
        <v>10.0</v>
      </c>
      <c r="F20" s="35">
        <f t="array" ref="F20">IF(C20 ="FOB_JP", XLOOKUP(A20,CONTAINER_COST_MONTH!$A$2:$A$13,CONTAINER_COST_MONTH!$B$2:$B$13), 285)</f>
        <v>3172</v>
      </c>
      <c r="G20" s="35">
        <f t="shared" si="1"/>
        <v>317.2</v>
      </c>
      <c r="H20" s="38">
        <f t="array" ref="H20">XLOOKUP(COST_BUY_MONTHLY!$C20,TAX!$A$2:$A$3,TAX!$B$2:$B$3)</f>
        <v>0.002</v>
      </c>
      <c r="I20" s="39">
        <f t="array" ref="I20">XLOOKUP(COST_BUY_MONTHLY!$C20,TAX!$A$2:$A$3,TAX!$C$2:$C$3)</f>
        <v>0.2</v>
      </c>
      <c r="J20" s="39">
        <f t="array" ref="J20">XLOOKUP(COST_BUY_MONTHLY!$C20,TAX!$A$2:$A$3,TAX!$D$2:$D$3)</f>
        <v>0.1</v>
      </c>
      <c r="K20" s="35">
        <f t="shared" si="2"/>
        <v>11852.40189</v>
      </c>
    </row>
    <row r="21" ht="14.25" customHeight="1">
      <c r="A21" s="33" t="s">
        <v>256</v>
      </c>
      <c r="B21" s="33" t="s">
        <v>63</v>
      </c>
      <c r="C21" s="33" t="s">
        <v>237</v>
      </c>
      <c r="D21" s="35">
        <v>4989.86</v>
      </c>
      <c r="E21" s="33">
        <v>84.0</v>
      </c>
      <c r="F21" s="35">
        <f t="array" ref="F21">IF(C21 ="FOB_JP", XLOOKUP(A21,CONTAINER_COST_MONTH!$A$2:$A$13,CONTAINER_COST_MONTH!$B$2:$B$13), 285)</f>
        <v>285</v>
      </c>
      <c r="G21" s="35">
        <f t="shared" si="1"/>
        <v>3.392857143</v>
      </c>
      <c r="H21" s="38">
        <f t="array" ref="H21">XLOOKUP(COST_BUY_MONTHLY!$C21,TAX!$A$2:$A$3,TAX!$B$2:$B$3)</f>
        <v>0</v>
      </c>
      <c r="I21" s="39">
        <f t="array" ref="I21">XLOOKUP(COST_BUY_MONTHLY!$C21,TAX!$A$2:$A$3,TAX!$C$2:$C$3)</f>
        <v>0</v>
      </c>
      <c r="J21" s="39">
        <f t="array" ref="J21">XLOOKUP(COST_BUY_MONTHLY!$C21,TAX!$A$2:$A$3,TAX!$D$2:$D$3)</f>
        <v>0.1</v>
      </c>
      <c r="K21" s="35">
        <f t="shared" si="2"/>
        <v>5492.578143</v>
      </c>
    </row>
    <row r="22" ht="14.25" customHeight="1">
      <c r="A22" s="33" t="s">
        <v>256</v>
      </c>
      <c r="B22" s="33" t="s">
        <v>65</v>
      </c>
      <c r="C22" s="33" t="s">
        <v>236</v>
      </c>
      <c r="D22" s="35">
        <v>1056.55</v>
      </c>
      <c r="E22" s="33">
        <v>50.0</v>
      </c>
      <c r="F22" s="35">
        <f t="array" ref="F22">IF(C22 ="FOB_JP", XLOOKUP(A22,CONTAINER_COST_MONTH!$A$2:$A$13,CONTAINER_COST_MONTH!$B$2:$B$13), 285)</f>
        <v>3172</v>
      </c>
      <c r="G22" s="35">
        <f t="shared" si="1"/>
        <v>63.44</v>
      </c>
      <c r="H22" s="38">
        <f t="array" ref="H22">XLOOKUP(COST_BUY_MONTHLY!$C22,TAX!$A$2:$A$3,TAX!$B$2:$B$3)</f>
        <v>0.002</v>
      </c>
      <c r="I22" s="39">
        <f t="array" ref="I22">XLOOKUP(COST_BUY_MONTHLY!$C22,TAX!$A$2:$A$3,TAX!$C$2:$C$3)</f>
        <v>0.2</v>
      </c>
      <c r="J22" s="39">
        <f t="array" ref="J22">XLOOKUP(COST_BUY_MONTHLY!$C22,TAX!$A$2:$A$3,TAX!$D$2:$D$3)</f>
        <v>0.1</v>
      </c>
      <c r="K22" s="35">
        <f t="shared" si="2"/>
        <v>1481.343574</v>
      </c>
    </row>
    <row r="23" ht="14.25" customHeight="1">
      <c r="A23" s="33" t="s">
        <v>256</v>
      </c>
      <c r="B23" s="33" t="s">
        <v>67</v>
      </c>
      <c r="C23" s="33" t="s">
        <v>236</v>
      </c>
      <c r="D23" s="35">
        <v>2991.54</v>
      </c>
      <c r="E23" s="33">
        <v>50.0</v>
      </c>
      <c r="F23" s="35">
        <f t="array" ref="F23">IF(C23 ="FOB_JP", XLOOKUP(A23,CONTAINER_COST_MONTH!$A$2:$A$13,CONTAINER_COST_MONTH!$B$2:$B$13), 285)</f>
        <v>3172</v>
      </c>
      <c r="G23" s="35">
        <f t="shared" si="1"/>
        <v>63.44</v>
      </c>
      <c r="H23" s="38">
        <f t="array" ref="H23">XLOOKUP(COST_BUY_MONTHLY!$C23,TAX!$A$2:$A$3,TAX!$B$2:$B$3)</f>
        <v>0.002</v>
      </c>
      <c r="I23" s="39">
        <f t="array" ref="I23">XLOOKUP(COST_BUY_MONTHLY!$C23,TAX!$A$2:$A$3,TAX!$C$2:$C$3)</f>
        <v>0.2</v>
      </c>
      <c r="J23" s="39">
        <f t="array" ref="J23">XLOOKUP(COST_BUY_MONTHLY!$C23,TAX!$A$2:$A$3,TAX!$D$2:$D$3)</f>
        <v>0.1</v>
      </c>
      <c r="K23" s="35">
        <f t="shared" si="2"/>
        <v>4040.638747</v>
      </c>
    </row>
    <row r="24" ht="14.25" customHeight="1">
      <c r="A24" s="33" t="s">
        <v>256</v>
      </c>
      <c r="B24" s="33" t="s">
        <v>70</v>
      </c>
      <c r="C24" s="33" t="s">
        <v>237</v>
      </c>
      <c r="D24" s="35">
        <v>302.74</v>
      </c>
      <c r="E24" s="33">
        <v>50.0</v>
      </c>
      <c r="F24" s="35">
        <f t="array" ref="F24">IF(C24 ="FOB_JP", XLOOKUP(A24,CONTAINER_COST_MONTH!$A$2:$A$13,CONTAINER_COST_MONTH!$B$2:$B$13), 285)</f>
        <v>285</v>
      </c>
      <c r="G24" s="35">
        <f t="shared" si="1"/>
        <v>5.7</v>
      </c>
      <c r="H24" s="38">
        <f t="array" ref="H24">XLOOKUP(COST_BUY_MONTHLY!$C24,TAX!$A$2:$A$3,TAX!$B$2:$B$3)</f>
        <v>0</v>
      </c>
      <c r="I24" s="39">
        <f t="array" ref="I24">XLOOKUP(COST_BUY_MONTHLY!$C24,TAX!$A$2:$A$3,TAX!$C$2:$C$3)</f>
        <v>0</v>
      </c>
      <c r="J24" s="39">
        <f t="array" ref="J24">XLOOKUP(COST_BUY_MONTHLY!$C24,TAX!$A$2:$A$3,TAX!$D$2:$D$3)</f>
        <v>0.1</v>
      </c>
      <c r="K24" s="35">
        <f t="shared" si="2"/>
        <v>339.284</v>
      </c>
    </row>
    <row r="25" ht="14.25" customHeight="1">
      <c r="A25" s="33" t="s">
        <v>256</v>
      </c>
      <c r="B25" s="33" t="s">
        <v>72</v>
      </c>
      <c r="C25" s="33" t="s">
        <v>237</v>
      </c>
      <c r="D25" s="35">
        <v>1870.55</v>
      </c>
      <c r="E25" s="33">
        <v>50.0</v>
      </c>
      <c r="F25" s="35">
        <f t="array" ref="F25">IF(C25 ="FOB_JP", XLOOKUP(A25,CONTAINER_COST_MONTH!$A$2:$A$13,CONTAINER_COST_MONTH!$B$2:$B$13), 285)</f>
        <v>285</v>
      </c>
      <c r="G25" s="35">
        <f t="shared" si="1"/>
        <v>5.7</v>
      </c>
      <c r="H25" s="38">
        <f t="array" ref="H25">XLOOKUP(COST_BUY_MONTHLY!$C25,TAX!$A$2:$A$3,TAX!$B$2:$B$3)</f>
        <v>0</v>
      </c>
      <c r="I25" s="39">
        <f t="array" ref="I25">XLOOKUP(COST_BUY_MONTHLY!$C25,TAX!$A$2:$A$3,TAX!$C$2:$C$3)</f>
        <v>0</v>
      </c>
      <c r="J25" s="39">
        <f t="array" ref="J25">XLOOKUP(COST_BUY_MONTHLY!$C25,TAX!$A$2:$A$3,TAX!$D$2:$D$3)</f>
        <v>0.1</v>
      </c>
      <c r="K25" s="35">
        <f t="shared" si="2"/>
        <v>2063.875</v>
      </c>
    </row>
    <row r="26" ht="14.25" customHeight="1">
      <c r="A26" s="33" t="s">
        <v>256</v>
      </c>
      <c r="B26" s="33" t="s">
        <v>74</v>
      </c>
      <c r="C26" s="33" t="s">
        <v>236</v>
      </c>
      <c r="D26" s="35">
        <v>828.24</v>
      </c>
      <c r="E26" s="33">
        <v>20.0</v>
      </c>
      <c r="F26" s="35">
        <f t="array" ref="F26">IF(C26 ="FOB_JP", XLOOKUP(A26,CONTAINER_COST_MONTH!$A$2:$A$13,CONTAINER_COST_MONTH!$B$2:$B$13), 285)</f>
        <v>3172</v>
      </c>
      <c r="G26" s="35">
        <f t="shared" si="1"/>
        <v>158.6</v>
      </c>
      <c r="H26" s="38">
        <f t="array" ref="H26">XLOOKUP(COST_BUY_MONTHLY!$C26,TAX!$A$2:$A$3,TAX!$B$2:$B$3)</f>
        <v>0.002</v>
      </c>
      <c r="I26" s="39">
        <f t="array" ref="I26">XLOOKUP(COST_BUY_MONTHLY!$C26,TAX!$A$2:$A$3,TAX!$C$2:$C$3)</f>
        <v>0.2</v>
      </c>
      <c r="J26" s="39">
        <f t="array" ref="J26">XLOOKUP(COST_BUY_MONTHLY!$C26,TAX!$A$2:$A$3,TAX!$D$2:$D$3)</f>
        <v>0.1</v>
      </c>
      <c r="K26" s="35">
        <f t="shared" si="2"/>
        <v>1305.234058</v>
      </c>
    </row>
    <row r="27" ht="14.25" customHeight="1">
      <c r="A27" s="33" t="s">
        <v>256</v>
      </c>
      <c r="B27" s="33" t="s">
        <v>76</v>
      </c>
      <c r="C27" s="33" t="s">
        <v>236</v>
      </c>
      <c r="D27" s="35">
        <v>3219.85</v>
      </c>
      <c r="E27" s="33">
        <v>50.0</v>
      </c>
      <c r="F27" s="35">
        <f t="array" ref="F27">IF(C27 ="FOB_JP", XLOOKUP(A27,CONTAINER_COST_MONTH!$A$2:$A$13,CONTAINER_COST_MONTH!$B$2:$B$13), 285)</f>
        <v>3172</v>
      </c>
      <c r="G27" s="35">
        <f t="shared" si="1"/>
        <v>63.44</v>
      </c>
      <c r="H27" s="38">
        <f t="array" ref="H27">XLOOKUP(COST_BUY_MONTHLY!$C27,TAX!$A$2:$A$3,TAX!$B$2:$B$3)</f>
        <v>0.002</v>
      </c>
      <c r="I27" s="39">
        <f t="array" ref="I27">XLOOKUP(COST_BUY_MONTHLY!$C27,TAX!$A$2:$A$3,TAX!$C$2:$C$3)</f>
        <v>0.2</v>
      </c>
      <c r="J27" s="39">
        <f t="array" ref="J27">XLOOKUP(COST_BUY_MONTHLY!$C27,TAX!$A$2:$A$3,TAX!$D$2:$D$3)</f>
        <v>0.1</v>
      </c>
      <c r="K27" s="35">
        <f t="shared" si="2"/>
        <v>4342.610686</v>
      </c>
    </row>
    <row r="28" ht="14.25" customHeight="1">
      <c r="A28" s="33" t="s">
        <v>256</v>
      </c>
      <c r="B28" s="33" t="s">
        <v>78</v>
      </c>
      <c r="C28" s="33" t="s">
        <v>236</v>
      </c>
      <c r="D28" s="35">
        <v>664.3</v>
      </c>
      <c r="E28" s="33">
        <v>50.0</v>
      </c>
      <c r="F28" s="35">
        <f t="array" ref="F28">IF(C28 ="FOB_JP", XLOOKUP(A28,CONTAINER_COST_MONTH!$A$2:$A$13,CONTAINER_COST_MONTH!$B$2:$B$13), 285)</f>
        <v>3172</v>
      </c>
      <c r="G28" s="35">
        <f t="shared" si="1"/>
        <v>63.44</v>
      </c>
      <c r="H28" s="38">
        <f t="array" ref="H28">XLOOKUP(COST_BUY_MONTHLY!$C28,TAX!$A$2:$A$3,TAX!$B$2:$B$3)</f>
        <v>0.002</v>
      </c>
      <c r="I28" s="39">
        <f t="array" ref="I28">XLOOKUP(COST_BUY_MONTHLY!$C28,TAX!$A$2:$A$3,TAX!$C$2:$C$3)</f>
        <v>0.2</v>
      </c>
      <c r="J28" s="39">
        <f t="array" ref="J28">XLOOKUP(COST_BUY_MONTHLY!$C28,TAX!$A$2:$A$3,TAX!$D$2:$D$3)</f>
        <v>0.1</v>
      </c>
      <c r="K28" s="35">
        <f t="shared" si="2"/>
        <v>962.5380336</v>
      </c>
    </row>
    <row r="29" ht="14.25" customHeight="1">
      <c r="A29" s="33" t="s">
        <v>256</v>
      </c>
      <c r="B29" s="33" t="s">
        <v>80</v>
      </c>
      <c r="C29" s="33" t="s">
        <v>236</v>
      </c>
      <c r="D29" s="35">
        <v>3383.8</v>
      </c>
      <c r="E29" s="33">
        <v>50.0</v>
      </c>
      <c r="F29" s="35">
        <f t="array" ref="F29">IF(C29 ="FOB_JP", XLOOKUP(A29,CONTAINER_COST_MONTH!$A$2:$A$13,CONTAINER_COST_MONTH!$B$2:$B$13), 285)</f>
        <v>3172</v>
      </c>
      <c r="G29" s="35">
        <f t="shared" si="1"/>
        <v>63.44</v>
      </c>
      <c r="H29" s="38">
        <f t="array" ref="H29">XLOOKUP(COST_BUY_MONTHLY!$C29,TAX!$A$2:$A$3,TAX!$B$2:$B$3)</f>
        <v>0.002</v>
      </c>
      <c r="I29" s="39">
        <f t="array" ref="I29">XLOOKUP(COST_BUY_MONTHLY!$C29,TAX!$A$2:$A$3,TAX!$C$2:$C$3)</f>
        <v>0.2</v>
      </c>
      <c r="J29" s="39">
        <f t="array" ref="J29">XLOOKUP(COST_BUY_MONTHLY!$C29,TAX!$A$2:$A$3,TAX!$D$2:$D$3)</f>
        <v>0.1</v>
      </c>
      <c r="K29" s="35">
        <f t="shared" si="2"/>
        <v>4559.457514</v>
      </c>
    </row>
    <row r="30" ht="14.25" customHeight="1">
      <c r="A30" s="33" t="s">
        <v>256</v>
      </c>
      <c r="B30" s="33" t="s">
        <v>82</v>
      </c>
      <c r="C30" s="33" t="s">
        <v>237</v>
      </c>
      <c r="D30" s="35">
        <v>1056.87</v>
      </c>
      <c r="E30" s="33">
        <v>50.0</v>
      </c>
      <c r="F30" s="35">
        <f t="array" ref="F30">IF(C30 ="FOB_JP", XLOOKUP(A30,CONTAINER_COST_MONTH!$A$2:$A$13,CONTAINER_COST_MONTH!$B$2:$B$13), 285)</f>
        <v>285</v>
      </c>
      <c r="G30" s="35">
        <f t="shared" si="1"/>
        <v>5.7</v>
      </c>
      <c r="H30" s="38">
        <f t="array" ref="H30">XLOOKUP(COST_BUY_MONTHLY!$C30,TAX!$A$2:$A$3,TAX!$B$2:$B$3)</f>
        <v>0</v>
      </c>
      <c r="I30" s="39">
        <f t="array" ref="I30">XLOOKUP(COST_BUY_MONTHLY!$C30,TAX!$A$2:$A$3,TAX!$C$2:$C$3)</f>
        <v>0</v>
      </c>
      <c r="J30" s="39">
        <f t="array" ref="J30">XLOOKUP(COST_BUY_MONTHLY!$C30,TAX!$A$2:$A$3,TAX!$D$2:$D$3)</f>
        <v>0.1</v>
      </c>
      <c r="K30" s="35">
        <f t="shared" si="2"/>
        <v>1168.827</v>
      </c>
    </row>
    <row r="31" ht="14.25" customHeight="1">
      <c r="A31" s="33" t="s">
        <v>256</v>
      </c>
      <c r="B31" s="33" t="s">
        <v>84</v>
      </c>
      <c r="C31" s="33" t="s">
        <v>237</v>
      </c>
      <c r="D31" s="35">
        <v>1116.42</v>
      </c>
      <c r="E31" s="33">
        <v>50.0</v>
      </c>
      <c r="F31" s="35">
        <f t="array" ref="F31">IF(C31 ="FOB_JP", XLOOKUP(A31,CONTAINER_COST_MONTH!$A$2:$A$13,CONTAINER_COST_MONTH!$B$2:$B$13), 285)</f>
        <v>285</v>
      </c>
      <c r="G31" s="35">
        <f t="shared" si="1"/>
        <v>5.7</v>
      </c>
      <c r="H31" s="38">
        <f t="array" ref="H31">XLOOKUP(COST_BUY_MONTHLY!$C31,TAX!$A$2:$A$3,TAX!$B$2:$B$3)</f>
        <v>0</v>
      </c>
      <c r="I31" s="39">
        <f t="array" ref="I31">XLOOKUP(COST_BUY_MONTHLY!$C31,TAX!$A$2:$A$3,TAX!$C$2:$C$3)</f>
        <v>0</v>
      </c>
      <c r="J31" s="39">
        <f t="array" ref="J31">XLOOKUP(COST_BUY_MONTHLY!$C31,TAX!$A$2:$A$3,TAX!$D$2:$D$3)</f>
        <v>0.1</v>
      </c>
      <c r="K31" s="35">
        <f t="shared" si="2"/>
        <v>1234.332</v>
      </c>
    </row>
    <row r="32" ht="14.25" customHeight="1">
      <c r="A32" s="33" t="s">
        <v>256</v>
      </c>
      <c r="B32" s="33" t="s">
        <v>86</v>
      </c>
      <c r="C32" s="33" t="s">
        <v>236</v>
      </c>
      <c r="D32" s="35">
        <v>4221.66</v>
      </c>
      <c r="E32" s="33">
        <v>35.0</v>
      </c>
      <c r="F32" s="35">
        <f t="array" ref="F32">IF(C32 ="FOB_JP", XLOOKUP(A32,CONTAINER_COST_MONTH!$A$2:$A$13,CONTAINER_COST_MONTH!$B$2:$B$13), 285)</f>
        <v>3172</v>
      </c>
      <c r="G32" s="35">
        <f t="shared" si="1"/>
        <v>90.62857143</v>
      </c>
      <c r="H32" s="38">
        <f t="array" ref="H32">XLOOKUP(COST_BUY_MONTHLY!$C32,TAX!$A$2:$A$3,TAX!$B$2:$B$3)</f>
        <v>0.002</v>
      </c>
      <c r="I32" s="39">
        <f t="array" ref="I32">XLOOKUP(COST_BUY_MONTHLY!$C32,TAX!$A$2:$A$3,TAX!$C$2:$C$3)</f>
        <v>0.2</v>
      </c>
      <c r="J32" s="39">
        <f t="array" ref="J32">XLOOKUP(COST_BUY_MONTHLY!$C32,TAX!$A$2:$A$3,TAX!$D$2:$D$3)</f>
        <v>0.1</v>
      </c>
      <c r="K32" s="35">
        <f t="shared" si="2"/>
        <v>5703.605356</v>
      </c>
    </row>
    <row r="33" ht="14.25" customHeight="1">
      <c r="A33" s="33" t="s">
        <v>256</v>
      </c>
      <c r="B33" s="33" t="s">
        <v>88</v>
      </c>
      <c r="C33" s="33" t="s">
        <v>236</v>
      </c>
      <c r="D33" s="35">
        <v>6803.82</v>
      </c>
      <c r="E33" s="33">
        <v>35.0</v>
      </c>
      <c r="F33" s="35">
        <f t="array" ref="F33">IF(C33 ="FOB_JP", XLOOKUP(A33,CONTAINER_COST_MONTH!$A$2:$A$13,CONTAINER_COST_MONTH!$B$2:$B$13), 285)</f>
        <v>3172</v>
      </c>
      <c r="G33" s="35">
        <f t="shared" si="1"/>
        <v>90.62857143</v>
      </c>
      <c r="H33" s="38">
        <f t="array" ref="H33">XLOOKUP(COST_BUY_MONTHLY!$C33,TAX!$A$2:$A$3,TAX!$B$2:$B$3)</f>
        <v>0.002</v>
      </c>
      <c r="I33" s="39">
        <f t="array" ref="I33">XLOOKUP(COST_BUY_MONTHLY!$C33,TAX!$A$2:$A$3,TAX!$C$2:$C$3)</f>
        <v>0.2</v>
      </c>
      <c r="J33" s="39">
        <f t="array" ref="J33">XLOOKUP(COST_BUY_MONTHLY!$C33,TAX!$A$2:$A$3,TAX!$D$2:$D$3)</f>
        <v>0.1</v>
      </c>
      <c r="K33" s="35">
        <f t="shared" si="2"/>
        <v>9118.873459</v>
      </c>
    </row>
    <row r="34" ht="14.25" customHeight="1">
      <c r="A34" s="33" t="s">
        <v>256</v>
      </c>
      <c r="B34" s="33" t="s">
        <v>90</v>
      </c>
      <c r="C34" s="33" t="s">
        <v>237</v>
      </c>
      <c r="D34" s="35">
        <v>4065.72</v>
      </c>
      <c r="E34" s="33">
        <v>35.0</v>
      </c>
      <c r="F34" s="35">
        <f t="array" ref="F34">IF(C34 ="FOB_JP", XLOOKUP(A34,CONTAINER_COST_MONTH!$A$2:$A$13,CONTAINER_COST_MONTH!$B$2:$B$13), 285)</f>
        <v>285</v>
      </c>
      <c r="G34" s="35">
        <f t="shared" si="1"/>
        <v>8.142857143</v>
      </c>
      <c r="H34" s="38">
        <f t="array" ref="H34">XLOOKUP(COST_BUY_MONTHLY!$C34,TAX!$A$2:$A$3,TAX!$B$2:$B$3)</f>
        <v>0</v>
      </c>
      <c r="I34" s="39">
        <f t="array" ref="I34">XLOOKUP(COST_BUY_MONTHLY!$C34,TAX!$A$2:$A$3,TAX!$C$2:$C$3)</f>
        <v>0</v>
      </c>
      <c r="J34" s="39">
        <f t="array" ref="J34">XLOOKUP(COST_BUY_MONTHLY!$C34,TAX!$A$2:$A$3,TAX!$D$2:$D$3)</f>
        <v>0.1</v>
      </c>
      <c r="K34" s="35">
        <f t="shared" si="2"/>
        <v>4481.249143</v>
      </c>
    </row>
    <row r="35" ht="14.25" customHeight="1">
      <c r="A35" s="33" t="s">
        <v>256</v>
      </c>
      <c r="B35" s="33" t="s">
        <v>92</v>
      </c>
      <c r="C35" s="33" t="s">
        <v>237</v>
      </c>
      <c r="D35" s="35">
        <v>2298.9</v>
      </c>
      <c r="E35" s="33">
        <v>35.0</v>
      </c>
      <c r="F35" s="35">
        <f t="array" ref="F35">IF(C35 ="FOB_JP", XLOOKUP(A35,CONTAINER_COST_MONTH!$A$2:$A$13,CONTAINER_COST_MONTH!$B$2:$B$13), 285)</f>
        <v>285</v>
      </c>
      <c r="G35" s="35">
        <f t="shared" si="1"/>
        <v>8.142857143</v>
      </c>
      <c r="H35" s="38">
        <f t="array" ref="H35">XLOOKUP(COST_BUY_MONTHLY!$C35,TAX!$A$2:$A$3,TAX!$B$2:$B$3)</f>
        <v>0</v>
      </c>
      <c r="I35" s="39">
        <f t="array" ref="I35">XLOOKUP(COST_BUY_MONTHLY!$C35,TAX!$A$2:$A$3,TAX!$C$2:$C$3)</f>
        <v>0</v>
      </c>
      <c r="J35" s="39">
        <f t="array" ref="J35">XLOOKUP(COST_BUY_MONTHLY!$C35,TAX!$A$2:$A$3,TAX!$D$2:$D$3)</f>
        <v>0.1</v>
      </c>
      <c r="K35" s="35">
        <f t="shared" si="2"/>
        <v>2537.747143</v>
      </c>
    </row>
    <row r="36" ht="14.25" customHeight="1">
      <c r="A36" s="33" t="s">
        <v>256</v>
      </c>
      <c r="B36" s="33" t="s">
        <v>94</v>
      </c>
      <c r="C36" s="33" t="s">
        <v>236</v>
      </c>
      <c r="D36" s="35">
        <v>5824.76</v>
      </c>
      <c r="E36" s="33">
        <v>14.0</v>
      </c>
      <c r="F36" s="35">
        <f t="array" ref="F36">IF(C36 ="FOB_JP", XLOOKUP(A36,CONTAINER_COST_MONTH!$A$2:$A$13,CONTAINER_COST_MONTH!$B$2:$B$13), 285)</f>
        <v>3172</v>
      </c>
      <c r="G36" s="35">
        <f t="shared" si="1"/>
        <v>226.5714286</v>
      </c>
      <c r="H36" s="38">
        <f t="array" ref="H36">XLOOKUP(COST_BUY_MONTHLY!$C36,TAX!$A$2:$A$3,TAX!$B$2:$B$3)</f>
        <v>0.002</v>
      </c>
      <c r="I36" s="39">
        <f t="array" ref="I36">XLOOKUP(COST_BUY_MONTHLY!$C36,TAX!$A$2:$A$3,TAX!$C$2:$C$3)</f>
        <v>0.2</v>
      </c>
      <c r="J36" s="39">
        <f t="array" ref="J36">XLOOKUP(COST_BUY_MONTHLY!$C36,TAX!$A$2:$A$3,TAX!$D$2:$D$3)</f>
        <v>0.1</v>
      </c>
      <c r="K36" s="35">
        <f t="shared" si="2"/>
        <v>8003.733001</v>
      </c>
    </row>
    <row r="37" ht="14.25" customHeight="1">
      <c r="A37" s="33" t="s">
        <v>256</v>
      </c>
      <c r="B37" s="33" t="s">
        <v>96</v>
      </c>
      <c r="C37" s="33" t="s">
        <v>236</v>
      </c>
      <c r="D37" s="35">
        <v>5200.72</v>
      </c>
      <c r="E37" s="33">
        <v>35.0</v>
      </c>
      <c r="F37" s="35">
        <f t="array" ref="F37">IF(C37 ="FOB_JP", XLOOKUP(A37,CONTAINER_COST_MONTH!$A$2:$A$13,CONTAINER_COST_MONTH!$B$2:$B$13), 285)</f>
        <v>3172</v>
      </c>
      <c r="G37" s="35">
        <f t="shared" si="1"/>
        <v>90.62857143</v>
      </c>
      <c r="H37" s="38">
        <f t="array" ref="H37">XLOOKUP(COST_BUY_MONTHLY!$C37,TAX!$A$2:$A$3,TAX!$B$2:$B$3)</f>
        <v>0.002</v>
      </c>
      <c r="I37" s="39">
        <f t="array" ref="I37">XLOOKUP(COST_BUY_MONTHLY!$C37,TAX!$A$2:$A$3,TAX!$C$2:$C$3)</f>
        <v>0.2</v>
      </c>
      <c r="J37" s="39">
        <f t="array" ref="J37">XLOOKUP(COST_BUY_MONTHLY!$C37,TAX!$A$2:$A$3,TAX!$D$2:$D$3)</f>
        <v>0.1</v>
      </c>
      <c r="K37" s="35">
        <f t="shared" si="2"/>
        <v>6998.549275</v>
      </c>
    </row>
    <row r="38" ht="14.25" customHeight="1">
      <c r="A38" s="33" t="s">
        <v>256</v>
      </c>
      <c r="B38" s="33" t="s">
        <v>98</v>
      </c>
      <c r="C38" s="33" t="s">
        <v>236</v>
      </c>
      <c r="D38" s="35">
        <v>8465.36</v>
      </c>
      <c r="E38" s="33">
        <v>35.0</v>
      </c>
      <c r="F38" s="35">
        <f t="array" ref="F38">IF(C38 ="FOB_JP", XLOOKUP(A38,CONTAINER_COST_MONTH!$A$2:$A$13,CONTAINER_COST_MONTH!$B$2:$B$13), 285)</f>
        <v>3172</v>
      </c>
      <c r="G38" s="35">
        <f t="shared" si="1"/>
        <v>90.62857143</v>
      </c>
      <c r="H38" s="38">
        <f t="array" ref="H38">XLOOKUP(COST_BUY_MONTHLY!$C38,TAX!$A$2:$A$3,TAX!$B$2:$B$3)</f>
        <v>0.002</v>
      </c>
      <c r="I38" s="39">
        <f t="array" ref="I38">XLOOKUP(COST_BUY_MONTHLY!$C38,TAX!$A$2:$A$3,TAX!$C$2:$C$3)</f>
        <v>0.2</v>
      </c>
      <c r="J38" s="39">
        <f t="array" ref="J38">XLOOKUP(COST_BUY_MONTHLY!$C38,TAX!$A$2:$A$3,TAX!$D$2:$D$3)</f>
        <v>0.1</v>
      </c>
      <c r="K38" s="35">
        <f t="shared" si="2"/>
        <v>11316.49272</v>
      </c>
    </row>
    <row r="39" ht="14.25" customHeight="1">
      <c r="A39" s="33" t="s">
        <v>256</v>
      </c>
      <c r="B39" s="33" t="s">
        <v>100</v>
      </c>
      <c r="C39" s="33" t="s">
        <v>236</v>
      </c>
      <c r="D39" s="35">
        <v>2560.12</v>
      </c>
      <c r="E39" s="33">
        <v>35.0</v>
      </c>
      <c r="F39" s="35">
        <f t="array" ref="F39">IF(C39 ="FOB_JP", XLOOKUP(A39,CONTAINER_COST_MONTH!$A$2:$A$13,CONTAINER_COST_MONTH!$B$2:$B$13), 285)</f>
        <v>3172</v>
      </c>
      <c r="G39" s="35">
        <f t="shared" si="1"/>
        <v>90.62857143</v>
      </c>
      <c r="H39" s="38">
        <f t="array" ref="H39">XLOOKUP(COST_BUY_MONTHLY!$C39,TAX!$A$2:$A$3,TAX!$B$2:$B$3)</f>
        <v>0.002</v>
      </c>
      <c r="I39" s="39">
        <f t="array" ref="I39">XLOOKUP(COST_BUY_MONTHLY!$C39,TAX!$A$2:$A$3,TAX!$C$2:$C$3)</f>
        <v>0.2</v>
      </c>
      <c r="J39" s="39">
        <f t="array" ref="J39">XLOOKUP(COST_BUY_MONTHLY!$C39,TAX!$A$2:$A$3,TAX!$D$2:$D$3)</f>
        <v>0.1</v>
      </c>
      <c r="K39" s="35">
        <f t="shared" si="2"/>
        <v>3505.986091</v>
      </c>
    </row>
    <row r="40" ht="14.25" customHeight="1">
      <c r="A40" s="33" t="s">
        <v>256</v>
      </c>
      <c r="B40" s="33" t="s">
        <v>102</v>
      </c>
      <c r="C40" s="33" t="s">
        <v>237</v>
      </c>
      <c r="D40" s="35">
        <v>2395.64</v>
      </c>
      <c r="E40" s="33">
        <v>35.0</v>
      </c>
      <c r="F40" s="35">
        <f t="array" ref="F40">IF(C40 ="FOB_JP", XLOOKUP(A40,CONTAINER_COST_MONTH!$A$2:$A$13,CONTAINER_COST_MONTH!$B$2:$B$13), 285)</f>
        <v>285</v>
      </c>
      <c r="G40" s="35">
        <f t="shared" si="1"/>
        <v>8.142857143</v>
      </c>
      <c r="H40" s="38">
        <f t="array" ref="H40">XLOOKUP(COST_BUY_MONTHLY!$C40,TAX!$A$2:$A$3,TAX!$B$2:$B$3)</f>
        <v>0</v>
      </c>
      <c r="I40" s="39">
        <f t="array" ref="I40">XLOOKUP(COST_BUY_MONTHLY!$C40,TAX!$A$2:$A$3,TAX!$C$2:$C$3)</f>
        <v>0</v>
      </c>
      <c r="J40" s="39">
        <f t="array" ref="J40">XLOOKUP(COST_BUY_MONTHLY!$C40,TAX!$A$2:$A$3,TAX!$D$2:$D$3)</f>
        <v>0.1</v>
      </c>
      <c r="K40" s="35">
        <f t="shared" si="2"/>
        <v>2644.161143</v>
      </c>
    </row>
    <row r="41" ht="14.25" customHeight="1">
      <c r="A41" s="33" t="s">
        <v>256</v>
      </c>
      <c r="B41" s="33" t="s">
        <v>104</v>
      </c>
      <c r="C41" s="33" t="s">
        <v>237</v>
      </c>
      <c r="D41" s="35">
        <v>3968.98</v>
      </c>
      <c r="E41" s="33">
        <v>35.0</v>
      </c>
      <c r="F41" s="35">
        <f t="array" ref="F41">IF(C41 ="FOB_JP", XLOOKUP(A41,CONTAINER_COST_MONTH!$A$2:$A$13,CONTAINER_COST_MONTH!$B$2:$B$13), 285)</f>
        <v>285</v>
      </c>
      <c r="G41" s="35">
        <f t="shared" si="1"/>
        <v>8.142857143</v>
      </c>
      <c r="H41" s="38">
        <f t="array" ref="H41">XLOOKUP(COST_BUY_MONTHLY!$C41,TAX!$A$2:$A$3,TAX!$B$2:$B$3)</f>
        <v>0</v>
      </c>
      <c r="I41" s="39">
        <f t="array" ref="I41">XLOOKUP(COST_BUY_MONTHLY!$C41,TAX!$A$2:$A$3,TAX!$C$2:$C$3)</f>
        <v>0</v>
      </c>
      <c r="J41" s="39">
        <f t="array" ref="J41">XLOOKUP(COST_BUY_MONTHLY!$C41,TAX!$A$2:$A$3,TAX!$D$2:$D$3)</f>
        <v>0.1</v>
      </c>
      <c r="K41" s="35">
        <f t="shared" si="2"/>
        <v>4374.835143</v>
      </c>
    </row>
    <row r="42" ht="14.25" customHeight="1">
      <c r="A42" s="33" t="s">
        <v>256</v>
      </c>
      <c r="B42" s="33" t="s">
        <v>106</v>
      </c>
      <c r="C42" s="33" t="s">
        <v>236</v>
      </c>
      <c r="D42" s="35">
        <v>3818.27</v>
      </c>
      <c r="E42" s="33">
        <v>50.0</v>
      </c>
      <c r="F42" s="35">
        <f t="array" ref="F42">IF(C42 ="FOB_JP", XLOOKUP(A42,CONTAINER_COST_MONTH!$A$2:$A$13,CONTAINER_COST_MONTH!$B$2:$B$13), 285)</f>
        <v>3172</v>
      </c>
      <c r="G42" s="35">
        <f t="shared" si="1"/>
        <v>63.44</v>
      </c>
      <c r="H42" s="38">
        <f t="array" ref="H42">XLOOKUP(COST_BUY_MONTHLY!$C42,TAX!$A$2:$A$3,TAX!$B$2:$B$3)</f>
        <v>0.002</v>
      </c>
      <c r="I42" s="39">
        <f t="array" ref="I42">XLOOKUP(COST_BUY_MONTHLY!$C42,TAX!$A$2:$A$3,TAX!$C$2:$C$3)</f>
        <v>0.2</v>
      </c>
      <c r="J42" s="39">
        <f t="array" ref="J42">XLOOKUP(COST_BUY_MONTHLY!$C42,TAX!$A$2:$A$3,TAX!$D$2:$D$3)</f>
        <v>0.1</v>
      </c>
      <c r="K42" s="35">
        <f t="shared" si="2"/>
        <v>5134.104914</v>
      </c>
    </row>
    <row r="43" ht="14.25" customHeight="1">
      <c r="A43" s="33" t="s">
        <v>256</v>
      </c>
      <c r="B43" s="33" t="s">
        <v>108</v>
      </c>
      <c r="C43" s="33" t="s">
        <v>236</v>
      </c>
      <c r="D43" s="35">
        <v>1759.11</v>
      </c>
      <c r="E43" s="33">
        <v>50.0</v>
      </c>
      <c r="F43" s="35">
        <f t="array" ref="F43">IF(C43 ="FOB_JP", XLOOKUP(A43,CONTAINER_COST_MONTH!$A$2:$A$13,CONTAINER_COST_MONTH!$B$2:$B$13), 285)</f>
        <v>3172</v>
      </c>
      <c r="G43" s="35">
        <f t="shared" si="1"/>
        <v>63.44</v>
      </c>
      <c r="H43" s="38">
        <f t="array" ref="H43">XLOOKUP(COST_BUY_MONTHLY!$C43,TAX!$A$2:$A$3,TAX!$B$2:$B$3)</f>
        <v>0.002</v>
      </c>
      <c r="I43" s="39">
        <f t="array" ref="I43">XLOOKUP(COST_BUY_MONTHLY!$C43,TAX!$A$2:$A$3,TAX!$C$2:$C$3)</f>
        <v>0.2</v>
      </c>
      <c r="J43" s="39">
        <f t="array" ref="J43">XLOOKUP(COST_BUY_MONTHLY!$C43,TAX!$A$2:$A$3,TAX!$D$2:$D$3)</f>
        <v>0.1</v>
      </c>
      <c r="K43" s="35">
        <f t="shared" si="2"/>
        <v>2410.577532</v>
      </c>
    </row>
    <row r="44" ht="14.25" customHeight="1">
      <c r="A44" s="33" t="s">
        <v>256</v>
      </c>
      <c r="B44" s="33" t="s">
        <v>110</v>
      </c>
      <c r="C44" s="33" t="s">
        <v>237</v>
      </c>
      <c r="D44" s="35">
        <v>1351.63</v>
      </c>
      <c r="E44" s="33">
        <v>50.0</v>
      </c>
      <c r="F44" s="35">
        <f t="array" ref="F44">IF(C44 ="FOB_JP", XLOOKUP(A44,CONTAINER_COST_MONTH!$A$2:$A$13,CONTAINER_COST_MONTH!$B$2:$B$13), 285)</f>
        <v>285</v>
      </c>
      <c r="G44" s="35">
        <f t="shared" si="1"/>
        <v>5.7</v>
      </c>
      <c r="H44" s="38">
        <f t="array" ref="H44">XLOOKUP(COST_BUY_MONTHLY!$C44,TAX!$A$2:$A$3,TAX!$B$2:$B$3)</f>
        <v>0</v>
      </c>
      <c r="I44" s="39">
        <f t="array" ref="I44">XLOOKUP(COST_BUY_MONTHLY!$C44,TAX!$A$2:$A$3,TAX!$C$2:$C$3)</f>
        <v>0</v>
      </c>
      <c r="J44" s="39">
        <f t="array" ref="J44">XLOOKUP(COST_BUY_MONTHLY!$C44,TAX!$A$2:$A$3,TAX!$D$2:$D$3)</f>
        <v>0.1</v>
      </c>
      <c r="K44" s="35">
        <f t="shared" si="2"/>
        <v>1493.063</v>
      </c>
    </row>
    <row r="45" ht="14.25" customHeight="1">
      <c r="A45" s="33" t="s">
        <v>256</v>
      </c>
      <c r="B45" s="33" t="s">
        <v>112</v>
      </c>
      <c r="C45" s="33" t="s">
        <v>237</v>
      </c>
      <c r="D45" s="35">
        <v>1642.68</v>
      </c>
      <c r="E45" s="33">
        <v>50.0</v>
      </c>
      <c r="F45" s="35">
        <f t="array" ref="F45">IF(C45 ="FOB_JP", XLOOKUP(A45,CONTAINER_COST_MONTH!$A$2:$A$13,CONTAINER_COST_MONTH!$B$2:$B$13), 285)</f>
        <v>285</v>
      </c>
      <c r="G45" s="35">
        <f t="shared" si="1"/>
        <v>5.7</v>
      </c>
      <c r="H45" s="38">
        <f t="array" ref="H45">XLOOKUP(COST_BUY_MONTHLY!$C45,TAX!$A$2:$A$3,TAX!$B$2:$B$3)</f>
        <v>0</v>
      </c>
      <c r="I45" s="39">
        <f t="array" ref="I45">XLOOKUP(COST_BUY_MONTHLY!$C45,TAX!$A$2:$A$3,TAX!$C$2:$C$3)</f>
        <v>0</v>
      </c>
      <c r="J45" s="39">
        <f t="array" ref="J45">XLOOKUP(COST_BUY_MONTHLY!$C45,TAX!$A$2:$A$3,TAX!$D$2:$D$3)</f>
        <v>0.1</v>
      </c>
      <c r="K45" s="35">
        <f t="shared" si="2"/>
        <v>1813.218</v>
      </c>
    </row>
    <row r="46" ht="14.25" customHeight="1">
      <c r="A46" s="33" t="s">
        <v>256</v>
      </c>
      <c r="B46" s="33" t="s">
        <v>114</v>
      </c>
      <c r="C46" s="33" t="s">
        <v>236</v>
      </c>
      <c r="D46" s="35">
        <v>4859.01</v>
      </c>
      <c r="E46" s="33">
        <v>20.0</v>
      </c>
      <c r="F46" s="35">
        <f t="array" ref="F46">IF(C46 ="FOB_JP", XLOOKUP(A46,CONTAINER_COST_MONTH!$A$2:$A$13,CONTAINER_COST_MONTH!$B$2:$B$13), 285)</f>
        <v>3172</v>
      </c>
      <c r="G46" s="35">
        <f t="shared" si="1"/>
        <v>158.6</v>
      </c>
      <c r="H46" s="38">
        <f t="array" ref="H46">XLOOKUP(COST_BUY_MONTHLY!$C46,TAX!$A$2:$A$3,TAX!$B$2:$B$3)</f>
        <v>0.002</v>
      </c>
      <c r="I46" s="39">
        <f t="array" ref="I46">XLOOKUP(COST_BUY_MONTHLY!$C46,TAX!$A$2:$A$3,TAX!$C$2:$C$3)</f>
        <v>0.2</v>
      </c>
      <c r="J46" s="39">
        <f t="array" ref="J46">XLOOKUP(COST_BUY_MONTHLY!$C46,TAX!$A$2:$A$3,TAX!$D$2:$D$3)</f>
        <v>0.1</v>
      </c>
      <c r="K46" s="35">
        <f t="shared" si="2"/>
        <v>6636.49169</v>
      </c>
    </row>
    <row r="47" ht="14.25" customHeight="1">
      <c r="A47" s="33" t="s">
        <v>256</v>
      </c>
      <c r="B47" s="33" t="s">
        <v>116</v>
      </c>
      <c r="C47" s="33" t="s">
        <v>236</v>
      </c>
      <c r="D47" s="35">
        <v>718.36</v>
      </c>
      <c r="E47" s="33">
        <v>50.0</v>
      </c>
      <c r="F47" s="35">
        <f t="array" ref="F47">IF(C47 ="FOB_JP", XLOOKUP(A47,CONTAINER_COST_MONTH!$A$2:$A$13,CONTAINER_COST_MONTH!$B$2:$B$13), 285)</f>
        <v>3172</v>
      </c>
      <c r="G47" s="35">
        <f t="shared" si="1"/>
        <v>63.44</v>
      </c>
      <c r="H47" s="38">
        <f t="array" ref="H47">XLOOKUP(COST_BUY_MONTHLY!$C47,TAX!$A$2:$A$3,TAX!$B$2:$B$3)</f>
        <v>0.002</v>
      </c>
      <c r="I47" s="39">
        <f t="array" ref="I47">XLOOKUP(COST_BUY_MONTHLY!$C47,TAX!$A$2:$A$3,TAX!$C$2:$C$3)</f>
        <v>0.2</v>
      </c>
      <c r="J47" s="39">
        <f t="array" ref="J47">XLOOKUP(COST_BUY_MONTHLY!$C47,TAX!$A$2:$A$3,TAX!$D$2:$D$3)</f>
        <v>0.1</v>
      </c>
      <c r="K47" s="35">
        <f t="shared" si="2"/>
        <v>1034.039952</v>
      </c>
    </row>
    <row r="48" ht="14.25" customHeight="1">
      <c r="A48" s="33" t="s">
        <v>256</v>
      </c>
      <c r="B48" s="33" t="s">
        <v>118</v>
      </c>
      <c r="C48" s="33" t="s">
        <v>236</v>
      </c>
      <c r="D48" s="35">
        <v>2169.04</v>
      </c>
      <c r="E48" s="33">
        <v>50.0</v>
      </c>
      <c r="F48" s="35">
        <f t="array" ref="F48">IF(C48 ="FOB_JP", XLOOKUP(A48,CONTAINER_COST_MONTH!$A$2:$A$13,CONTAINER_COST_MONTH!$B$2:$B$13), 285)</f>
        <v>3172</v>
      </c>
      <c r="G48" s="35">
        <f t="shared" si="1"/>
        <v>63.44</v>
      </c>
      <c r="H48" s="38">
        <f t="array" ref="H48">XLOOKUP(COST_BUY_MONTHLY!$C48,TAX!$A$2:$A$3,TAX!$B$2:$B$3)</f>
        <v>0.002</v>
      </c>
      <c r="I48" s="39">
        <f t="array" ref="I48">XLOOKUP(COST_BUY_MONTHLY!$C48,TAX!$A$2:$A$3,TAX!$C$2:$C$3)</f>
        <v>0.2</v>
      </c>
      <c r="J48" s="39">
        <f t="array" ref="J48">XLOOKUP(COST_BUY_MONTHLY!$C48,TAX!$A$2:$A$3,TAX!$D$2:$D$3)</f>
        <v>0.1</v>
      </c>
      <c r="K48" s="35">
        <f t="shared" si="2"/>
        <v>2952.767347</v>
      </c>
    </row>
    <row r="49" ht="14.25" customHeight="1">
      <c r="A49" s="33" t="s">
        <v>256</v>
      </c>
      <c r="B49" s="33" t="s">
        <v>120</v>
      </c>
      <c r="C49" s="33" t="s">
        <v>236</v>
      </c>
      <c r="D49" s="35">
        <v>3408.33</v>
      </c>
      <c r="E49" s="33">
        <v>50.0</v>
      </c>
      <c r="F49" s="35">
        <f t="array" ref="F49">IF(C49 ="FOB_JP", XLOOKUP(A49,CONTAINER_COST_MONTH!$A$2:$A$13,CONTAINER_COST_MONTH!$B$2:$B$13), 285)</f>
        <v>3172</v>
      </c>
      <c r="G49" s="35">
        <f t="shared" si="1"/>
        <v>63.44</v>
      </c>
      <c r="H49" s="38">
        <f t="array" ref="H49">XLOOKUP(COST_BUY_MONTHLY!$C49,TAX!$A$2:$A$3,TAX!$B$2:$B$3)</f>
        <v>0.002</v>
      </c>
      <c r="I49" s="39">
        <f t="array" ref="I49">XLOOKUP(COST_BUY_MONTHLY!$C49,TAX!$A$2:$A$3,TAX!$C$2:$C$3)</f>
        <v>0.2</v>
      </c>
      <c r="J49" s="39">
        <f t="array" ref="J49">XLOOKUP(COST_BUY_MONTHLY!$C49,TAX!$A$2:$A$3,TAX!$D$2:$D$3)</f>
        <v>0.1</v>
      </c>
      <c r="K49" s="35">
        <f t="shared" si="2"/>
        <v>4591.901873</v>
      </c>
    </row>
    <row r="50" ht="14.25" customHeight="1">
      <c r="A50" s="33" t="s">
        <v>256</v>
      </c>
      <c r="B50" s="33" t="s">
        <v>122</v>
      </c>
      <c r="C50" s="33" t="s">
        <v>237</v>
      </c>
      <c r="D50" s="35">
        <v>647.07</v>
      </c>
      <c r="E50" s="33">
        <v>50.0</v>
      </c>
      <c r="F50" s="35">
        <f t="array" ref="F50">IF(C50 ="FOB_JP", XLOOKUP(A50,CONTAINER_COST_MONTH!$A$2:$A$13,CONTAINER_COST_MONTH!$B$2:$B$13), 285)</f>
        <v>285</v>
      </c>
      <c r="G50" s="35">
        <f t="shared" si="1"/>
        <v>5.7</v>
      </c>
      <c r="H50" s="38">
        <f t="array" ref="H50">XLOOKUP(COST_BUY_MONTHLY!$C50,TAX!$A$2:$A$3,TAX!$B$2:$B$3)</f>
        <v>0</v>
      </c>
      <c r="I50" s="39">
        <f t="array" ref="I50">XLOOKUP(COST_BUY_MONTHLY!$C50,TAX!$A$2:$A$3,TAX!$C$2:$C$3)</f>
        <v>0</v>
      </c>
      <c r="J50" s="39">
        <f t="array" ref="J50">XLOOKUP(COST_BUY_MONTHLY!$C50,TAX!$A$2:$A$3,TAX!$D$2:$D$3)</f>
        <v>0.1</v>
      </c>
      <c r="K50" s="35">
        <f t="shared" si="2"/>
        <v>718.047</v>
      </c>
    </row>
    <row r="51" ht="14.25" customHeight="1">
      <c r="A51" s="33" t="s">
        <v>256</v>
      </c>
      <c r="B51" s="33" t="s">
        <v>124</v>
      </c>
      <c r="C51" s="33" t="s">
        <v>237</v>
      </c>
      <c r="D51" s="35">
        <v>2347.24</v>
      </c>
      <c r="E51" s="33">
        <v>50.0</v>
      </c>
      <c r="F51" s="35">
        <f t="array" ref="F51">IF(C51 ="FOB_JP", XLOOKUP(A51,CONTAINER_COST_MONTH!$A$2:$A$13,CONTAINER_COST_MONTH!$B$2:$B$13), 285)</f>
        <v>285</v>
      </c>
      <c r="G51" s="35">
        <f t="shared" si="1"/>
        <v>5.7</v>
      </c>
      <c r="H51" s="38">
        <f t="array" ref="H51">XLOOKUP(COST_BUY_MONTHLY!$C51,TAX!$A$2:$A$3,TAX!$B$2:$B$3)</f>
        <v>0</v>
      </c>
      <c r="I51" s="39">
        <f t="array" ref="I51">XLOOKUP(COST_BUY_MONTHLY!$C51,TAX!$A$2:$A$3,TAX!$C$2:$C$3)</f>
        <v>0</v>
      </c>
      <c r="J51" s="39">
        <f t="array" ref="J51">XLOOKUP(COST_BUY_MONTHLY!$C51,TAX!$A$2:$A$3,TAX!$D$2:$D$3)</f>
        <v>0.1</v>
      </c>
      <c r="K51" s="35">
        <f t="shared" si="2"/>
        <v>2588.234</v>
      </c>
    </row>
    <row r="52" ht="14.25" customHeight="1">
      <c r="A52" s="33" t="s">
        <v>256</v>
      </c>
      <c r="B52" s="33" t="s">
        <v>126</v>
      </c>
      <c r="C52" s="33" t="s">
        <v>236</v>
      </c>
      <c r="D52" s="35">
        <v>3638.25</v>
      </c>
      <c r="E52" s="33">
        <v>35.0</v>
      </c>
      <c r="F52" s="35">
        <f t="array" ref="F52">IF(C52 ="FOB_JP", XLOOKUP(A52,CONTAINER_COST_MONTH!$A$2:$A$13,CONTAINER_COST_MONTH!$B$2:$B$13), 285)</f>
        <v>3172</v>
      </c>
      <c r="G52" s="35">
        <f t="shared" si="1"/>
        <v>90.62857143</v>
      </c>
      <c r="H52" s="38">
        <f t="array" ref="H52">XLOOKUP(COST_BUY_MONTHLY!$C52,TAX!$A$2:$A$3,TAX!$B$2:$B$3)</f>
        <v>0.002</v>
      </c>
      <c r="I52" s="39">
        <f t="array" ref="I52">XLOOKUP(COST_BUY_MONTHLY!$C52,TAX!$A$2:$A$3,TAX!$C$2:$C$3)</f>
        <v>0.2</v>
      </c>
      <c r="J52" s="39">
        <f t="array" ref="J52">XLOOKUP(COST_BUY_MONTHLY!$C52,TAX!$A$2:$A$3,TAX!$D$2:$D$3)</f>
        <v>0.1</v>
      </c>
      <c r="K52" s="35">
        <f t="shared" si="2"/>
        <v>4931.963954</v>
      </c>
    </row>
    <row r="53" ht="14.25" customHeight="1">
      <c r="A53" s="33" t="s">
        <v>256</v>
      </c>
      <c r="B53" s="33" t="s">
        <v>128</v>
      </c>
      <c r="C53" s="33" t="s">
        <v>236</v>
      </c>
      <c r="D53" s="35">
        <v>5005.73</v>
      </c>
      <c r="E53" s="33">
        <v>35.0</v>
      </c>
      <c r="F53" s="35">
        <f t="array" ref="F53">IF(C53 ="FOB_JP", XLOOKUP(A53,CONTAINER_COST_MONTH!$A$2:$A$13,CONTAINER_COST_MONTH!$B$2:$B$13), 285)</f>
        <v>3172</v>
      </c>
      <c r="G53" s="35">
        <f t="shared" si="1"/>
        <v>90.62857143</v>
      </c>
      <c r="H53" s="38">
        <f t="array" ref="H53">XLOOKUP(COST_BUY_MONTHLY!$C53,TAX!$A$2:$A$3,TAX!$B$2:$B$3)</f>
        <v>0.002</v>
      </c>
      <c r="I53" s="39">
        <f t="array" ref="I53">XLOOKUP(COST_BUY_MONTHLY!$C53,TAX!$A$2:$A$3,TAX!$C$2:$C$3)</f>
        <v>0.2</v>
      </c>
      <c r="J53" s="39">
        <f t="array" ref="J53">XLOOKUP(COST_BUY_MONTHLY!$C53,TAX!$A$2:$A$3,TAX!$D$2:$D$3)</f>
        <v>0.1</v>
      </c>
      <c r="K53" s="35">
        <f t="shared" si="2"/>
        <v>6740.647701</v>
      </c>
    </row>
    <row r="54" ht="14.25" customHeight="1">
      <c r="A54" s="33" t="s">
        <v>256</v>
      </c>
      <c r="B54" s="33" t="s">
        <v>130</v>
      </c>
      <c r="C54" s="33" t="s">
        <v>237</v>
      </c>
      <c r="D54" s="35">
        <v>3760.36</v>
      </c>
      <c r="E54" s="33">
        <v>35.0</v>
      </c>
      <c r="F54" s="35">
        <f t="array" ref="F54">IF(C54 ="FOB_JP", XLOOKUP(A54,CONTAINER_COST_MONTH!$A$2:$A$13,CONTAINER_COST_MONTH!$B$2:$B$13), 285)</f>
        <v>285</v>
      </c>
      <c r="G54" s="35">
        <f t="shared" si="1"/>
        <v>8.142857143</v>
      </c>
      <c r="H54" s="38">
        <f t="array" ref="H54">XLOOKUP(COST_BUY_MONTHLY!$C54,TAX!$A$2:$A$3,TAX!$B$2:$B$3)</f>
        <v>0</v>
      </c>
      <c r="I54" s="39">
        <f t="array" ref="I54">XLOOKUP(COST_BUY_MONTHLY!$C54,TAX!$A$2:$A$3,TAX!$C$2:$C$3)</f>
        <v>0</v>
      </c>
      <c r="J54" s="39">
        <f t="array" ref="J54">XLOOKUP(COST_BUY_MONTHLY!$C54,TAX!$A$2:$A$3,TAX!$D$2:$D$3)</f>
        <v>0.1</v>
      </c>
      <c r="K54" s="35">
        <f t="shared" si="2"/>
        <v>4145.353143</v>
      </c>
    </row>
    <row r="55" ht="14.25" customHeight="1">
      <c r="A55" s="33" t="s">
        <v>256</v>
      </c>
      <c r="B55" s="33" t="s">
        <v>132</v>
      </c>
      <c r="C55" s="33" t="s">
        <v>237</v>
      </c>
      <c r="D55" s="35">
        <v>1229.5</v>
      </c>
      <c r="E55" s="33">
        <v>35.0</v>
      </c>
      <c r="F55" s="35">
        <f t="array" ref="F55">IF(C55 ="FOB_JP", XLOOKUP(A55,CONTAINER_COST_MONTH!$A$2:$A$13,CONTAINER_COST_MONTH!$B$2:$B$13), 285)</f>
        <v>285</v>
      </c>
      <c r="G55" s="35">
        <f t="shared" si="1"/>
        <v>8.142857143</v>
      </c>
      <c r="H55" s="38">
        <f t="array" ref="H55">XLOOKUP(COST_BUY_MONTHLY!$C55,TAX!$A$2:$A$3,TAX!$B$2:$B$3)</f>
        <v>0</v>
      </c>
      <c r="I55" s="39">
        <f t="array" ref="I55">XLOOKUP(COST_BUY_MONTHLY!$C55,TAX!$A$2:$A$3,TAX!$C$2:$C$3)</f>
        <v>0</v>
      </c>
      <c r="J55" s="39">
        <f t="array" ref="J55">XLOOKUP(COST_BUY_MONTHLY!$C55,TAX!$A$2:$A$3,TAX!$D$2:$D$3)</f>
        <v>0.1</v>
      </c>
      <c r="K55" s="35">
        <f t="shared" si="2"/>
        <v>1361.407143</v>
      </c>
    </row>
    <row r="56" ht="14.25" customHeight="1">
      <c r="A56" s="33" t="s">
        <v>256</v>
      </c>
      <c r="B56" s="33" t="s">
        <v>134</v>
      </c>
      <c r="C56" s="33" t="s">
        <v>236</v>
      </c>
      <c r="D56" s="35">
        <v>4169.85</v>
      </c>
      <c r="E56" s="33">
        <v>14.0</v>
      </c>
      <c r="F56" s="35">
        <f t="array" ref="F56">IF(C56 ="FOB_JP", XLOOKUP(A56,CONTAINER_COST_MONTH!$A$2:$A$13,CONTAINER_COST_MONTH!$B$2:$B$13), 285)</f>
        <v>3172</v>
      </c>
      <c r="G56" s="35">
        <f t="shared" si="1"/>
        <v>226.5714286</v>
      </c>
      <c r="H56" s="38">
        <f t="array" ref="H56">XLOOKUP(COST_BUY_MONTHLY!$C56,TAX!$A$2:$A$3,TAX!$B$2:$B$3)</f>
        <v>0.002</v>
      </c>
      <c r="I56" s="39">
        <f t="array" ref="I56">XLOOKUP(COST_BUY_MONTHLY!$C56,TAX!$A$2:$A$3,TAX!$C$2:$C$3)</f>
        <v>0.2</v>
      </c>
      <c r="J56" s="39">
        <f t="array" ref="J56">XLOOKUP(COST_BUY_MONTHLY!$C56,TAX!$A$2:$A$3,TAX!$D$2:$D$3)</f>
        <v>0.1</v>
      </c>
      <c r="K56" s="35">
        <f t="shared" si="2"/>
        <v>5814.882838</v>
      </c>
    </row>
    <row r="57" ht="14.25" customHeight="1">
      <c r="A57" s="33" t="s">
        <v>256</v>
      </c>
      <c r="B57" s="33" t="s">
        <v>136</v>
      </c>
      <c r="C57" s="33" t="s">
        <v>236</v>
      </c>
      <c r="D57" s="35">
        <v>4474.12</v>
      </c>
      <c r="E57" s="33">
        <v>35.0</v>
      </c>
      <c r="F57" s="35">
        <f t="array" ref="F57">IF(C57 ="FOB_JP", XLOOKUP(A57,CONTAINER_COST_MONTH!$A$2:$A$13,CONTAINER_COST_MONTH!$B$2:$B$13), 285)</f>
        <v>3172</v>
      </c>
      <c r="G57" s="35">
        <f t="shared" si="1"/>
        <v>90.62857143</v>
      </c>
      <c r="H57" s="38">
        <f t="array" ref="H57">XLOOKUP(COST_BUY_MONTHLY!$C57,TAX!$A$2:$A$3,TAX!$B$2:$B$3)</f>
        <v>0.002</v>
      </c>
      <c r="I57" s="39">
        <f t="array" ref="I57">XLOOKUP(COST_BUY_MONTHLY!$C57,TAX!$A$2:$A$3,TAX!$C$2:$C$3)</f>
        <v>0.2</v>
      </c>
      <c r="J57" s="39">
        <f t="array" ref="J57">XLOOKUP(COST_BUY_MONTHLY!$C57,TAX!$A$2:$A$3,TAX!$D$2:$D$3)</f>
        <v>0.1</v>
      </c>
      <c r="K57" s="35">
        <f t="shared" si="2"/>
        <v>6037.519051</v>
      </c>
    </row>
    <row r="58" ht="14.25" customHeight="1">
      <c r="A58" s="33" t="s">
        <v>256</v>
      </c>
      <c r="B58" s="33" t="s">
        <v>138</v>
      </c>
      <c r="C58" s="33" t="s">
        <v>236</v>
      </c>
      <c r="D58" s="35">
        <v>1857.59</v>
      </c>
      <c r="E58" s="33">
        <v>35.0</v>
      </c>
      <c r="F58" s="35">
        <f t="array" ref="F58">IF(C58 ="FOB_JP", XLOOKUP(A58,CONTAINER_COST_MONTH!$A$2:$A$13,CONTAINER_COST_MONTH!$B$2:$B$13), 285)</f>
        <v>3172</v>
      </c>
      <c r="G58" s="35">
        <f t="shared" si="1"/>
        <v>90.62857143</v>
      </c>
      <c r="H58" s="38">
        <f t="array" ref="H58">XLOOKUP(COST_BUY_MONTHLY!$C58,TAX!$A$2:$A$3,TAX!$B$2:$B$3)</f>
        <v>0.002</v>
      </c>
      <c r="I58" s="39">
        <f t="array" ref="I58">XLOOKUP(COST_BUY_MONTHLY!$C58,TAX!$A$2:$A$3,TAX!$C$2:$C$3)</f>
        <v>0.2</v>
      </c>
      <c r="J58" s="39">
        <f t="array" ref="J58">XLOOKUP(COST_BUY_MONTHLY!$C58,TAX!$A$2:$A$3,TAX!$D$2:$D$3)</f>
        <v>0.1</v>
      </c>
      <c r="K58" s="35">
        <f t="shared" si="2"/>
        <v>2576.791811</v>
      </c>
    </row>
    <row r="59" ht="14.25" customHeight="1">
      <c r="A59" s="33" t="s">
        <v>256</v>
      </c>
      <c r="B59" s="33" t="s">
        <v>140</v>
      </c>
      <c r="C59" s="33" t="s">
        <v>236</v>
      </c>
      <c r="D59" s="35">
        <v>6786.38</v>
      </c>
      <c r="E59" s="33">
        <v>35.0</v>
      </c>
      <c r="F59" s="35">
        <f t="array" ref="F59">IF(C59 ="FOB_JP", XLOOKUP(A59,CONTAINER_COST_MONTH!$A$2:$A$13,CONTAINER_COST_MONTH!$B$2:$B$13), 285)</f>
        <v>3172</v>
      </c>
      <c r="G59" s="35">
        <f t="shared" si="1"/>
        <v>90.62857143</v>
      </c>
      <c r="H59" s="38">
        <f t="array" ref="H59">XLOOKUP(COST_BUY_MONTHLY!$C59,TAX!$A$2:$A$3,TAX!$B$2:$B$3)</f>
        <v>0.002</v>
      </c>
      <c r="I59" s="39">
        <f t="array" ref="I59">XLOOKUP(COST_BUY_MONTHLY!$C59,TAX!$A$2:$A$3,TAX!$C$2:$C$3)</f>
        <v>0.2</v>
      </c>
      <c r="J59" s="39">
        <f t="array" ref="J59">XLOOKUP(COST_BUY_MONTHLY!$C59,TAX!$A$2:$A$3,TAX!$D$2:$D$3)</f>
        <v>0.1</v>
      </c>
      <c r="K59" s="35">
        <f t="shared" si="2"/>
        <v>9095.806617</v>
      </c>
    </row>
    <row r="60" ht="14.25" customHeight="1">
      <c r="A60" s="33" t="s">
        <v>256</v>
      </c>
      <c r="B60" s="33" t="s">
        <v>142</v>
      </c>
      <c r="C60" s="33" t="s">
        <v>237</v>
      </c>
      <c r="D60" s="35">
        <v>2264.4</v>
      </c>
      <c r="E60" s="33">
        <v>35.0</v>
      </c>
      <c r="F60" s="35">
        <f t="array" ref="F60">IF(C60 ="FOB_JP", XLOOKUP(A60,CONTAINER_COST_MONTH!$A$2:$A$13,CONTAINER_COST_MONTH!$B$2:$B$13), 285)</f>
        <v>285</v>
      </c>
      <c r="G60" s="35">
        <f t="shared" si="1"/>
        <v>8.142857143</v>
      </c>
      <c r="H60" s="38">
        <f t="array" ref="H60">XLOOKUP(COST_BUY_MONTHLY!$C60,TAX!$A$2:$A$3,TAX!$B$2:$B$3)</f>
        <v>0</v>
      </c>
      <c r="I60" s="39">
        <f t="array" ref="I60">XLOOKUP(COST_BUY_MONTHLY!$C60,TAX!$A$2:$A$3,TAX!$C$2:$C$3)</f>
        <v>0</v>
      </c>
      <c r="J60" s="39">
        <f t="array" ref="J60">XLOOKUP(COST_BUY_MONTHLY!$C60,TAX!$A$2:$A$3,TAX!$D$2:$D$3)</f>
        <v>0.1</v>
      </c>
      <c r="K60" s="35">
        <f t="shared" si="2"/>
        <v>2499.797143</v>
      </c>
    </row>
    <row r="61" ht="14.25" customHeight="1">
      <c r="A61" s="33" t="s">
        <v>256</v>
      </c>
      <c r="B61" s="33" t="s">
        <v>144</v>
      </c>
      <c r="C61" s="33" t="s">
        <v>237</v>
      </c>
      <c r="D61" s="35">
        <v>2725.46</v>
      </c>
      <c r="E61" s="33">
        <v>35.0</v>
      </c>
      <c r="F61" s="35">
        <f t="array" ref="F61">IF(C61 ="FOB_JP", XLOOKUP(A61,CONTAINER_COST_MONTH!$A$2:$A$13,CONTAINER_COST_MONTH!$B$2:$B$13), 285)</f>
        <v>285</v>
      </c>
      <c r="G61" s="35">
        <f t="shared" si="1"/>
        <v>8.142857143</v>
      </c>
      <c r="H61" s="38">
        <f t="array" ref="H61">XLOOKUP(COST_BUY_MONTHLY!$C61,TAX!$A$2:$A$3,TAX!$B$2:$B$3)</f>
        <v>0</v>
      </c>
      <c r="I61" s="39">
        <f t="array" ref="I61">XLOOKUP(COST_BUY_MONTHLY!$C61,TAX!$A$2:$A$3,TAX!$C$2:$C$3)</f>
        <v>0</v>
      </c>
      <c r="J61" s="39">
        <f t="array" ref="J61">XLOOKUP(COST_BUY_MONTHLY!$C61,TAX!$A$2:$A$3,TAX!$D$2:$D$3)</f>
        <v>0.1</v>
      </c>
      <c r="K61" s="35">
        <f t="shared" si="2"/>
        <v>3006.963143</v>
      </c>
    </row>
    <row r="62" ht="14.25" customHeight="1">
      <c r="A62" s="33" t="s">
        <v>257</v>
      </c>
      <c r="B62" s="33" t="s">
        <v>11</v>
      </c>
      <c r="C62" s="33" t="s">
        <v>236</v>
      </c>
      <c r="D62" s="35">
        <v>4048.09</v>
      </c>
      <c r="E62" s="33">
        <v>10.0</v>
      </c>
      <c r="F62" s="35">
        <f t="array" ref="F62">IF(C62 ="FOB_JP", XLOOKUP(A62,CONTAINER_COST_MONTH!$A$2:$A$13,CONTAINER_COST_MONTH!$B$2:$B$13), 285)</f>
        <v>3229</v>
      </c>
      <c r="G62" s="35">
        <f t="shared" si="1"/>
        <v>322.9</v>
      </c>
      <c r="H62" s="38">
        <f t="array" ref="H62">XLOOKUP(COST_BUY_MONTHLY!$C62,TAX!$A$2:$A$3,TAX!$B$2:$B$3)</f>
        <v>0.002</v>
      </c>
      <c r="I62" s="39">
        <f t="array" ref="I62">XLOOKUP(COST_BUY_MONTHLY!$C62,TAX!$A$2:$A$3,TAX!$C$2:$C$3)</f>
        <v>0.2</v>
      </c>
      <c r="J62" s="39">
        <f t="array" ref="J62">XLOOKUP(COST_BUY_MONTHLY!$C62,TAX!$A$2:$A$3,TAX!$D$2:$D$3)</f>
        <v>0.1</v>
      </c>
      <c r="K62" s="35">
        <f t="shared" si="2"/>
        <v>5781.246214</v>
      </c>
    </row>
    <row r="63" ht="14.25" customHeight="1">
      <c r="A63" s="33" t="s">
        <v>257</v>
      </c>
      <c r="B63" s="33" t="s">
        <v>18</v>
      </c>
      <c r="C63" s="33" t="s">
        <v>237</v>
      </c>
      <c r="D63" s="35">
        <v>2173.3</v>
      </c>
      <c r="E63" s="33">
        <v>40.0</v>
      </c>
      <c r="F63" s="35">
        <f t="array" ref="F63">IF(C63 ="FOB_JP", XLOOKUP(A63,CONTAINER_COST_MONTH!$A$2:$A$13,CONTAINER_COST_MONTH!$B$2:$B$13), 285)</f>
        <v>285</v>
      </c>
      <c r="G63" s="35">
        <f t="shared" si="1"/>
        <v>7.125</v>
      </c>
      <c r="H63" s="38">
        <f t="array" ref="H63">XLOOKUP(COST_BUY_MONTHLY!$C63,TAX!$A$2:$A$3,TAX!$B$2:$B$3)</f>
        <v>0</v>
      </c>
      <c r="I63" s="39">
        <f t="array" ref="I63">XLOOKUP(COST_BUY_MONTHLY!$C63,TAX!$A$2:$A$3,TAX!$C$2:$C$3)</f>
        <v>0</v>
      </c>
      <c r="J63" s="39">
        <f t="array" ref="J63">XLOOKUP(COST_BUY_MONTHLY!$C63,TAX!$A$2:$A$3,TAX!$D$2:$D$3)</f>
        <v>0.1</v>
      </c>
      <c r="K63" s="35">
        <f t="shared" si="2"/>
        <v>2398.4675</v>
      </c>
    </row>
    <row r="64" ht="14.25" customHeight="1">
      <c r="A64" s="33" t="s">
        <v>257</v>
      </c>
      <c r="B64" s="33" t="s">
        <v>22</v>
      </c>
      <c r="C64" s="33" t="s">
        <v>236</v>
      </c>
      <c r="D64" s="35">
        <v>4048.09</v>
      </c>
      <c r="E64" s="33">
        <v>20.0</v>
      </c>
      <c r="F64" s="35">
        <f t="array" ref="F64">IF(C64 ="FOB_JP", XLOOKUP(A64,CONTAINER_COST_MONTH!$A$2:$A$13,CONTAINER_COST_MONTH!$B$2:$B$13), 285)</f>
        <v>3229</v>
      </c>
      <c r="G64" s="35">
        <f t="shared" si="1"/>
        <v>161.45</v>
      </c>
      <c r="H64" s="38">
        <f t="array" ref="H64">XLOOKUP(COST_BUY_MONTHLY!$C64,TAX!$A$2:$A$3,TAX!$B$2:$B$3)</f>
        <v>0.002</v>
      </c>
      <c r="I64" s="39">
        <f t="array" ref="I64">XLOOKUP(COST_BUY_MONTHLY!$C64,TAX!$A$2:$A$3,TAX!$C$2:$C$3)</f>
        <v>0.2</v>
      </c>
      <c r="J64" s="39">
        <f t="array" ref="J64">XLOOKUP(COST_BUY_MONTHLY!$C64,TAX!$A$2:$A$3,TAX!$D$2:$D$3)</f>
        <v>0.1</v>
      </c>
      <c r="K64" s="35">
        <f t="shared" si="2"/>
        <v>5567.705986</v>
      </c>
    </row>
    <row r="65" ht="14.25" customHeight="1">
      <c r="A65" s="33" t="s">
        <v>257</v>
      </c>
      <c r="B65" s="33" t="s">
        <v>24</v>
      </c>
      <c r="C65" s="33" t="s">
        <v>236</v>
      </c>
      <c r="D65" s="35">
        <v>4048.09</v>
      </c>
      <c r="E65" s="33">
        <v>15.0</v>
      </c>
      <c r="F65" s="35">
        <f t="array" ref="F65">IF(C65 ="FOB_JP", XLOOKUP(A65,CONTAINER_COST_MONTH!$A$2:$A$13,CONTAINER_COST_MONTH!$B$2:$B$13), 285)</f>
        <v>3229</v>
      </c>
      <c r="G65" s="35">
        <f t="shared" si="1"/>
        <v>215.2666667</v>
      </c>
      <c r="H65" s="38">
        <f t="array" ref="H65">XLOOKUP(COST_BUY_MONTHLY!$C65,TAX!$A$2:$A$3,TAX!$B$2:$B$3)</f>
        <v>0.002</v>
      </c>
      <c r="I65" s="39">
        <f t="array" ref="I65">XLOOKUP(COST_BUY_MONTHLY!$C65,TAX!$A$2:$A$3,TAX!$C$2:$C$3)</f>
        <v>0.2</v>
      </c>
      <c r="J65" s="39">
        <f t="array" ref="J65">XLOOKUP(COST_BUY_MONTHLY!$C65,TAX!$A$2:$A$3,TAX!$D$2:$D$3)</f>
        <v>0.1</v>
      </c>
      <c r="K65" s="35">
        <f t="shared" si="2"/>
        <v>5638.886062</v>
      </c>
    </row>
    <row r="66" ht="14.25" customHeight="1">
      <c r="A66" s="33" t="s">
        <v>257</v>
      </c>
      <c r="B66" s="33" t="s">
        <v>26</v>
      </c>
      <c r="C66" s="33" t="s">
        <v>237</v>
      </c>
      <c r="D66" s="35">
        <v>2173.3</v>
      </c>
      <c r="E66" s="33">
        <v>120.0</v>
      </c>
      <c r="F66" s="35">
        <f t="array" ref="F66">IF(C66 ="FOB_JP", XLOOKUP(A66,CONTAINER_COST_MONTH!$A$2:$A$13,CONTAINER_COST_MONTH!$B$2:$B$13), 285)</f>
        <v>285</v>
      </c>
      <c r="G66" s="35">
        <f t="shared" si="1"/>
        <v>2.375</v>
      </c>
      <c r="H66" s="38">
        <f t="array" ref="H66">XLOOKUP(COST_BUY_MONTHLY!$C66,TAX!$A$2:$A$3,TAX!$B$2:$B$3)</f>
        <v>0</v>
      </c>
      <c r="I66" s="39">
        <f t="array" ref="I66">XLOOKUP(COST_BUY_MONTHLY!$C66,TAX!$A$2:$A$3,TAX!$C$2:$C$3)</f>
        <v>0</v>
      </c>
      <c r="J66" s="39">
        <f t="array" ref="J66">XLOOKUP(COST_BUY_MONTHLY!$C66,TAX!$A$2:$A$3,TAX!$D$2:$D$3)</f>
        <v>0.1</v>
      </c>
      <c r="K66" s="35">
        <f t="shared" si="2"/>
        <v>2393.2425</v>
      </c>
    </row>
    <row r="67" ht="14.25" customHeight="1">
      <c r="A67" s="33" t="s">
        <v>257</v>
      </c>
      <c r="B67" s="33" t="s">
        <v>30</v>
      </c>
      <c r="C67" s="33" t="s">
        <v>236</v>
      </c>
      <c r="D67" s="35">
        <v>11025.48</v>
      </c>
      <c r="E67" s="33">
        <v>7.0</v>
      </c>
      <c r="F67" s="35">
        <f t="array" ref="F67">IF(C67 ="FOB_JP", XLOOKUP(A67,CONTAINER_COST_MONTH!$A$2:$A$13,CONTAINER_COST_MONTH!$B$2:$B$13), 285)</f>
        <v>3229</v>
      </c>
      <c r="G67" s="35">
        <f t="shared" si="1"/>
        <v>461.2857143</v>
      </c>
      <c r="H67" s="38">
        <f t="array" ref="H67">XLOOKUP(COST_BUY_MONTHLY!$C67,TAX!$A$2:$A$3,TAX!$B$2:$B$3)</f>
        <v>0.002</v>
      </c>
      <c r="I67" s="39">
        <f t="array" ref="I67">XLOOKUP(COST_BUY_MONTHLY!$C67,TAX!$A$2:$A$3,TAX!$C$2:$C$3)</f>
        <v>0.2</v>
      </c>
      <c r="J67" s="39">
        <f t="array" ref="J67">XLOOKUP(COST_BUY_MONTHLY!$C67,TAX!$A$2:$A$3,TAX!$D$2:$D$3)</f>
        <v>0.1</v>
      </c>
      <c r="K67" s="35">
        <f t="shared" si="2"/>
        <v>15192.8558</v>
      </c>
    </row>
    <row r="68" ht="14.25" customHeight="1">
      <c r="A68" s="33" t="s">
        <v>257</v>
      </c>
      <c r="B68" s="33" t="s">
        <v>33</v>
      </c>
      <c r="C68" s="33" t="s">
        <v>237</v>
      </c>
      <c r="D68" s="35">
        <v>6364.62</v>
      </c>
      <c r="E68" s="33">
        <v>28.0</v>
      </c>
      <c r="F68" s="35">
        <f t="array" ref="F68">IF(C68 ="FOB_JP", XLOOKUP(A68,CONTAINER_COST_MONTH!$A$2:$A$13,CONTAINER_COST_MONTH!$B$2:$B$13), 285)</f>
        <v>285</v>
      </c>
      <c r="G68" s="35">
        <f t="shared" si="1"/>
        <v>10.17857143</v>
      </c>
      <c r="H68" s="38">
        <f t="array" ref="H68">XLOOKUP(COST_BUY_MONTHLY!$C68,TAX!$A$2:$A$3,TAX!$B$2:$B$3)</f>
        <v>0</v>
      </c>
      <c r="I68" s="39">
        <f t="array" ref="I68">XLOOKUP(COST_BUY_MONTHLY!$C68,TAX!$A$2:$A$3,TAX!$C$2:$C$3)</f>
        <v>0</v>
      </c>
      <c r="J68" s="39">
        <f t="array" ref="J68">XLOOKUP(COST_BUY_MONTHLY!$C68,TAX!$A$2:$A$3,TAX!$D$2:$D$3)</f>
        <v>0.1</v>
      </c>
      <c r="K68" s="35">
        <f t="shared" si="2"/>
        <v>7012.278429</v>
      </c>
    </row>
    <row r="69" ht="14.25" customHeight="1">
      <c r="A69" s="33" t="s">
        <v>257</v>
      </c>
      <c r="B69" s="33" t="s">
        <v>35</v>
      </c>
      <c r="C69" s="33" t="s">
        <v>236</v>
      </c>
      <c r="D69" s="35">
        <v>11025.48</v>
      </c>
      <c r="E69" s="33">
        <v>14.0</v>
      </c>
      <c r="F69" s="35">
        <f t="array" ref="F69">IF(C69 ="FOB_JP", XLOOKUP(A69,CONTAINER_COST_MONTH!$A$2:$A$13,CONTAINER_COST_MONTH!$B$2:$B$13), 285)</f>
        <v>3229</v>
      </c>
      <c r="G69" s="35">
        <f t="shared" si="1"/>
        <v>230.6428571</v>
      </c>
      <c r="H69" s="38">
        <f t="array" ref="H69">XLOOKUP(COST_BUY_MONTHLY!$C69,TAX!$A$2:$A$3,TAX!$B$2:$B$3)</f>
        <v>0.002</v>
      </c>
      <c r="I69" s="39">
        <f t="array" ref="I69">XLOOKUP(COST_BUY_MONTHLY!$C69,TAX!$A$2:$A$3,TAX!$C$2:$C$3)</f>
        <v>0.2</v>
      </c>
      <c r="J69" s="39">
        <f t="array" ref="J69">XLOOKUP(COST_BUY_MONTHLY!$C69,TAX!$A$2:$A$3,TAX!$D$2:$D$3)</f>
        <v>0.1</v>
      </c>
      <c r="K69" s="35">
        <f t="shared" si="2"/>
        <v>14887.79834</v>
      </c>
    </row>
    <row r="70" ht="14.25" customHeight="1">
      <c r="A70" s="33" t="s">
        <v>257</v>
      </c>
      <c r="B70" s="33" t="s">
        <v>37</v>
      </c>
      <c r="C70" s="33" t="s">
        <v>236</v>
      </c>
      <c r="D70" s="35">
        <v>11025.48</v>
      </c>
      <c r="E70" s="33">
        <v>10.0</v>
      </c>
      <c r="F70" s="35">
        <f t="array" ref="F70">IF(C70 ="FOB_JP", XLOOKUP(A70,CONTAINER_COST_MONTH!$A$2:$A$13,CONTAINER_COST_MONTH!$B$2:$B$13), 285)</f>
        <v>3229</v>
      </c>
      <c r="G70" s="35">
        <f t="shared" si="1"/>
        <v>322.9</v>
      </c>
      <c r="H70" s="38">
        <f t="array" ref="H70">XLOOKUP(COST_BUY_MONTHLY!$C70,TAX!$A$2:$A$3,TAX!$B$2:$B$3)</f>
        <v>0.002</v>
      </c>
      <c r="I70" s="39">
        <f t="array" ref="I70">XLOOKUP(COST_BUY_MONTHLY!$C70,TAX!$A$2:$A$3,TAX!$C$2:$C$3)</f>
        <v>0.2</v>
      </c>
      <c r="J70" s="39">
        <f t="array" ref="J70">XLOOKUP(COST_BUY_MONTHLY!$C70,TAX!$A$2:$A$3,TAX!$D$2:$D$3)</f>
        <v>0.1</v>
      </c>
      <c r="K70" s="35">
        <f t="shared" si="2"/>
        <v>15009.82132</v>
      </c>
    </row>
    <row r="71" ht="14.25" customHeight="1">
      <c r="A71" s="33" t="s">
        <v>257</v>
      </c>
      <c r="B71" s="33" t="s">
        <v>39</v>
      </c>
      <c r="C71" s="33" t="s">
        <v>237</v>
      </c>
      <c r="D71" s="35">
        <v>6364.62</v>
      </c>
      <c r="E71" s="33">
        <v>84.0</v>
      </c>
      <c r="F71" s="35">
        <f t="array" ref="F71">IF(C71 ="FOB_JP", XLOOKUP(A71,CONTAINER_COST_MONTH!$A$2:$A$13,CONTAINER_COST_MONTH!$B$2:$B$13), 285)</f>
        <v>285</v>
      </c>
      <c r="G71" s="35">
        <f t="shared" si="1"/>
        <v>3.392857143</v>
      </c>
      <c r="H71" s="38">
        <f t="array" ref="H71">XLOOKUP(COST_BUY_MONTHLY!$C71,TAX!$A$2:$A$3,TAX!$B$2:$B$3)</f>
        <v>0</v>
      </c>
      <c r="I71" s="39">
        <f t="array" ref="I71">XLOOKUP(COST_BUY_MONTHLY!$C71,TAX!$A$2:$A$3,TAX!$C$2:$C$3)</f>
        <v>0</v>
      </c>
      <c r="J71" s="39">
        <f t="array" ref="J71">XLOOKUP(COST_BUY_MONTHLY!$C71,TAX!$A$2:$A$3,TAX!$D$2:$D$3)</f>
        <v>0.1</v>
      </c>
      <c r="K71" s="35">
        <f t="shared" si="2"/>
        <v>7004.814143</v>
      </c>
    </row>
    <row r="72" ht="14.25" customHeight="1">
      <c r="A72" s="33" t="s">
        <v>257</v>
      </c>
      <c r="B72" s="33" t="s">
        <v>42</v>
      </c>
      <c r="C72" s="33" t="s">
        <v>236</v>
      </c>
      <c r="D72" s="35">
        <v>5577.37</v>
      </c>
      <c r="E72" s="33">
        <v>10.0</v>
      </c>
      <c r="F72" s="35">
        <f t="array" ref="F72">IF(C72 ="FOB_JP", XLOOKUP(A72,CONTAINER_COST_MONTH!$A$2:$A$13,CONTAINER_COST_MONTH!$B$2:$B$13), 285)</f>
        <v>3229</v>
      </c>
      <c r="G72" s="35">
        <f t="shared" si="1"/>
        <v>322.9</v>
      </c>
      <c r="H72" s="38">
        <f t="array" ref="H72">XLOOKUP(COST_BUY_MONTHLY!$C72,TAX!$A$2:$A$3,TAX!$B$2:$B$3)</f>
        <v>0.002</v>
      </c>
      <c r="I72" s="39">
        <f t="array" ref="I72">XLOOKUP(COST_BUY_MONTHLY!$C72,TAX!$A$2:$A$3,TAX!$C$2:$C$3)</f>
        <v>0.2</v>
      </c>
      <c r="J72" s="39">
        <f t="array" ref="J72">XLOOKUP(COST_BUY_MONTHLY!$C72,TAX!$A$2:$A$3,TAX!$D$2:$D$3)</f>
        <v>0.1</v>
      </c>
      <c r="K72" s="35">
        <f t="shared" si="2"/>
        <v>7803.933113</v>
      </c>
    </row>
    <row r="73" ht="14.25" customHeight="1">
      <c r="A73" s="33" t="s">
        <v>257</v>
      </c>
      <c r="B73" s="33" t="s">
        <v>45</v>
      </c>
      <c r="C73" s="33" t="s">
        <v>237</v>
      </c>
      <c r="D73" s="35">
        <v>2994.32</v>
      </c>
      <c r="E73" s="33">
        <v>40.0</v>
      </c>
      <c r="F73" s="35">
        <f t="array" ref="F73">IF(C73 ="FOB_JP", XLOOKUP(A73,CONTAINER_COST_MONTH!$A$2:$A$13,CONTAINER_COST_MONTH!$B$2:$B$13), 285)</f>
        <v>285</v>
      </c>
      <c r="G73" s="35">
        <f t="shared" si="1"/>
        <v>7.125</v>
      </c>
      <c r="H73" s="38">
        <f t="array" ref="H73">XLOOKUP(COST_BUY_MONTHLY!$C73,TAX!$A$2:$A$3,TAX!$B$2:$B$3)</f>
        <v>0</v>
      </c>
      <c r="I73" s="39">
        <f t="array" ref="I73">XLOOKUP(COST_BUY_MONTHLY!$C73,TAX!$A$2:$A$3,TAX!$C$2:$C$3)</f>
        <v>0</v>
      </c>
      <c r="J73" s="39">
        <f t="array" ref="J73">XLOOKUP(COST_BUY_MONTHLY!$C73,TAX!$A$2:$A$3,TAX!$D$2:$D$3)</f>
        <v>0.1</v>
      </c>
      <c r="K73" s="35">
        <f t="shared" si="2"/>
        <v>3301.5895</v>
      </c>
    </row>
    <row r="74" ht="14.25" customHeight="1">
      <c r="A74" s="33" t="s">
        <v>257</v>
      </c>
      <c r="B74" s="33" t="s">
        <v>47</v>
      </c>
      <c r="C74" s="33" t="s">
        <v>236</v>
      </c>
      <c r="D74" s="35">
        <v>5577.37</v>
      </c>
      <c r="E74" s="33">
        <v>20.0</v>
      </c>
      <c r="F74" s="35">
        <f t="array" ref="F74">IF(C74 ="FOB_JP", XLOOKUP(A74,CONTAINER_COST_MONTH!$A$2:$A$13,CONTAINER_COST_MONTH!$B$2:$B$13), 285)</f>
        <v>3229</v>
      </c>
      <c r="G74" s="35">
        <f t="shared" si="1"/>
        <v>161.45</v>
      </c>
      <c r="H74" s="38">
        <f t="array" ref="H74">XLOOKUP(COST_BUY_MONTHLY!$C74,TAX!$A$2:$A$3,TAX!$B$2:$B$3)</f>
        <v>0.002</v>
      </c>
      <c r="I74" s="39">
        <f t="array" ref="I74">XLOOKUP(COST_BUY_MONTHLY!$C74,TAX!$A$2:$A$3,TAX!$C$2:$C$3)</f>
        <v>0.2</v>
      </c>
      <c r="J74" s="39">
        <f t="array" ref="J74">XLOOKUP(COST_BUY_MONTHLY!$C74,TAX!$A$2:$A$3,TAX!$D$2:$D$3)</f>
        <v>0.1</v>
      </c>
      <c r="K74" s="35">
        <f t="shared" si="2"/>
        <v>7590.392885</v>
      </c>
    </row>
    <row r="75" ht="14.25" customHeight="1">
      <c r="A75" s="33" t="s">
        <v>257</v>
      </c>
      <c r="B75" s="33" t="s">
        <v>49</v>
      </c>
      <c r="C75" s="33" t="s">
        <v>236</v>
      </c>
      <c r="D75" s="35">
        <v>5577.37</v>
      </c>
      <c r="E75" s="33">
        <v>15.0</v>
      </c>
      <c r="F75" s="35">
        <f t="array" ref="F75">IF(C75 ="FOB_JP", XLOOKUP(A75,CONTAINER_COST_MONTH!$A$2:$A$13,CONTAINER_COST_MONTH!$B$2:$B$13), 285)</f>
        <v>3229</v>
      </c>
      <c r="G75" s="35">
        <f t="shared" si="1"/>
        <v>215.2666667</v>
      </c>
      <c r="H75" s="38">
        <f t="array" ref="H75">XLOOKUP(COST_BUY_MONTHLY!$C75,TAX!$A$2:$A$3,TAX!$B$2:$B$3)</f>
        <v>0.002</v>
      </c>
      <c r="I75" s="39">
        <f t="array" ref="I75">XLOOKUP(COST_BUY_MONTHLY!$C75,TAX!$A$2:$A$3,TAX!$C$2:$C$3)</f>
        <v>0.2</v>
      </c>
      <c r="J75" s="39">
        <f t="array" ref="J75">XLOOKUP(COST_BUY_MONTHLY!$C75,TAX!$A$2:$A$3,TAX!$D$2:$D$3)</f>
        <v>0.1</v>
      </c>
      <c r="K75" s="35">
        <f t="shared" si="2"/>
        <v>7661.572961</v>
      </c>
    </row>
    <row r="76" ht="14.25" customHeight="1">
      <c r="A76" s="33" t="s">
        <v>257</v>
      </c>
      <c r="B76" s="33" t="s">
        <v>51</v>
      </c>
      <c r="C76" s="33" t="s">
        <v>237</v>
      </c>
      <c r="D76" s="35">
        <v>2994.32</v>
      </c>
      <c r="E76" s="33">
        <v>120.0</v>
      </c>
      <c r="F76" s="35">
        <f t="array" ref="F76">IF(C76 ="FOB_JP", XLOOKUP(A76,CONTAINER_COST_MONTH!$A$2:$A$13,CONTAINER_COST_MONTH!$B$2:$B$13), 285)</f>
        <v>285</v>
      </c>
      <c r="G76" s="35">
        <f t="shared" si="1"/>
        <v>2.375</v>
      </c>
      <c r="H76" s="38">
        <f t="array" ref="H76">XLOOKUP(COST_BUY_MONTHLY!$C76,TAX!$A$2:$A$3,TAX!$B$2:$B$3)</f>
        <v>0</v>
      </c>
      <c r="I76" s="39">
        <f t="array" ref="I76">XLOOKUP(COST_BUY_MONTHLY!$C76,TAX!$A$2:$A$3,TAX!$C$2:$C$3)</f>
        <v>0</v>
      </c>
      <c r="J76" s="39">
        <f t="array" ref="J76">XLOOKUP(COST_BUY_MONTHLY!$C76,TAX!$A$2:$A$3,TAX!$D$2:$D$3)</f>
        <v>0.1</v>
      </c>
      <c r="K76" s="35">
        <f t="shared" si="2"/>
        <v>3296.3645</v>
      </c>
    </row>
    <row r="77" ht="14.25" customHeight="1">
      <c r="A77" s="33" t="s">
        <v>257</v>
      </c>
      <c r="B77" s="33" t="s">
        <v>54</v>
      </c>
      <c r="C77" s="33" t="s">
        <v>236</v>
      </c>
      <c r="D77" s="35">
        <v>8643.97</v>
      </c>
      <c r="E77" s="33">
        <v>7.0</v>
      </c>
      <c r="F77" s="35">
        <f t="array" ref="F77">IF(C77 ="FOB_JP", XLOOKUP(A77,CONTAINER_COST_MONTH!$A$2:$A$13,CONTAINER_COST_MONTH!$B$2:$B$13), 285)</f>
        <v>3229</v>
      </c>
      <c r="G77" s="35">
        <f t="shared" si="1"/>
        <v>461.2857143</v>
      </c>
      <c r="H77" s="38">
        <f t="array" ref="H77">XLOOKUP(COST_BUY_MONTHLY!$C77,TAX!$A$2:$A$3,TAX!$B$2:$B$3)</f>
        <v>0.002</v>
      </c>
      <c r="I77" s="39">
        <f t="array" ref="I77">XLOOKUP(COST_BUY_MONTHLY!$C77,TAX!$A$2:$A$3,TAX!$C$2:$C$3)</f>
        <v>0.2</v>
      </c>
      <c r="J77" s="39">
        <f t="array" ref="J77">XLOOKUP(COST_BUY_MONTHLY!$C77,TAX!$A$2:$A$3,TAX!$D$2:$D$3)</f>
        <v>0.1</v>
      </c>
      <c r="K77" s="35">
        <f t="shared" si="2"/>
        <v>12042.97542</v>
      </c>
    </row>
    <row r="78" ht="14.25" customHeight="1">
      <c r="A78" s="33" t="s">
        <v>257</v>
      </c>
      <c r="B78" s="33" t="s">
        <v>57</v>
      </c>
      <c r="C78" s="33" t="s">
        <v>237</v>
      </c>
      <c r="D78" s="35">
        <v>4989.86</v>
      </c>
      <c r="E78" s="33">
        <v>28.0</v>
      </c>
      <c r="F78" s="35">
        <f t="array" ref="F78">IF(C78 ="FOB_JP", XLOOKUP(A78,CONTAINER_COST_MONTH!$A$2:$A$13,CONTAINER_COST_MONTH!$B$2:$B$13), 285)</f>
        <v>285</v>
      </c>
      <c r="G78" s="35">
        <f t="shared" si="1"/>
        <v>10.17857143</v>
      </c>
      <c r="H78" s="38">
        <f t="array" ref="H78">XLOOKUP(COST_BUY_MONTHLY!$C78,TAX!$A$2:$A$3,TAX!$B$2:$B$3)</f>
        <v>0</v>
      </c>
      <c r="I78" s="39">
        <f t="array" ref="I78">XLOOKUP(COST_BUY_MONTHLY!$C78,TAX!$A$2:$A$3,TAX!$C$2:$C$3)</f>
        <v>0</v>
      </c>
      <c r="J78" s="39">
        <f t="array" ref="J78">XLOOKUP(COST_BUY_MONTHLY!$C78,TAX!$A$2:$A$3,TAX!$D$2:$D$3)</f>
        <v>0.1</v>
      </c>
      <c r="K78" s="35">
        <f t="shared" si="2"/>
        <v>5500.042429</v>
      </c>
    </row>
    <row r="79" ht="14.25" customHeight="1">
      <c r="A79" s="33" t="s">
        <v>257</v>
      </c>
      <c r="B79" s="33" t="s">
        <v>59</v>
      </c>
      <c r="C79" s="33" t="s">
        <v>236</v>
      </c>
      <c r="D79" s="35">
        <v>8643.97</v>
      </c>
      <c r="E79" s="33">
        <v>14.0</v>
      </c>
      <c r="F79" s="35">
        <f t="array" ref="F79">IF(C79 ="FOB_JP", XLOOKUP(A79,CONTAINER_COST_MONTH!$A$2:$A$13,CONTAINER_COST_MONTH!$B$2:$B$13), 285)</f>
        <v>3229</v>
      </c>
      <c r="G79" s="35">
        <f t="shared" si="1"/>
        <v>230.6428571</v>
      </c>
      <c r="H79" s="38">
        <f t="array" ref="H79">XLOOKUP(COST_BUY_MONTHLY!$C79,TAX!$A$2:$A$3,TAX!$B$2:$B$3)</f>
        <v>0.002</v>
      </c>
      <c r="I79" s="39">
        <f t="array" ref="I79">XLOOKUP(COST_BUY_MONTHLY!$C79,TAX!$A$2:$A$3,TAX!$C$2:$C$3)</f>
        <v>0.2</v>
      </c>
      <c r="J79" s="39">
        <f t="array" ref="J79">XLOOKUP(COST_BUY_MONTHLY!$C79,TAX!$A$2:$A$3,TAX!$D$2:$D$3)</f>
        <v>0.1</v>
      </c>
      <c r="K79" s="35">
        <f t="shared" si="2"/>
        <v>11737.91795</v>
      </c>
    </row>
    <row r="80" ht="14.25" customHeight="1">
      <c r="A80" s="33" t="s">
        <v>257</v>
      </c>
      <c r="B80" s="33" t="s">
        <v>61</v>
      </c>
      <c r="C80" s="33" t="s">
        <v>236</v>
      </c>
      <c r="D80" s="35">
        <v>8643.97</v>
      </c>
      <c r="E80" s="33">
        <v>10.0</v>
      </c>
      <c r="F80" s="35">
        <f t="array" ref="F80">IF(C80 ="FOB_JP", XLOOKUP(A80,CONTAINER_COST_MONTH!$A$2:$A$13,CONTAINER_COST_MONTH!$B$2:$B$13), 285)</f>
        <v>3229</v>
      </c>
      <c r="G80" s="35">
        <f t="shared" si="1"/>
        <v>322.9</v>
      </c>
      <c r="H80" s="38">
        <f t="array" ref="H80">XLOOKUP(COST_BUY_MONTHLY!$C80,TAX!$A$2:$A$3,TAX!$B$2:$B$3)</f>
        <v>0.002</v>
      </c>
      <c r="I80" s="39">
        <f t="array" ref="I80">XLOOKUP(COST_BUY_MONTHLY!$C80,TAX!$A$2:$A$3,TAX!$C$2:$C$3)</f>
        <v>0.2</v>
      </c>
      <c r="J80" s="39">
        <f t="array" ref="J80">XLOOKUP(COST_BUY_MONTHLY!$C80,TAX!$A$2:$A$3,TAX!$D$2:$D$3)</f>
        <v>0.1</v>
      </c>
      <c r="K80" s="35">
        <f t="shared" si="2"/>
        <v>11859.94094</v>
      </c>
    </row>
    <row r="81" ht="14.25" customHeight="1">
      <c r="A81" s="33" t="s">
        <v>257</v>
      </c>
      <c r="B81" s="33" t="s">
        <v>63</v>
      </c>
      <c r="C81" s="33" t="s">
        <v>237</v>
      </c>
      <c r="D81" s="35">
        <v>4989.86</v>
      </c>
      <c r="E81" s="33">
        <v>84.0</v>
      </c>
      <c r="F81" s="35">
        <f t="array" ref="F81">IF(C81 ="FOB_JP", XLOOKUP(A81,CONTAINER_COST_MONTH!$A$2:$A$13,CONTAINER_COST_MONTH!$B$2:$B$13), 285)</f>
        <v>285</v>
      </c>
      <c r="G81" s="35">
        <f t="shared" si="1"/>
        <v>3.392857143</v>
      </c>
      <c r="H81" s="38">
        <f t="array" ref="H81">XLOOKUP(COST_BUY_MONTHLY!$C81,TAX!$A$2:$A$3,TAX!$B$2:$B$3)</f>
        <v>0</v>
      </c>
      <c r="I81" s="39">
        <f t="array" ref="I81">XLOOKUP(COST_BUY_MONTHLY!$C81,TAX!$A$2:$A$3,TAX!$C$2:$C$3)</f>
        <v>0</v>
      </c>
      <c r="J81" s="39">
        <f t="array" ref="J81">XLOOKUP(COST_BUY_MONTHLY!$C81,TAX!$A$2:$A$3,TAX!$D$2:$D$3)</f>
        <v>0.1</v>
      </c>
      <c r="K81" s="35">
        <f t="shared" si="2"/>
        <v>5492.578143</v>
      </c>
    </row>
    <row r="82" ht="14.25" customHeight="1">
      <c r="A82" s="33" t="s">
        <v>257</v>
      </c>
      <c r="B82" s="33" t="s">
        <v>65</v>
      </c>
      <c r="C82" s="33" t="s">
        <v>236</v>
      </c>
      <c r="D82" s="35">
        <v>1056.55</v>
      </c>
      <c r="E82" s="33">
        <v>50.0</v>
      </c>
      <c r="F82" s="35">
        <f t="array" ref="F82">IF(C82 ="FOB_JP", XLOOKUP(A82,CONTAINER_COST_MONTH!$A$2:$A$13,CONTAINER_COST_MONTH!$B$2:$B$13), 285)</f>
        <v>3229</v>
      </c>
      <c r="G82" s="35">
        <f t="shared" si="1"/>
        <v>64.58</v>
      </c>
      <c r="H82" s="38">
        <f t="array" ref="H82">XLOOKUP(COST_BUY_MONTHLY!$C82,TAX!$A$2:$A$3,TAX!$B$2:$B$3)</f>
        <v>0.002</v>
      </c>
      <c r="I82" s="39">
        <f t="array" ref="I82">XLOOKUP(COST_BUY_MONTHLY!$C82,TAX!$A$2:$A$3,TAX!$C$2:$C$3)</f>
        <v>0.2</v>
      </c>
      <c r="J82" s="39">
        <f t="array" ref="J82">XLOOKUP(COST_BUY_MONTHLY!$C82,TAX!$A$2:$A$3,TAX!$D$2:$D$3)</f>
        <v>0.1</v>
      </c>
      <c r="K82" s="35">
        <f t="shared" si="2"/>
        <v>1482.851383</v>
      </c>
    </row>
    <row r="83" ht="14.25" customHeight="1">
      <c r="A83" s="33" t="s">
        <v>257</v>
      </c>
      <c r="B83" s="33" t="s">
        <v>67</v>
      </c>
      <c r="C83" s="33" t="s">
        <v>236</v>
      </c>
      <c r="D83" s="35">
        <v>2991.54</v>
      </c>
      <c r="E83" s="33">
        <v>50.0</v>
      </c>
      <c r="F83" s="35">
        <f t="array" ref="F83">IF(C83 ="FOB_JP", XLOOKUP(A83,CONTAINER_COST_MONTH!$A$2:$A$13,CONTAINER_COST_MONTH!$B$2:$B$13), 285)</f>
        <v>3229</v>
      </c>
      <c r="G83" s="35">
        <f t="shared" si="1"/>
        <v>64.58</v>
      </c>
      <c r="H83" s="38">
        <f t="array" ref="H83">XLOOKUP(COST_BUY_MONTHLY!$C83,TAX!$A$2:$A$3,TAX!$B$2:$B$3)</f>
        <v>0.002</v>
      </c>
      <c r="I83" s="39">
        <f t="array" ref="I83">XLOOKUP(COST_BUY_MONTHLY!$C83,TAX!$A$2:$A$3,TAX!$C$2:$C$3)</f>
        <v>0.2</v>
      </c>
      <c r="J83" s="39">
        <f t="array" ref="J83">XLOOKUP(COST_BUY_MONTHLY!$C83,TAX!$A$2:$A$3,TAX!$D$2:$D$3)</f>
        <v>0.1</v>
      </c>
      <c r="K83" s="35">
        <f t="shared" si="2"/>
        <v>4042.146557</v>
      </c>
    </row>
    <row r="84" ht="14.25" customHeight="1">
      <c r="A84" s="33" t="s">
        <v>257</v>
      </c>
      <c r="B84" s="33" t="s">
        <v>70</v>
      </c>
      <c r="C84" s="33" t="s">
        <v>237</v>
      </c>
      <c r="D84" s="35">
        <v>302.74</v>
      </c>
      <c r="E84" s="33">
        <v>50.0</v>
      </c>
      <c r="F84" s="35">
        <f t="array" ref="F84">IF(C84 ="FOB_JP", XLOOKUP(A84,CONTAINER_COST_MONTH!$A$2:$A$13,CONTAINER_COST_MONTH!$B$2:$B$13), 285)</f>
        <v>285</v>
      </c>
      <c r="G84" s="35">
        <f t="shared" si="1"/>
        <v>5.7</v>
      </c>
      <c r="H84" s="38">
        <f t="array" ref="H84">XLOOKUP(COST_BUY_MONTHLY!$C84,TAX!$A$2:$A$3,TAX!$B$2:$B$3)</f>
        <v>0</v>
      </c>
      <c r="I84" s="39">
        <f t="array" ref="I84">XLOOKUP(COST_BUY_MONTHLY!$C84,TAX!$A$2:$A$3,TAX!$C$2:$C$3)</f>
        <v>0</v>
      </c>
      <c r="J84" s="39">
        <f t="array" ref="J84">XLOOKUP(COST_BUY_MONTHLY!$C84,TAX!$A$2:$A$3,TAX!$D$2:$D$3)</f>
        <v>0.1</v>
      </c>
      <c r="K84" s="35">
        <f t="shared" si="2"/>
        <v>339.284</v>
      </c>
    </row>
    <row r="85" ht="14.25" customHeight="1">
      <c r="A85" s="33" t="s">
        <v>257</v>
      </c>
      <c r="B85" s="33" t="s">
        <v>72</v>
      </c>
      <c r="C85" s="33" t="s">
        <v>237</v>
      </c>
      <c r="D85" s="35">
        <v>1870.55</v>
      </c>
      <c r="E85" s="33">
        <v>50.0</v>
      </c>
      <c r="F85" s="35">
        <f t="array" ref="F85">IF(C85 ="FOB_JP", XLOOKUP(A85,CONTAINER_COST_MONTH!$A$2:$A$13,CONTAINER_COST_MONTH!$B$2:$B$13), 285)</f>
        <v>285</v>
      </c>
      <c r="G85" s="35">
        <f t="shared" si="1"/>
        <v>5.7</v>
      </c>
      <c r="H85" s="38">
        <f t="array" ref="H85">XLOOKUP(COST_BUY_MONTHLY!$C85,TAX!$A$2:$A$3,TAX!$B$2:$B$3)</f>
        <v>0</v>
      </c>
      <c r="I85" s="39">
        <f t="array" ref="I85">XLOOKUP(COST_BUY_MONTHLY!$C85,TAX!$A$2:$A$3,TAX!$C$2:$C$3)</f>
        <v>0</v>
      </c>
      <c r="J85" s="39">
        <f t="array" ref="J85">XLOOKUP(COST_BUY_MONTHLY!$C85,TAX!$A$2:$A$3,TAX!$D$2:$D$3)</f>
        <v>0.1</v>
      </c>
      <c r="K85" s="35">
        <f t="shared" si="2"/>
        <v>2063.875</v>
      </c>
    </row>
    <row r="86" ht="14.25" customHeight="1">
      <c r="A86" s="33" t="s">
        <v>257</v>
      </c>
      <c r="B86" s="33" t="s">
        <v>74</v>
      </c>
      <c r="C86" s="33" t="s">
        <v>236</v>
      </c>
      <c r="D86" s="35">
        <v>828.24</v>
      </c>
      <c r="E86" s="33">
        <v>20.0</v>
      </c>
      <c r="F86" s="35">
        <f t="array" ref="F86">IF(C86 ="FOB_JP", XLOOKUP(A86,CONTAINER_COST_MONTH!$A$2:$A$13,CONTAINER_COST_MONTH!$B$2:$B$13), 285)</f>
        <v>3229</v>
      </c>
      <c r="G86" s="35">
        <f t="shared" si="1"/>
        <v>161.45</v>
      </c>
      <c r="H86" s="38">
        <f t="array" ref="H86">XLOOKUP(COST_BUY_MONTHLY!$C86,TAX!$A$2:$A$3,TAX!$B$2:$B$3)</f>
        <v>0.002</v>
      </c>
      <c r="I86" s="39">
        <f t="array" ref="I86">XLOOKUP(COST_BUY_MONTHLY!$C86,TAX!$A$2:$A$3,TAX!$C$2:$C$3)</f>
        <v>0.2</v>
      </c>
      <c r="J86" s="39">
        <f t="array" ref="J86">XLOOKUP(COST_BUY_MONTHLY!$C86,TAX!$A$2:$A$3,TAX!$D$2:$D$3)</f>
        <v>0.1</v>
      </c>
      <c r="K86" s="35">
        <f t="shared" si="2"/>
        <v>1309.003582</v>
      </c>
    </row>
    <row r="87" ht="14.25" customHeight="1">
      <c r="A87" s="33" t="s">
        <v>257</v>
      </c>
      <c r="B87" s="33" t="s">
        <v>76</v>
      </c>
      <c r="C87" s="33" t="s">
        <v>236</v>
      </c>
      <c r="D87" s="35">
        <v>3219.85</v>
      </c>
      <c r="E87" s="33">
        <v>50.0</v>
      </c>
      <c r="F87" s="35">
        <f t="array" ref="F87">IF(C87 ="FOB_JP", XLOOKUP(A87,CONTAINER_COST_MONTH!$A$2:$A$13,CONTAINER_COST_MONTH!$B$2:$B$13), 285)</f>
        <v>3229</v>
      </c>
      <c r="G87" s="35">
        <f t="shared" si="1"/>
        <v>64.58</v>
      </c>
      <c r="H87" s="38">
        <f t="array" ref="H87">XLOOKUP(COST_BUY_MONTHLY!$C87,TAX!$A$2:$A$3,TAX!$B$2:$B$3)</f>
        <v>0.002</v>
      </c>
      <c r="I87" s="39">
        <f t="array" ref="I87">XLOOKUP(COST_BUY_MONTHLY!$C87,TAX!$A$2:$A$3,TAX!$C$2:$C$3)</f>
        <v>0.2</v>
      </c>
      <c r="J87" s="39">
        <f t="array" ref="J87">XLOOKUP(COST_BUY_MONTHLY!$C87,TAX!$A$2:$A$3,TAX!$D$2:$D$3)</f>
        <v>0.1</v>
      </c>
      <c r="K87" s="35">
        <f t="shared" si="2"/>
        <v>4344.118495</v>
      </c>
    </row>
    <row r="88" ht="14.25" customHeight="1">
      <c r="A88" s="33" t="s">
        <v>257</v>
      </c>
      <c r="B88" s="33" t="s">
        <v>78</v>
      </c>
      <c r="C88" s="33" t="s">
        <v>236</v>
      </c>
      <c r="D88" s="35">
        <v>664.3</v>
      </c>
      <c r="E88" s="33">
        <v>50.0</v>
      </c>
      <c r="F88" s="35">
        <f t="array" ref="F88">IF(C88 ="FOB_JP", XLOOKUP(A88,CONTAINER_COST_MONTH!$A$2:$A$13,CONTAINER_COST_MONTH!$B$2:$B$13), 285)</f>
        <v>3229</v>
      </c>
      <c r="G88" s="35">
        <f t="shared" si="1"/>
        <v>64.58</v>
      </c>
      <c r="H88" s="38">
        <f t="array" ref="H88">XLOOKUP(COST_BUY_MONTHLY!$C88,TAX!$A$2:$A$3,TAX!$B$2:$B$3)</f>
        <v>0.002</v>
      </c>
      <c r="I88" s="39">
        <f t="array" ref="I88">XLOOKUP(COST_BUY_MONTHLY!$C88,TAX!$A$2:$A$3,TAX!$C$2:$C$3)</f>
        <v>0.2</v>
      </c>
      <c r="J88" s="39">
        <f t="array" ref="J88">XLOOKUP(COST_BUY_MONTHLY!$C88,TAX!$A$2:$A$3,TAX!$D$2:$D$3)</f>
        <v>0.1</v>
      </c>
      <c r="K88" s="35">
        <f t="shared" si="2"/>
        <v>964.0458432</v>
      </c>
    </row>
    <row r="89" ht="14.25" customHeight="1">
      <c r="A89" s="33" t="s">
        <v>257</v>
      </c>
      <c r="B89" s="33" t="s">
        <v>80</v>
      </c>
      <c r="C89" s="33" t="s">
        <v>236</v>
      </c>
      <c r="D89" s="35">
        <v>3383.8</v>
      </c>
      <c r="E89" s="33">
        <v>50.0</v>
      </c>
      <c r="F89" s="35">
        <f t="array" ref="F89">IF(C89 ="FOB_JP", XLOOKUP(A89,CONTAINER_COST_MONTH!$A$2:$A$13,CONTAINER_COST_MONTH!$B$2:$B$13), 285)</f>
        <v>3229</v>
      </c>
      <c r="G89" s="35">
        <f t="shared" si="1"/>
        <v>64.58</v>
      </c>
      <c r="H89" s="38">
        <f t="array" ref="H89">XLOOKUP(COST_BUY_MONTHLY!$C89,TAX!$A$2:$A$3,TAX!$B$2:$B$3)</f>
        <v>0.002</v>
      </c>
      <c r="I89" s="39">
        <f t="array" ref="I89">XLOOKUP(COST_BUY_MONTHLY!$C89,TAX!$A$2:$A$3,TAX!$C$2:$C$3)</f>
        <v>0.2</v>
      </c>
      <c r="J89" s="39">
        <f t="array" ref="J89">XLOOKUP(COST_BUY_MONTHLY!$C89,TAX!$A$2:$A$3,TAX!$D$2:$D$3)</f>
        <v>0.1</v>
      </c>
      <c r="K89" s="35">
        <f t="shared" si="2"/>
        <v>4560.965323</v>
      </c>
    </row>
    <row r="90" ht="14.25" customHeight="1">
      <c r="A90" s="33" t="s">
        <v>257</v>
      </c>
      <c r="B90" s="33" t="s">
        <v>82</v>
      </c>
      <c r="C90" s="33" t="s">
        <v>237</v>
      </c>
      <c r="D90" s="35">
        <v>1056.87</v>
      </c>
      <c r="E90" s="33">
        <v>50.0</v>
      </c>
      <c r="F90" s="35">
        <f t="array" ref="F90">IF(C90 ="FOB_JP", XLOOKUP(A90,CONTAINER_COST_MONTH!$A$2:$A$13,CONTAINER_COST_MONTH!$B$2:$B$13), 285)</f>
        <v>285</v>
      </c>
      <c r="G90" s="35">
        <f t="shared" si="1"/>
        <v>5.7</v>
      </c>
      <c r="H90" s="38">
        <f t="array" ref="H90">XLOOKUP(COST_BUY_MONTHLY!$C90,TAX!$A$2:$A$3,TAX!$B$2:$B$3)</f>
        <v>0</v>
      </c>
      <c r="I90" s="39">
        <f t="array" ref="I90">XLOOKUP(COST_BUY_MONTHLY!$C90,TAX!$A$2:$A$3,TAX!$C$2:$C$3)</f>
        <v>0</v>
      </c>
      <c r="J90" s="39">
        <f t="array" ref="J90">XLOOKUP(COST_BUY_MONTHLY!$C90,TAX!$A$2:$A$3,TAX!$D$2:$D$3)</f>
        <v>0.1</v>
      </c>
      <c r="K90" s="35">
        <f t="shared" si="2"/>
        <v>1168.827</v>
      </c>
    </row>
    <row r="91" ht="14.25" customHeight="1">
      <c r="A91" s="33" t="s">
        <v>257</v>
      </c>
      <c r="B91" s="33" t="s">
        <v>84</v>
      </c>
      <c r="C91" s="33" t="s">
        <v>237</v>
      </c>
      <c r="D91" s="35">
        <v>1116.42</v>
      </c>
      <c r="E91" s="33">
        <v>50.0</v>
      </c>
      <c r="F91" s="35">
        <f t="array" ref="F91">IF(C91 ="FOB_JP", XLOOKUP(A91,CONTAINER_COST_MONTH!$A$2:$A$13,CONTAINER_COST_MONTH!$B$2:$B$13), 285)</f>
        <v>285</v>
      </c>
      <c r="G91" s="35">
        <f t="shared" si="1"/>
        <v>5.7</v>
      </c>
      <c r="H91" s="38">
        <f t="array" ref="H91">XLOOKUP(COST_BUY_MONTHLY!$C91,TAX!$A$2:$A$3,TAX!$B$2:$B$3)</f>
        <v>0</v>
      </c>
      <c r="I91" s="39">
        <f t="array" ref="I91">XLOOKUP(COST_BUY_MONTHLY!$C91,TAX!$A$2:$A$3,TAX!$C$2:$C$3)</f>
        <v>0</v>
      </c>
      <c r="J91" s="39">
        <f t="array" ref="J91">XLOOKUP(COST_BUY_MONTHLY!$C91,TAX!$A$2:$A$3,TAX!$D$2:$D$3)</f>
        <v>0.1</v>
      </c>
      <c r="K91" s="35">
        <f t="shared" si="2"/>
        <v>1234.332</v>
      </c>
    </row>
    <row r="92" ht="14.25" customHeight="1">
      <c r="A92" s="33" t="s">
        <v>257</v>
      </c>
      <c r="B92" s="33" t="s">
        <v>86</v>
      </c>
      <c r="C92" s="33" t="s">
        <v>236</v>
      </c>
      <c r="D92" s="35">
        <v>4221.66</v>
      </c>
      <c r="E92" s="33">
        <v>35.0</v>
      </c>
      <c r="F92" s="35">
        <f t="array" ref="F92">IF(C92 ="FOB_JP", XLOOKUP(A92,CONTAINER_COST_MONTH!$A$2:$A$13,CONTAINER_COST_MONTH!$B$2:$B$13), 285)</f>
        <v>3229</v>
      </c>
      <c r="G92" s="35">
        <f t="shared" si="1"/>
        <v>92.25714286</v>
      </c>
      <c r="H92" s="38">
        <f t="array" ref="H92">XLOOKUP(COST_BUY_MONTHLY!$C92,TAX!$A$2:$A$3,TAX!$B$2:$B$3)</f>
        <v>0.002</v>
      </c>
      <c r="I92" s="39">
        <f t="array" ref="I92">XLOOKUP(COST_BUY_MONTHLY!$C92,TAX!$A$2:$A$3,TAX!$C$2:$C$3)</f>
        <v>0.2</v>
      </c>
      <c r="J92" s="39">
        <f t="array" ref="J92">XLOOKUP(COST_BUY_MONTHLY!$C92,TAX!$A$2:$A$3,TAX!$D$2:$D$3)</f>
        <v>0.1</v>
      </c>
      <c r="K92" s="35">
        <f t="shared" si="2"/>
        <v>5705.75937</v>
      </c>
    </row>
    <row r="93" ht="14.25" customHeight="1">
      <c r="A93" s="33" t="s">
        <v>257</v>
      </c>
      <c r="B93" s="33" t="s">
        <v>88</v>
      </c>
      <c r="C93" s="33" t="s">
        <v>236</v>
      </c>
      <c r="D93" s="35">
        <v>6803.82</v>
      </c>
      <c r="E93" s="33">
        <v>35.0</v>
      </c>
      <c r="F93" s="35">
        <f t="array" ref="F93">IF(C93 ="FOB_JP", XLOOKUP(A93,CONTAINER_COST_MONTH!$A$2:$A$13,CONTAINER_COST_MONTH!$B$2:$B$13), 285)</f>
        <v>3229</v>
      </c>
      <c r="G93" s="35">
        <f t="shared" si="1"/>
        <v>92.25714286</v>
      </c>
      <c r="H93" s="38">
        <f t="array" ref="H93">XLOOKUP(COST_BUY_MONTHLY!$C93,TAX!$A$2:$A$3,TAX!$B$2:$B$3)</f>
        <v>0.002</v>
      </c>
      <c r="I93" s="39">
        <f t="array" ref="I93">XLOOKUP(COST_BUY_MONTHLY!$C93,TAX!$A$2:$A$3,TAX!$C$2:$C$3)</f>
        <v>0.2</v>
      </c>
      <c r="J93" s="39">
        <f t="array" ref="J93">XLOOKUP(COST_BUY_MONTHLY!$C93,TAX!$A$2:$A$3,TAX!$D$2:$D$3)</f>
        <v>0.1</v>
      </c>
      <c r="K93" s="35">
        <f t="shared" si="2"/>
        <v>9121.027472</v>
      </c>
    </row>
    <row r="94" ht="14.25" customHeight="1">
      <c r="A94" s="33" t="s">
        <v>257</v>
      </c>
      <c r="B94" s="33" t="s">
        <v>90</v>
      </c>
      <c r="C94" s="33" t="s">
        <v>237</v>
      </c>
      <c r="D94" s="35">
        <v>4065.72</v>
      </c>
      <c r="E94" s="33">
        <v>35.0</v>
      </c>
      <c r="F94" s="35">
        <f t="array" ref="F94">IF(C94 ="FOB_JP", XLOOKUP(A94,CONTAINER_COST_MONTH!$A$2:$A$13,CONTAINER_COST_MONTH!$B$2:$B$13), 285)</f>
        <v>285</v>
      </c>
      <c r="G94" s="35">
        <f t="shared" si="1"/>
        <v>8.142857143</v>
      </c>
      <c r="H94" s="38">
        <f t="array" ref="H94">XLOOKUP(COST_BUY_MONTHLY!$C94,TAX!$A$2:$A$3,TAX!$B$2:$B$3)</f>
        <v>0</v>
      </c>
      <c r="I94" s="39">
        <f t="array" ref="I94">XLOOKUP(COST_BUY_MONTHLY!$C94,TAX!$A$2:$A$3,TAX!$C$2:$C$3)</f>
        <v>0</v>
      </c>
      <c r="J94" s="39">
        <f t="array" ref="J94">XLOOKUP(COST_BUY_MONTHLY!$C94,TAX!$A$2:$A$3,TAX!$D$2:$D$3)</f>
        <v>0.1</v>
      </c>
      <c r="K94" s="35">
        <f t="shared" si="2"/>
        <v>4481.249143</v>
      </c>
    </row>
    <row r="95" ht="14.25" customHeight="1">
      <c r="A95" s="33" t="s">
        <v>257</v>
      </c>
      <c r="B95" s="33" t="s">
        <v>92</v>
      </c>
      <c r="C95" s="33" t="s">
        <v>237</v>
      </c>
      <c r="D95" s="35">
        <v>2298.9</v>
      </c>
      <c r="E95" s="33">
        <v>35.0</v>
      </c>
      <c r="F95" s="35">
        <f t="array" ref="F95">IF(C95 ="FOB_JP", XLOOKUP(A95,CONTAINER_COST_MONTH!$A$2:$A$13,CONTAINER_COST_MONTH!$B$2:$B$13), 285)</f>
        <v>285</v>
      </c>
      <c r="G95" s="35">
        <f t="shared" si="1"/>
        <v>8.142857143</v>
      </c>
      <c r="H95" s="38">
        <f t="array" ref="H95">XLOOKUP(COST_BUY_MONTHLY!$C95,TAX!$A$2:$A$3,TAX!$B$2:$B$3)</f>
        <v>0</v>
      </c>
      <c r="I95" s="39">
        <f t="array" ref="I95">XLOOKUP(COST_BUY_MONTHLY!$C95,TAX!$A$2:$A$3,TAX!$C$2:$C$3)</f>
        <v>0</v>
      </c>
      <c r="J95" s="39">
        <f t="array" ref="J95">XLOOKUP(COST_BUY_MONTHLY!$C95,TAX!$A$2:$A$3,TAX!$D$2:$D$3)</f>
        <v>0.1</v>
      </c>
      <c r="K95" s="35">
        <f t="shared" si="2"/>
        <v>2537.747143</v>
      </c>
    </row>
    <row r="96" ht="14.25" customHeight="1">
      <c r="A96" s="33" t="s">
        <v>257</v>
      </c>
      <c r="B96" s="33" t="s">
        <v>94</v>
      </c>
      <c r="C96" s="33" t="s">
        <v>236</v>
      </c>
      <c r="D96" s="35">
        <v>5824.76</v>
      </c>
      <c r="E96" s="33">
        <v>14.0</v>
      </c>
      <c r="F96" s="35">
        <f t="array" ref="F96">IF(C96 ="FOB_JP", XLOOKUP(A96,CONTAINER_COST_MONTH!$A$2:$A$13,CONTAINER_COST_MONTH!$B$2:$B$13), 285)</f>
        <v>3229</v>
      </c>
      <c r="G96" s="35">
        <f t="shared" si="1"/>
        <v>230.6428571</v>
      </c>
      <c r="H96" s="38">
        <f t="array" ref="H96">XLOOKUP(COST_BUY_MONTHLY!$C96,TAX!$A$2:$A$3,TAX!$B$2:$B$3)</f>
        <v>0.002</v>
      </c>
      <c r="I96" s="39">
        <f t="array" ref="I96">XLOOKUP(COST_BUY_MONTHLY!$C96,TAX!$A$2:$A$3,TAX!$C$2:$C$3)</f>
        <v>0.2</v>
      </c>
      <c r="J96" s="39">
        <f t="array" ref="J96">XLOOKUP(COST_BUY_MONTHLY!$C96,TAX!$A$2:$A$3,TAX!$D$2:$D$3)</f>
        <v>0.1</v>
      </c>
      <c r="K96" s="35">
        <f t="shared" si="2"/>
        <v>8009.118035</v>
      </c>
    </row>
    <row r="97" ht="14.25" customHeight="1">
      <c r="A97" s="33" t="s">
        <v>257</v>
      </c>
      <c r="B97" s="33" t="s">
        <v>96</v>
      </c>
      <c r="C97" s="33" t="s">
        <v>236</v>
      </c>
      <c r="D97" s="35">
        <v>5200.72</v>
      </c>
      <c r="E97" s="33">
        <v>35.0</v>
      </c>
      <c r="F97" s="35">
        <f t="array" ref="F97">IF(C97 ="FOB_JP", XLOOKUP(A97,CONTAINER_COST_MONTH!$A$2:$A$13,CONTAINER_COST_MONTH!$B$2:$B$13), 285)</f>
        <v>3229</v>
      </c>
      <c r="G97" s="35">
        <f t="shared" si="1"/>
        <v>92.25714286</v>
      </c>
      <c r="H97" s="38">
        <f t="array" ref="H97">XLOOKUP(COST_BUY_MONTHLY!$C97,TAX!$A$2:$A$3,TAX!$B$2:$B$3)</f>
        <v>0.002</v>
      </c>
      <c r="I97" s="39">
        <f t="array" ref="I97">XLOOKUP(COST_BUY_MONTHLY!$C97,TAX!$A$2:$A$3,TAX!$C$2:$C$3)</f>
        <v>0.2</v>
      </c>
      <c r="J97" s="39">
        <f t="array" ref="J97">XLOOKUP(COST_BUY_MONTHLY!$C97,TAX!$A$2:$A$3,TAX!$D$2:$D$3)</f>
        <v>0.1</v>
      </c>
      <c r="K97" s="35">
        <f t="shared" si="2"/>
        <v>7000.703288</v>
      </c>
    </row>
    <row r="98" ht="14.25" customHeight="1">
      <c r="A98" s="33" t="s">
        <v>257</v>
      </c>
      <c r="B98" s="33" t="s">
        <v>98</v>
      </c>
      <c r="C98" s="33" t="s">
        <v>236</v>
      </c>
      <c r="D98" s="35">
        <v>8465.36</v>
      </c>
      <c r="E98" s="33">
        <v>35.0</v>
      </c>
      <c r="F98" s="35">
        <f t="array" ref="F98">IF(C98 ="FOB_JP", XLOOKUP(A98,CONTAINER_COST_MONTH!$A$2:$A$13,CONTAINER_COST_MONTH!$B$2:$B$13), 285)</f>
        <v>3229</v>
      </c>
      <c r="G98" s="35">
        <f t="shared" si="1"/>
        <v>92.25714286</v>
      </c>
      <c r="H98" s="38">
        <f t="array" ref="H98">XLOOKUP(COST_BUY_MONTHLY!$C98,TAX!$A$2:$A$3,TAX!$B$2:$B$3)</f>
        <v>0.002</v>
      </c>
      <c r="I98" s="39">
        <f t="array" ref="I98">XLOOKUP(COST_BUY_MONTHLY!$C98,TAX!$A$2:$A$3,TAX!$C$2:$C$3)</f>
        <v>0.2</v>
      </c>
      <c r="J98" s="39">
        <f t="array" ref="J98">XLOOKUP(COST_BUY_MONTHLY!$C98,TAX!$A$2:$A$3,TAX!$D$2:$D$3)</f>
        <v>0.1</v>
      </c>
      <c r="K98" s="35">
        <f t="shared" si="2"/>
        <v>11318.64674</v>
      </c>
    </row>
    <row r="99" ht="14.25" customHeight="1">
      <c r="A99" s="33" t="s">
        <v>257</v>
      </c>
      <c r="B99" s="33" t="s">
        <v>100</v>
      </c>
      <c r="C99" s="33" t="s">
        <v>236</v>
      </c>
      <c r="D99" s="35">
        <v>2560.12</v>
      </c>
      <c r="E99" s="33">
        <v>35.0</v>
      </c>
      <c r="F99" s="35">
        <f t="array" ref="F99">IF(C99 ="FOB_JP", XLOOKUP(A99,CONTAINER_COST_MONTH!$A$2:$A$13,CONTAINER_COST_MONTH!$B$2:$B$13), 285)</f>
        <v>3229</v>
      </c>
      <c r="G99" s="35">
        <f t="shared" si="1"/>
        <v>92.25714286</v>
      </c>
      <c r="H99" s="38">
        <f t="array" ref="H99">XLOOKUP(COST_BUY_MONTHLY!$C99,TAX!$A$2:$A$3,TAX!$B$2:$B$3)</f>
        <v>0.002</v>
      </c>
      <c r="I99" s="39">
        <f t="array" ref="I99">XLOOKUP(COST_BUY_MONTHLY!$C99,TAX!$A$2:$A$3,TAX!$C$2:$C$3)</f>
        <v>0.2</v>
      </c>
      <c r="J99" s="39">
        <f t="array" ref="J99">XLOOKUP(COST_BUY_MONTHLY!$C99,TAX!$A$2:$A$3,TAX!$D$2:$D$3)</f>
        <v>0.1</v>
      </c>
      <c r="K99" s="35">
        <f t="shared" si="2"/>
        <v>3508.140104</v>
      </c>
    </row>
    <row r="100" ht="14.25" customHeight="1">
      <c r="A100" s="33" t="s">
        <v>257</v>
      </c>
      <c r="B100" s="33" t="s">
        <v>102</v>
      </c>
      <c r="C100" s="33" t="s">
        <v>237</v>
      </c>
      <c r="D100" s="35">
        <v>2395.64</v>
      </c>
      <c r="E100" s="33">
        <v>35.0</v>
      </c>
      <c r="F100" s="35">
        <f t="array" ref="F100">IF(C100 ="FOB_JP", XLOOKUP(A100,CONTAINER_COST_MONTH!$A$2:$A$13,CONTAINER_COST_MONTH!$B$2:$B$13), 285)</f>
        <v>285</v>
      </c>
      <c r="G100" s="35">
        <f t="shared" si="1"/>
        <v>8.142857143</v>
      </c>
      <c r="H100" s="38">
        <f t="array" ref="H100">XLOOKUP(COST_BUY_MONTHLY!$C100,TAX!$A$2:$A$3,TAX!$B$2:$B$3)</f>
        <v>0</v>
      </c>
      <c r="I100" s="39">
        <f t="array" ref="I100">XLOOKUP(COST_BUY_MONTHLY!$C100,TAX!$A$2:$A$3,TAX!$C$2:$C$3)</f>
        <v>0</v>
      </c>
      <c r="J100" s="39">
        <f t="array" ref="J100">XLOOKUP(COST_BUY_MONTHLY!$C100,TAX!$A$2:$A$3,TAX!$D$2:$D$3)</f>
        <v>0.1</v>
      </c>
      <c r="K100" s="35">
        <f t="shared" si="2"/>
        <v>2644.161143</v>
      </c>
    </row>
    <row r="101" ht="14.25" customHeight="1">
      <c r="A101" s="33" t="s">
        <v>257</v>
      </c>
      <c r="B101" s="33" t="s">
        <v>104</v>
      </c>
      <c r="C101" s="33" t="s">
        <v>237</v>
      </c>
      <c r="D101" s="35">
        <v>3968.98</v>
      </c>
      <c r="E101" s="33">
        <v>35.0</v>
      </c>
      <c r="F101" s="35">
        <f t="array" ref="F101">IF(C101 ="FOB_JP", XLOOKUP(A101,CONTAINER_COST_MONTH!$A$2:$A$13,CONTAINER_COST_MONTH!$B$2:$B$13), 285)</f>
        <v>285</v>
      </c>
      <c r="G101" s="35">
        <f t="shared" si="1"/>
        <v>8.142857143</v>
      </c>
      <c r="H101" s="38">
        <f t="array" ref="H101">XLOOKUP(COST_BUY_MONTHLY!$C101,TAX!$A$2:$A$3,TAX!$B$2:$B$3)</f>
        <v>0</v>
      </c>
      <c r="I101" s="39">
        <f t="array" ref="I101">XLOOKUP(COST_BUY_MONTHLY!$C101,TAX!$A$2:$A$3,TAX!$C$2:$C$3)</f>
        <v>0</v>
      </c>
      <c r="J101" s="39">
        <f t="array" ref="J101">XLOOKUP(COST_BUY_MONTHLY!$C101,TAX!$A$2:$A$3,TAX!$D$2:$D$3)</f>
        <v>0.1</v>
      </c>
      <c r="K101" s="35">
        <f t="shared" si="2"/>
        <v>4374.835143</v>
      </c>
    </row>
    <row r="102" ht="14.25" customHeight="1">
      <c r="A102" s="33" t="s">
        <v>257</v>
      </c>
      <c r="B102" s="33" t="s">
        <v>106</v>
      </c>
      <c r="C102" s="33" t="s">
        <v>236</v>
      </c>
      <c r="D102" s="35">
        <v>3818.27</v>
      </c>
      <c r="E102" s="33">
        <v>50.0</v>
      </c>
      <c r="F102" s="35">
        <f t="array" ref="F102">IF(C102 ="FOB_JP", XLOOKUP(A102,CONTAINER_COST_MONTH!$A$2:$A$13,CONTAINER_COST_MONTH!$B$2:$B$13), 285)</f>
        <v>3229</v>
      </c>
      <c r="G102" s="35">
        <f t="shared" si="1"/>
        <v>64.58</v>
      </c>
      <c r="H102" s="38">
        <f t="array" ref="H102">XLOOKUP(COST_BUY_MONTHLY!$C102,TAX!$A$2:$A$3,TAX!$B$2:$B$3)</f>
        <v>0.002</v>
      </c>
      <c r="I102" s="39">
        <f t="array" ref="I102">XLOOKUP(COST_BUY_MONTHLY!$C102,TAX!$A$2:$A$3,TAX!$C$2:$C$3)</f>
        <v>0.2</v>
      </c>
      <c r="J102" s="39">
        <f t="array" ref="J102">XLOOKUP(COST_BUY_MONTHLY!$C102,TAX!$A$2:$A$3,TAX!$D$2:$D$3)</f>
        <v>0.1</v>
      </c>
      <c r="K102" s="35">
        <f t="shared" si="2"/>
        <v>5135.612724</v>
      </c>
    </row>
    <row r="103" ht="14.25" customHeight="1">
      <c r="A103" s="33" t="s">
        <v>257</v>
      </c>
      <c r="B103" s="33" t="s">
        <v>108</v>
      </c>
      <c r="C103" s="33" t="s">
        <v>236</v>
      </c>
      <c r="D103" s="35">
        <v>1759.11</v>
      </c>
      <c r="E103" s="33">
        <v>50.0</v>
      </c>
      <c r="F103" s="35">
        <f t="array" ref="F103">IF(C103 ="FOB_JP", XLOOKUP(A103,CONTAINER_COST_MONTH!$A$2:$A$13,CONTAINER_COST_MONTH!$B$2:$B$13), 285)</f>
        <v>3229</v>
      </c>
      <c r="G103" s="35">
        <f t="shared" si="1"/>
        <v>64.58</v>
      </c>
      <c r="H103" s="38">
        <f t="array" ref="H103">XLOOKUP(COST_BUY_MONTHLY!$C103,TAX!$A$2:$A$3,TAX!$B$2:$B$3)</f>
        <v>0.002</v>
      </c>
      <c r="I103" s="39">
        <f t="array" ref="I103">XLOOKUP(COST_BUY_MONTHLY!$C103,TAX!$A$2:$A$3,TAX!$C$2:$C$3)</f>
        <v>0.2</v>
      </c>
      <c r="J103" s="39">
        <f t="array" ref="J103">XLOOKUP(COST_BUY_MONTHLY!$C103,TAX!$A$2:$A$3,TAX!$D$2:$D$3)</f>
        <v>0.1</v>
      </c>
      <c r="K103" s="35">
        <f t="shared" si="2"/>
        <v>2412.085342</v>
      </c>
    </row>
    <row r="104" ht="14.25" customHeight="1">
      <c r="A104" s="33" t="s">
        <v>257</v>
      </c>
      <c r="B104" s="33" t="s">
        <v>110</v>
      </c>
      <c r="C104" s="33" t="s">
        <v>237</v>
      </c>
      <c r="D104" s="35">
        <v>1351.63</v>
      </c>
      <c r="E104" s="33">
        <v>50.0</v>
      </c>
      <c r="F104" s="35">
        <f t="array" ref="F104">IF(C104 ="FOB_JP", XLOOKUP(A104,CONTAINER_COST_MONTH!$A$2:$A$13,CONTAINER_COST_MONTH!$B$2:$B$13), 285)</f>
        <v>285</v>
      </c>
      <c r="G104" s="35">
        <f t="shared" si="1"/>
        <v>5.7</v>
      </c>
      <c r="H104" s="38">
        <f t="array" ref="H104">XLOOKUP(COST_BUY_MONTHLY!$C104,TAX!$A$2:$A$3,TAX!$B$2:$B$3)</f>
        <v>0</v>
      </c>
      <c r="I104" s="39">
        <f t="array" ref="I104">XLOOKUP(COST_BUY_MONTHLY!$C104,TAX!$A$2:$A$3,TAX!$C$2:$C$3)</f>
        <v>0</v>
      </c>
      <c r="J104" s="39">
        <f t="array" ref="J104">XLOOKUP(COST_BUY_MONTHLY!$C104,TAX!$A$2:$A$3,TAX!$D$2:$D$3)</f>
        <v>0.1</v>
      </c>
      <c r="K104" s="35">
        <f t="shared" si="2"/>
        <v>1493.063</v>
      </c>
    </row>
    <row r="105" ht="14.25" customHeight="1">
      <c r="A105" s="33" t="s">
        <v>257</v>
      </c>
      <c r="B105" s="33" t="s">
        <v>112</v>
      </c>
      <c r="C105" s="33" t="s">
        <v>237</v>
      </c>
      <c r="D105" s="35">
        <v>1642.68</v>
      </c>
      <c r="E105" s="33">
        <v>50.0</v>
      </c>
      <c r="F105" s="35">
        <f t="array" ref="F105">IF(C105 ="FOB_JP", XLOOKUP(A105,CONTAINER_COST_MONTH!$A$2:$A$13,CONTAINER_COST_MONTH!$B$2:$B$13), 285)</f>
        <v>285</v>
      </c>
      <c r="G105" s="35">
        <f t="shared" si="1"/>
        <v>5.7</v>
      </c>
      <c r="H105" s="38">
        <f t="array" ref="H105">XLOOKUP(COST_BUY_MONTHLY!$C105,TAX!$A$2:$A$3,TAX!$B$2:$B$3)</f>
        <v>0</v>
      </c>
      <c r="I105" s="39">
        <f t="array" ref="I105">XLOOKUP(COST_BUY_MONTHLY!$C105,TAX!$A$2:$A$3,TAX!$C$2:$C$3)</f>
        <v>0</v>
      </c>
      <c r="J105" s="39">
        <f t="array" ref="J105">XLOOKUP(COST_BUY_MONTHLY!$C105,TAX!$A$2:$A$3,TAX!$D$2:$D$3)</f>
        <v>0.1</v>
      </c>
      <c r="K105" s="35">
        <f t="shared" si="2"/>
        <v>1813.218</v>
      </c>
    </row>
    <row r="106" ht="14.25" customHeight="1">
      <c r="A106" s="33" t="s">
        <v>257</v>
      </c>
      <c r="B106" s="33" t="s">
        <v>114</v>
      </c>
      <c r="C106" s="33" t="s">
        <v>236</v>
      </c>
      <c r="D106" s="35">
        <v>4859.01</v>
      </c>
      <c r="E106" s="33">
        <v>20.0</v>
      </c>
      <c r="F106" s="35">
        <f t="array" ref="F106">IF(C106 ="FOB_JP", XLOOKUP(A106,CONTAINER_COST_MONTH!$A$2:$A$13,CONTAINER_COST_MONTH!$B$2:$B$13), 285)</f>
        <v>3229</v>
      </c>
      <c r="G106" s="35">
        <f t="shared" si="1"/>
        <v>161.45</v>
      </c>
      <c r="H106" s="38">
        <f t="array" ref="H106">XLOOKUP(COST_BUY_MONTHLY!$C106,TAX!$A$2:$A$3,TAX!$B$2:$B$3)</f>
        <v>0.002</v>
      </c>
      <c r="I106" s="39">
        <f t="array" ref="I106">XLOOKUP(COST_BUY_MONTHLY!$C106,TAX!$A$2:$A$3,TAX!$C$2:$C$3)</f>
        <v>0.2</v>
      </c>
      <c r="J106" s="39">
        <f t="array" ref="J106">XLOOKUP(COST_BUY_MONTHLY!$C106,TAX!$A$2:$A$3,TAX!$D$2:$D$3)</f>
        <v>0.1</v>
      </c>
      <c r="K106" s="35">
        <f t="shared" si="2"/>
        <v>6640.261214</v>
      </c>
    </row>
    <row r="107" ht="14.25" customHeight="1">
      <c r="A107" s="33" t="s">
        <v>257</v>
      </c>
      <c r="B107" s="33" t="s">
        <v>116</v>
      </c>
      <c r="C107" s="33" t="s">
        <v>236</v>
      </c>
      <c r="D107" s="35">
        <v>718.36</v>
      </c>
      <c r="E107" s="33">
        <v>50.0</v>
      </c>
      <c r="F107" s="35">
        <f t="array" ref="F107">IF(C107 ="FOB_JP", XLOOKUP(A107,CONTAINER_COST_MONTH!$A$2:$A$13,CONTAINER_COST_MONTH!$B$2:$B$13), 285)</f>
        <v>3229</v>
      </c>
      <c r="G107" s="35">
        <f t="shared" si="1"/>
        <v>64.58</v>
      </c>
      <c r="H107" s="38">
        <f t="array" ref="H107">XLOOKUP(COST_BUY_MONTHLY!$C107,TAX!$A$2:$A$3,TAX!$B$2:$B$3)</f>
        <v>0.002</v>
      </c>
      <c r="I107" s="39">
        <f t="array" ref="I107">XLOOKUP(COST_BUY_MONTHLY!$C107,TAX!$A$2:$A$3,TAX!$C$2:$C$3)</f>
        <v>0.2</v>
      </c>
      <c r="J107" s="39">
        <f t="array" ref="J107">XLOOKUP(COST_BUY_MONTHLY!$C107,TAX!$A$2:$A$3,TAX!$D$2:$D$3)</f>
        <v>0.1</v>
      </c>
      <c r="K107" s="35">
        <f t="shared" si="2"/>
        <v>1035.547762</v>
      </c>
    </row>
    <row r="108" ht="14.25" customHeight="1">
      <c r="A108" s="33" t="s">
        <v>257</v>
      </c>
      <c r="B108" s="33" t="s">
        <v>118</v>
      </c>
      <c r="C108" s="33" t="s">
        <v>236</v>
      </c>
      <c r="D108" s="35">
        <v>2169.04</v>
      </c>
      <c r="E108" s="33">
        <v>50.0</v>
      </c>
      <c r="F108" s="35">
        <f t="array" ref="F108">IF(C108 ="FOB_JP", XLOOKUP(A108,CONTAINER_COST_MONTH!$A$2:$A$13,CONTAINER_COST_MONTH!$B$2:$B$13), 285)</f>
        <v>3229</v>
      </c>
      <c r="G108" s="35">
        <f t="shared" si="1"/>
        <v>64.58</v>
      </c>
      <c r="H108" s="38">
        <f t="array" ref="H108">XLOOKUP(COST_BUY_MONTHLY!$C108,TAX!$A$2:$A$3,TAX!$B$2:$B$3)</f>
        <v>0.002</v>
      </c>
      <c r="I108" s="39">
        <f t="array" ref="I108">XLOOKUP(COST_BUY_MONTHLY!$C108,TAX!$A$2:$A$3,TAX!$C$2:$C$3)</f>
        <v>0.2</v>
      </c>
      <c r="J108" s="39">
        <f t="array" ref="J108">XLOOKUP(COST_BUY_MONTHLY!$C108,TAX!$A$2:$A$3,TAX!$D$2:$D$3)</f>
        <v>0.1</v>
      </c>
      <c r="K108" s="35">
        <f t="shared" si="2"/>
        <v>2954.275157</v>
      </c>
    </row>
    <row r="109" ht="14.25" customHeight="1">
      <c r="A109" s="33" t="s">
        <v>257</v>
      </c>
      <c r="B109" s="33" t="s">
        <v>120</v>
      </c>
      <c r="C109" s="33" t="s">
        <v>236</v>
      </c>
      <c r="D109" s="35">
        <v>3408.33</v>
      </c>
      <c r="E109" s="33">
        <v>50.0</v>
      </c>
      <c r="F109" s="35">
        <f t="array" ref="F109">IF(C109 ="FOB_JP", XLOOKUP(A109,CONTAINER_COST_MONTH!$A$2:$A$13,CONTAINER_COST_MONTH!$B$2:$B$13), 285)</f>
        <v>3229</v>
      </c>
      <c r="G109" s="35">
        <f t="shared" si="1"/>
        <v>64.58</v>
      </c>
      <c r="H109" s="38">
        <f t="array" ref="H109">XLOOKUP(COST_BUY_MONTHLY!$C109,TAX!$A$2:$A$3,TAX!$B$2:$B$3)</f>
        <v>0.002</v>
      </c>
      <c r="I109" s="39">
        <f t="array" ref="I109">XLOOKUP(COST_BUY_MONTHLY!$C109,TAX!$A$2:$A$3,TAX!$C$2:$C$3)</f>
        <v>0.2</v>
      </c>
      <c r="J109" s="39">
        <f t="array" ref="J109">XLOOKUP(COST_BUY_MONTHLY!$C109,TAX!$A$2:$A$3,TAX!$D$2:$D$3)</f>
        <v>0.1</v>
      </c>
      <c r="K109" s="35">
        <f t="shared" si="2"/>
        <v>4593.409682</v>
      </c>
    </row>
    <row r="110" ht="14.25" customHeight="1">
      <c r="A110" s="33" t="s">
        <v>257</v>
      </c>
      <c r="B110" s="33" t="s">
        <v>122</v>
      </c>
      <c r="C110" s="33" t="s">
        <v>237</v>
      </c>
      <c r="D110" s="35">
        <v>647.07</v>
      </c>
      <c r="E110" s="33">
        <v>50.0</v>
      </c>
      <c r="F110" s="35">
        <f t="array" ref="F110">IF(C110 ="FOB_JP", XLOOKUP(A110,CONTAINER_COST_MONTH!$A$2:$A$13,CONTAINER_COST_MONTH!$B$2:$B$13), 285)</f>
        <v>285</v>
      </c>
      <c r="G110" s="35">
        <f t="shared" si="1"/>
        <v>5.7</v>
      </c>
      <c r="H110" s="38">
        <f t="array" ref="H110">XLOOKUP(COST_BUY_MONTHLY!$C110,TAX!$A$2:$A$3,TAX!$B$2:$B$3)</f>
        <v>0</v>
      </c>
      <c r="I110" s="39">
        <f t="array" ref="I110">XLOOKUP(COST_BUY_MONTHLY!$C110,TAX!$A$2:$A$3,TAX!$C$2:$C$3)</f>
        <v>0</v>
      </c>
      <c r="J110" s="39">
        <f t="array" ref="J110">XLOOKUP(COST_BUY_MONTHLY!$C110,TAX!$A$2:$A$3,TAX!$D$2:$D$3)</f>
        <v>0.1</v>
      </c>
      <c r="K110" s="35">
        <f t="shared" si="2"/>
        <v>718.047</v>
      </c>
    </row>
    <row r="111" ht="14.25" customHeight="1">
      <c r="A111" s="33" t="s">
        <v>257</v>
      </c>
      <c r="B111" s="33" t="s">
        <v>124</v>
      </c>
      <c r="C111" s="33" t="s">
        <v>237</v>
      </c>
      <c r="D111" s="35">
        <v>2347.24</v>
      </c>
      <c r="E111" s="33">
        <v>50.0</v>
      </c>
      <c r="F111" s="35">
        <f t="array" ref="F111">IF(C111 ="FOB_JP", XLOOKUP(A111,CONTAINER_COST_MONTH!$A$2:$A$13,CONTAINER_COST_MONTH!$B$2:$B$13), 285)</f>
        <v>285</v>
      </c>
      <c r="G111" s="35">
        <f t="shared" si="1"/>
        <v>5.7</v>
      </c>
      <c r="H111" s="38">
        <f t="array" ref="H111">XLOOKUP(COST_BUY_MONTHLY!$C111,TAX!$A$2:$A$3,TAX!$B$2:$B$3)</f>
        <v>0</v>
      </c>
      <c r="I111" s="39">
        <f t="array" ref="I111">XLOOKUP(COST_BUY_MONTHLY!$C111,TAX!$A$2:$A$3,TAX!$C$2:$C$3)</f>
        <v>0</v>
      </c>
      <c r="J111" s="39">
        <f t="array" ref="J111">XLOOKUP(COST_BUY_MONTHLY!$C111,TAX!$A$2:$A$3,TAX!$D$2:$D$3)</f>
        <v>0.1</v>
      </c>
      <c r="K111" s="35">
        <f t="shared" si="2"/>
        <v>2588.234</v>
      </c>
    </row>
    <row r="112" ht="14.25" customHeight="1">
      <c r="A112" s="33" t="s">
        <v>257</v>
      </c>
      <c r="B112" s="33" t="s">
        <v>126</v>
      </c>
      <c r="C112" s="33" t="s">
        <v>236</v>
      </c>
      <c r="D112" s="35">
        <v>3638.25</v>
      </c>
      <c r="E112" s="33">
        <v>35.0</v>
      </c>
      <c r="F112" s="35">
        <f t="array" ref="F112">IF(C112 ="FOB_JP", XLOOKUP(A112,CONTAINER_COST_MONTH!$A$2:$A$13,CONTAINER_COST_MONTH!$B$2:$B$13), 285)</f>
        <v>3229</v>
      </c>
      <c r="G112" s="35">
        <f t="shared" si="1"/>
        <v>92.25714286</v>
      </c>
      <c r="H112" s="38">
        <f t="array" ref="H112">XLOOKUP(COST_BUY_MONTHLY!$C112,TAX!$A$2:$A$3,TAX!$B$2:$B$3)</f>
        <v>0.002</v>
      </c>
      <c r="I112" s="39">
        <f t="array" ref="I112">XLOOKUP(COST_BUY_MONTHLY!$C112,TAX!$A$2:$A$3,TAX!$C$2:$C$3)</f>
        <v>0.2</v>
      </c>
      <c r="J112" s="39">
        <f t="array" ref="J112">XLOOKUP(COST_BUY_MONTHLY!$C112,TAX!$A$2:$A$3,TAX!$D$2:$D$3)</f>
        <v>0.1</v>
      </c>
      <c r="K112" s="35">
        <f t="shared" si="2"/>
        <v>4934.117967</v>
      </c>
    </row>
    <row r="113" ht="14.25" customHeight="1">
      <c r="A113" s="33" t="s">
        <v>257</v>
      </c>
      <c r="B113" s="33" t="s">
        <v>128</v>
      </c>
      <c r="C113" s="33" t="s">
        <v>236</v>
      </c>
      <c r="D113" s="35">
        <v>5005.73</v>
      </c>
      <c r="E113" s="33">
        <v>35.0</v>
      </c>
      <c r="F113" s="35">
        <f t="array" ref="F113">IF(C113 ="FOB_JP", XLOOKUP(A113,CONTAINER_COST_MONTH!$A$2:$A$13,CONTAINER_COST_MONTH!$B$2:$B$13), 285)</f>
        <v>3229</v>
      </c>
      <c r="G113" s="35">
        <f t="shared" si="1"/>
        <v>92.25714286</v>
      </c>
      <c r="H113" s="38">
        <f t="array" ref="H113">XLOOKUP(COST_BUY_MONTHLY!$C113,TAX!$A$2:$A$3,TAX!$B$2:$B$3)</f>
        <v>0.002</v>
      </c>
      <c r="I113" s="39">
        <f t="array" ref="I113">XLOOKUP(COST_BUY_MONTHLY!$C113,TAX!$A$2:$A$3,TAX!$C$2:$C$3)</f>
        <v>0.2</v>
      </c>
      <c r="J113" s="39">
        <f t="array" ref="J113">XLOOKUP(COST_BUY_MONTHLY!$C113,TAX!$A$2:$A$3,TAX!$D$2:$D$3)</f>
        <v>0.1</v>
      </c>
      <c r="K113" s="35">
        <f t="shared" si="2"/>
        <v>6742.801715</v>
      </c>
    </row>
    <row r="114" ht="14.25" customHeight="1">
      <c r="A114" s="33" t="s">
        <v>257</v>
      </c>
      <c r="B114" s="33" t="s">
        <v>130</v>
      </c>
      <c r="C114" s="33" t="s">
        <v>237</v>
      </c>
      <c r="D114" s="35">
        <v>3760.36</v>
      </c>
      <c r="E114" s="33">
        <v>35.0</v>
      </c>
      <c r="F114" s="35">
        <f t="array" ref="F114">IF(C114 ="FOB_JP", XLOOKUP(A114,CONTAINER_COST_MONTH!$A$2:$A$13,CONTAINER_COST_MONTH!$B$2:$B$13), 285)</f>
        <v>285</v>
      </c>
      <c r="G114" s="35">
        <f t="shared" si="1"/>
        <v>8.142857143</v>
      </c>
      <c r="H114" s="38">
        <f t="array" ref="H114">XLOOKUP(COST_BUY_MONTHLY!$C114,TAX!$A$2:$A$3,TAX!$B$2:$B$3)</f>
        <v>0</v>
      </c>
      <c r="I114" s="39">
        <f t="array" ref="I114">XLOOKUP(COST_BUY_MONTHLY!$C114,TAX!$A$2:$A$3,TAX!$C$2:$C$3)</f>
        <v>0</v>
      </c>
      <c r="J114" s="39">
        <f t="array" ref="J114">XLOOKUP(COST_BUY_MONTHLY!$C114,TAX!$A$2:$A$3,TAX!$D$2:$D$3)</f>
        <v>0.1</v>
      </c>
      <c r="K114" s="35">
        <f t="shared" si="2"/>
        <v>4145.353143</v>
      </c>
    </row>
    <row r="115" ht="14.25" customHeight="1">
      <c r="A115" s="33" t="s">
        <v>257</v>
      </c>
      <c r="B115" s="33" t="s">
        <v>132</v>
      </c>
      <c r="C115" s="33" t="s">
        <v>237</v>
      </c>
      <c r="D115" s="35">
        <v>1229.5</v>
      </c>
      <c r="E115" s="33">
        <v>35.0</v>
      </c>
      <c r="F115" s="35">
        <f t="array" ref="F115">IF(C115 ="FOB_JP", XLOOKUP(A115,CONTAINER_COST_MONTH!$A$2:$A$13,CONTAINER_COST_MONTH!$B$2:$B$13), 285)</f>
        <v>285</v>
      </c>
      <c r="G115" s="35">
        <f t="shared" si="1"/>
        <v>8.142857143</v>
      </c>
      <c r="H115" s="38">
        <f t="array" ref="H115">XLOOKUP(COST_BUY_MONTHLY!$C115,TAX!$A$2:$A$3,TAX!$B$2:$B$3)</f>
        <v>0</v>
      </c>
      <c r="I115" s="39">
        <f t="array" ref="I115">XLOOKUP(COST_BUY_MONTHLY!$C115,TAX!$A$2:$A$3,TAX!$C$2:$C$3)</f>
        <v>0</v>
      </c>
      <c r="J115" s="39">
        <f t="array" ref="J115">XLOOKUP(COST_BUY_MONTHLY!$C115,TAX!$A$2:$A$3,TAX!$D$2:$D$3)</f>
        <v>0.1</v>
      </c>
      <c r="K115" s="35">
        <f t="shared" si="2"/>
        <v>1361.407143</v>
      </c>
    </row>
    <row r="116" ht="14.25" customHeight="1">
      <c r="A116" s="33" t="s">
        <v>257</v>
      </c>
      <c r="B116" s="33" t="s">
        <v>134</v>
      </c>
      <c r="C116" s="33" t="s">
        <v>236</v>
      </c>
      <c r="D116" s="35">
        <v>4169.85</v>
      </c>
      <c r="E116" s="33">
        <v>14.0</v>
      </c>
      <c r="F116" s="35">
        <f t="array" ref="F116">IF(C116 ="FOB_JP", XLOOKUP(A116,CONTAINER_COST_MONTH!$A$2:$A$13,CONTAINER_COST_MONTH!$B$2:$B$13), 285)</f>
        <v>3229</v>
      </c>
      <c r="G116" s="35">
        <f t="shared" si="1"/>
        <v>230.6428571</v>
      </c>
      <c r="H116" s="38">
        <f t="array" ref="H116">XLOOKUP(COST_BUY_MONTHLY!$C116,TAX!$A$2:$A$3,TAX!$B$2:$B$3)</f>
        <v>0.002</v>
      </c>
      <c r="I116" s="39">
        <f t="array" ref="I116">XLOOKUP(COST_BUY_MONTHLY!$C116,TAX!$A$2:$A$3,TAX!$C$2:$C$3)</f>
        <v>0.2</v>
      </c>
      <c r="J116" s="39">
        <f t="array" ref="J116">XLOOKUP(COST_BUY_MONTHLY!$C116,TAX!$A$2:$A$3,TAX!$D$2:$D$3)</f>
        <v>0.1</v>
      </c>
      <c r="K116" s="35">
        <f t="shared" si="2"/>
        <v>5820.267873</v>
      </c>
    </row>
    <row r="117" ht="14.25" customHeight="1">
      <c r="A117" s="33" t="s">
        <v>257</v>
      </c>
      <c r="B117" s="33" t="s">
        <v>136</v>
      </c>
      <c r="C117" s="33" t="s">
        <v>236</v>
      </c>
      <c r="D117" s="35">
        <v>4474.12</v>
      </c>
      <c r="E117" s="33">
        <v>35.0</v>
      </c>
      <c r="F117" s="35">
        <f t="array" ref="F117">IF(C117 ="FOB_JP", XLOOKUP(A117,CONTAINER_COST_MONTH!$A$2:$A$13,CONTAINER_COST_MONTH!$B$2:$B$13), 285)</f>
        <v>3229</v>
      </c>
      <c r="G117" s="35">
        <f t="shared" si="1"/>
        <v>92.25714286</v>
      </c>
      <c r="H117" s="38">
        <f t="array" ref="H117">XLOOKUP(COST_BUY_MONTHLY!$C117,TAX!$A$2:$A$3,TAX!$B$2:$B$3)</f>
        <v>0.002</v>
      </c>
      <c r="I117" s="39">
        <f t="array" ref="I117">XLOOKUP(COST_BUY_MONTHLY!$C117,TAX!$A$2:$A$3,TAX!$C$2:$C$3)</f>
        <v>0.2</v>
      </c>
      <c r="J117" s="39">
        <f t="array" ref="J117">XLOOKUP(COST_BUY_MONTHLY!$C117,TAX!$A$2:$A$3,TAX!$D$2:$D$3)</f>
        <v>0.1</v>
      </c>
      <c r="K117" s="35">
        <f t="shared" si="2"/>
        <v>6039.673064</v>
      </c>
    </row>
    <row r="118" ht="14.25" customHeight="1">
      <c r="A118" s="33" t="s">
        <v>257</v>
      </c>
      <c r="B118" s="33" t="s">
        <v>138</v>
      </c>
      <c r="C118" s="33" t="s">
        <v>236</v>
      </c>
      <c r="D118" s="35">
        <v>1857.59</v>
      </c>
      <c r="E118" s="33">
        <v>35.0</v>
      </c>
      <c r="F118" s="35">
        <f t="array" ref="F118">IF(C118 ="FOB_JP", XLOOKUP(A118,CONTAINER_COST_MONTH!$A$2:$A$13,CONTAINER_COST_MONTH!$B$2:$B$13), 285)</f>
        <v>3229</v>
      </c>
      <c r="G118" s="35">
        <f t="shared" si="1"/>
        <v>92.25714286</v>
      </c>
      <c r="H118" s="38">
        <f t="array" ref="H118">XLOOKUP(COST_BUY_MONTHLY!$C118,TAX!$A$2:$A$3,TAX!$B$2:$B$3)</f>
        <v>0.002</v>
      </c>
      <c r="I118" s="39">
        <f t="array" ref="I118">XLOOKUP(COST_BUY_MONTHLY!$C118,TAX!$A$2:$A$3,TAX!$C$2:$C$3)</f>
        <v>0.2</v>
      </c>
      <c r="J118" s="39">
        <f t="array" ref="J118">XLOOKUP(COST_BUY_MONTHLY!$C118,TAX!$A$2:$A$3,TAX!$D$2:$D$3)</f>
        <v>0.1</v>
      </c>
      <c r="K118" s="35">
        <f t="shared" si="2"/>
        <v>2578.945825</v>
      </c>
    </row>
    <row r="119" ht="14.25" customHeight="1">
      <c r="A119" s="33" t="s">
        <v>257</v>
      </c>
      <c r="B119" s="33" t="s">
        <v>140</v>
      </c>
      <c r="C119" s="33" t="s">
        <v>236</v>
      </c>
      <c r="D119" s="35">
        <v>6786.38</v>
      </c>
      <c r="E119" s="33">
        <v>35.0</v>
      </c>
      <c r="F119" s="35">
        <f t="array" ref="F119">IF(C119 ="FOB_JP", XLOOKUP(A119,CONTAINER_COST_MONTH!$A$2:$A$13,CONTAINER_COST_MONTH!$B$2:$B$13), 285)</f>
        <v>3229</v>
      </c>
      <c r="G119" s="35">
        <f t="shared" si="1"/>
        <v>92.25714286</v>
      </c>
      <c r="H119" s="38">
        <f t="array" ref="H119">XLOOKUP(COST_BUY_MONTHLY!$C119,TAX!$A$2:$A$3,TAX!$B$2:$B$3)</f>
        <v>0.002</v>
      </c>
      <c r="I119" s="39">
        <f t="array" ref="I119">XLOOKUP(COST_BUY_MONTHLY!$C119,TAX!$A$2:$A$3,TAX!$C$2:$C$3)</f>
        <v>0.2</v>
      </c>
      <c r="J119" s="39">
        <f t="array" ref="J119">XLOOKUP(COST_BUY_MONTHLY!$C119,TAX!$A$2:$A$3,TAX!$D$2:$D$3)</f>
        <v>0.1</v>
      </c>
      <c r="K119" s="35">
        <f t="shared" si="2"/>
        <v>9097.960631</v>
      </c>
    </row>
    <row r="120" ht="14.25" customHeight="1">
      <c r="A120" s="33" t="s">
        <v>257</v>
      </c>
      <c r="B120" s="33" t="s">
        <v>142</v>
      </c>
      <c r="C120" s="33" t="s">
        <v>237</v>
      </c>
      <c r="D120" s="35">
        <v>2264.4</v>
      </c>
      <c r="E120" s="33">
        <v>35.0</v>
      </c>
      <c r="F120" s="35">
        <f t="array" ref="F120">IF(C120 ="FOB_JP", XLOOKUP(A120,CONTAINER_COST_MONTH!$A$2:$A$13,CONTAINER_COST_MONTH!$B$2:$B$13), 285)</f>
        <v>285</v>
      </c>
      <c r="G120" s="35">
        <f t="shared" si="1"/>
        <v>8.142857143</v>
      </c>
      <c r="H120" s="38">
        <f t="array" ref="H120">XLOOKUP(COST_BUY_MONTHLY!$C120,TAX!$A$2:$A$3,TAX!$B$2:$B$3)</f>
        <v>0</v>
      </c>
      <c r="I120" s="39">
        <f t="array" ref="I120">XLOOKUP(COST_BUY_MONTHLY!$C120,TAX!$A$2:$A$3,TAX!$C$2:$C$3)</f>
        <v>0</v>
      </c>
      <c r="J120" s="39">
        <f t="array" ref="J120">XLOOKUP(COST_BUY_MONTHLY!$C120,TAX!$A$2:$A$3,TAX!$D$2:$D$3)</f>
        <v>0.1</v>
      </c>
      <c r="K120" s="35">
        <f t="shared" si="2"/>
        <v>2499.797143</v>
      </c>
    </row>
    <row r="121" ht="14.25" customHeight="1">
      <c r="A121" s="33" t="s">
        <v>257</v>
      </c>
      <c r="B121" s="33" t="s">
        <v>144</v>
      </c>
      <c r="C121" s="33" t="s">
        <v>237</v>
      </c>
      <c r="D121" s="35">
        <v>2725.46</v>
      </c>
      <c r="E121" s="33">
        <v>35.0</v>
      </c>
      <c r="F121" s="35">
        <f t="array" ref="F121">IF(C121 ="FOB_JP", XLOOKUP(A121,CONTAINER_COST_MONTH!$A$2:$A$13,CONTAINER_COST_MONTH!$B$2:$B$13), 285)</f>
        <v>285</v>
      </c>
      <c r="G121" s="35">
        <f t="shared" si="1"/>
        <v>8.142857143</v>
      </c>
      <c r="H121" s="38">
        <f t="array" ref="H121">XLOOKUP(COST_BUY_MONTHLY!$C121,TAX!$A$2:$A$3,TAX!$B$2:$B$3)</f>
        <v>0</v>
      </c>
      <c r="I121" s="39">
        <f t="array" ref="I121">XLOOKUP(COST_BUY_MONTHLY!$C121,TAX!$A$2:$A$3,TAX!$C$2:$C$3)</f>
        <v>0</v>
      </c>
      <c r="J121" s="39">
        <f t="array" ref="J121">XLOOKUP(COST_BUY_MONTHLY!$C121,TAX!$A$2:$A$3,TAX!$D$2:$D$3)</f>
        <v>0.1</v>
      </c>
      <c r="K121" s="35">
        <f t="shared" si="2"/>
        <v>3006.963143</v>
      </c>
    </row>
    <row r="122" ht="14.25" customHeight="1">
      <c r="A122" s="33" t="s">
        <v>258</v>
      </c>
      <c r="B122" s="33" t="s">
        <v>11</v>
      </c>
      <c r="C122" s="33" t="s">
        <v>236</v>
      </c>
      <c r="D122" s="35">
        <v>4048.09</v>
      </c>
      <c r="E122" s="33">
        <v>10.0</v>
      </c>
      <c r="F122" s="35">
        <f t="array" ref="F122">IF(C122 ="FOB_JP", XLOOKUP(A122,CONTAINER_COST_MONTH!$A$2:$A$13,CONTAINER_COST_MONTH!$B$2:$B$13), 285)</f>
        <v>3220</v>
      </c>
      <c r="G122" s="35">
        <f t="shared" si="1"/>
        <v>322</v>
      </c>
      <c r="H122" s="38">
        <f t="array" ref="H122">XLOOKUP(COST_BUY_MONTHLY!$C122,TAX!$A$2:$A$3,TAX!$B$2:$B$3)</f>
        <v>0.002</v>
      </c>
      <c r="I122" s="39">
        <f t="array" ref="I122">XLOOKUP(COST_BUY_MONTHLY!$C122,TAX!$A$2:$A$3,TAX!$C$2:$C$3)</f>
        <v>0.2</v>
      </c>
      <c r="J122" s="39">
        <f t="array" ref="J122">XLOOKUP(COST_BUY_MONTHLY!$C122,TAX!$A$2:$A$3,TAX!$D$2:$D$3)</f>
        <v>0.1</v>
      </c>
      <c r="K122" s="35">
        <f t="shared" si="2"/>
        <v>5780.055838</v>
      </c>
    </row>
    <row r="123" ht="14.25" customHeight="1">
      <c r="A123" s="33" t="s">
        <v>258</v>
      </c>
      <c r="B123" s="33" t="s">
        <v>18</v>
      </c>
      <c r="C123" s="33" t="s">
        <v>237</v>
      </c>
      <c r="D123" s="35">
        <v>2173.3</v>
      </c>
      <c r="E123" s="33">
        <v>40.0</v>
      </c>
      <c r="F123" s="35">
        <f t="array" ref="F123">IF(C123 ="FOB_JP", XLOOKUP(A123,CONTAINER_COST_MONTH!$A$2:$A$13,CONTAINER_COST_MONTH!$B$2:$B$13), 285)</f>
        <v>285</v>
      </c>
      <c r="G123" s="35">
        <f t="shared" si="1"/>
        <v>7.125</v>
      </c>
      <c r="H123" s="38">
        <f t="array" ref="H123">XLOOKUP(COST_BUY_MONTHLY!$C123,TAX!$A$2:$A$3,TAX!$B$2:$B$3)</f>
        <v>0</v>
      </c>
      <c r="I123" s="39">
        <f t="array" ref="I123">XLOOKUP(COST_BUY_MONTHLY!$C123,TAX!$A$2:$A$3,TAX!$C$2:$C$3)</f>
        <v>0</v>
      </c>
      <c r="J123" s="39">
        <f t="array" ref="J123">XLOOKUP(COST_BUY_MONTHLY!$C123,TAX!$A$2:$A$3,TAX!$D$2:$D$3)</f>
        <v>0.1</v>
      </c>
      <c r="K123" s="35">
        <f t="shared" si="2"/>
        <v>2398.4675</v>
      </c>
    </row>
    <row r="124" ht="14.25" customHeight="1">
      <c r="A124" s="33" t="s">
        <v>258</v>
      </c>
      <c r="B124" s="33" t="s">
        <v>22</v>
      </c>
      <c r="C124" s="33" t="s">
        <v>236</v>
      </c>
      <c r="D124" s="35">
        <v>4048.09</v>
      </c>
      <c r="E124" s="33">
        <v>20.0</v>
      </c>
      <c r="F124" s="35">
        <f t="array" ref="F124">IF(C124 ="FOB_JP", XLOOKUP(A124,CONTAINER_COST_MONTH!$A$2:$A$13,CONTAINER_COST_MONTH!$B$2:$B$13), 285)</f>
        <v>3220</v>
      </c>
      <c r="G124" s="35">
        <f t="shared" si="1"/>
        <v>161</v>
      </c>
      <c r="H124" s="38">
        <f t="array" ref="H124">XLOOKUP(COST_BUY_MONTHLY!$C124,TAX!$A$2:$A$3,TAX!$B$2:$B$3)</f>
        <v>0.002</v>
      </c>
      <c r="I124" s="39">
        <f t="array" ref="I124">XLOOKUP(COST_BUY_MONTHLY!$C124,TAX!$A$2:$A$3,TAX!$C$2:$C$3)</f>
        <v>0.2</v>
      </c>
      <c r="J124" s="39">
        <f t="array" ref="J124">XLOOKUP(COST_BUY_MONTHLY!$C124,TAX!$A$2:$A$3,TAX!$D$2:$D$3)</f>
        <v>0.1</v>
      </c>
      <c r="K124" s="35">
        <f t="shared" si="2"/>
        <v>5567.110798</v>
      </c>
    </row>
    <row r="125" ht="14.25" customHeight="1">
      <c r="A125" s="33" t="s">
        <v>258</v>
      </c>
      <c r="B125" s="33" t="s">
        <v>24</v>
      </c>
      <c r="C125" s="33" t="s">
        <v>236</v>
      </c>
      <c r="D125" s="35">
        <v>4048.09</v>
      </c>
      <c r="E125" s="33">
        <v>15.0</v>
      </c>
      <c r="F125" s="35">
        <f t="array" ref="F125">IF(C125 ="FOB_JP", XLOOKUP(A125,CONTAINER_COST_MONTH!$A$2:$A$13,CONTAINER_COST_MONTH!$B$2:$B$13), 285)</f>
        <v>3220</v>
      </c>
      <c r="G125" s="35">
        <f t="shared" si="1"/>
        <v>214.6666667</v>
      </c>
      <c r="H125" s="38">
        <f t="array" ref="H125">XLOOKUP(COST_BUY_MONTHLY!$C125,TAX!$A$2:$A$3,TAX!$B$2:$B$3)</f>
        <v>0.002</v>
      </c>
      <c r="I125" s="39">
        <f t="array" ref="I125">XLOOKUP(COST_BUY_MONTHLY!$C125,TAX!$A$2:$A$3,TAX!$C$2:$C$3)</f>
        <v>0.2</v>
      </c>
      <c r="J125" s="39">
        <f t="array" ref="J125">XLOOKUP(COST_BUY_MONTHLY!$C125,TAX!$A$2:$A$3,TAX!$D$2:$D$3)</f>
        <v>0.1</v>
      </c>
      <c r="K125" s="35">
        <f t="shared" si="2"/>
        <v>5638.092478</v>
      </c>
    </row>
    <row r="126" ht="14.25" customHeight="1">
      <c r="A126" s="33" t="s">
        <v>258</v>
      </c>
      <c r="B126" s="33" t="s">
        <v>26</v>
      </c>
      <c r="C126" s="33" t="s">
        <v>237</v>
      </c>
      <c r="D126" s="35">
        <v>2173.3</v>
      </c>
      <c r="E126" s="33">
        <v>120.0</v>
      </c>
      <c r="F126" s="35">
        <f t="array" ref="F126">IF(C126 ="FOB_JP", XLOOKUP(A126,CONTAINER_COST_MONTH!$A$2:$A$13,CONTAINER_COST_MONTH!$B$2:$B$13), 285)</f>
        <v>285</v>
      </c>
      <c r="G126" s="35">
        <f t="shared" si="1"/>
        <v>2.375</v>
      </c>
      <c r="H126" s="38">
        <f t="array" ref="H126">XLOOKUP(COST_BUY_MONTHLY!$C126,TAX!$A$2:$A$3,TAX!$B$2:$B$3)</f>
        <v>0</v>
      </c>
      <c r="I126" s="39">
        <f t="array" ref="I126">XLOOKUP(COST_BUY_MONTHLY!$C126,TAX!$A$2:$A$3,TAX!$C$2:$C$3)</f>
        <v>0</v>
      </c>
      <c r="J126" s="39">
        <f t="array" ref="J126">XLOOKUP(COST_BUY_MONTHLY!$C126,TAX!$A$2:$A$3,TAX!$D$2:$D$3)</f>
        <v>0.1</v>
      </c>
      <c r="K126" s="35">
        <f t="shared" si="2"/>
        <v>2393.2425</v>
      </c>
    </row>
    <row r="127" ht="14.25" customHeight="1">
      <c r="A127" s="33" t="s">
        <v>258</v>
      </c>
      <c r="B127" s="33" t="s">
        <v>30</v>
      </c>
      <c r="C127" s="33" t="s">
        <v>236</v>
      </c>
      <c r="D127" s="35">
        <v>11025.48</v>
      </c>
      <c r="E127" s="33">
        <v>7.0</v>
      </c>
      <c r="F127" s="35">
        <f t="array" ref="F127">IF(C127 ="FOB_JP", XLOOKUP(A127,CONTAINER_COST_MONTH!$A$2:$A$13,CONTAINER_COST_MONTH!$B$2:$B$13), 285)</f>
        <v>3220</v>
      </c>
      <c r="G127" s="35">
        <f t="shared" si="1"/>
        <v>460</v>
      </c>
      <c r="H127" s="38">
        <f t="array" ref="H127">XLOOKUP(COST_BUY_MONTHLY!$C127,TAX!$A$2:$A$3,TAX!$B$2:$B$3)</f>
        <v>0.002</v>
      </c>
      <c r="I127" s="39">
        <f t="array" ref="I127">XLOOKUP(COST_BUY_MONTHLY!$C127,TAX!$A$2:$A$3,TAX!$C$2:$C$3)</f>
        <v>0.2</v>
      </c>
      <c r="J127" s="39">
        <f t="array" ref="J127">XLOOKUP(COST_BUY_MONTHLY!$C127,TAX!$A$2:$A$3,TAX!$D$2:$D$3)</f>
        <v>0.1</v>
      </c>
      <c r="K127" s="35">
        <f t="shared" si="2"/>
        <v>15191.15527</v>
      </c>
    </row>
    <row r="128" ht="14.25" customHeight="1">
      <c r="A128" s="33" t="s">
        <v>258</v>
      </c>
      <c r="B128" s="33" t="s">
        <v>33</v>
      </c>
      <c r="C128" s="33" t="s">
        <v>237</v>
      </c>
      <c r="D128" s="35">
        <v>6364.62</v>
      </c>
      <c r="E128" s="33">
        <v>28.0</v>
      </c>
      <c r="F128" s="35">
        <f t="array" ref="F128">IF(C128 ="FOB_JP", XLOOKUP(A128,CONTAINER_COST_MONTH!$A$2:$A$13,CONTAINER_COST_MONTH!$B$2:$B$13), 285)</f>
        <v>285</v>
      </c>
      <c r="G128" s="35">
        <f t="shared" si="1"/>
        <v>10.17857143</v>
      </c>
      <c r="H128" s="38">
        <f t="array" ref="H128">XLOOKUP(COST_BUY_MONTHLY!$C128,TAX!$A$2:$A$3,TAX!$B$2:$B$3)</f>
        <v>0</v>
      </c>
      <c r="I128" s="39">
        <f t="array" ref="I128">XLOOKUP(COST_BUY_MONTHLY!$C128,TAX!$A$2:$A$3,TAX!$C$2:$C$3)</f>
        <v>0</v>
      </c>
      <c r="J128" s="39">
        <f t="array" ref="J128">XLOOKUP(COST_BUY_MONTHLY!$C128,TAX!$A$2:$A$3,TAX!$D$2:$D$3)</f>
        <v>0.1</v>
      </c>
      <c r="K128" s="35">
        <f t="shared" si="2"/>
        <v>7012.278429</v>
      </c>
    </row>
    <row r="129" ht="14.25" customHeight="1">
      <c r="A129" s="33" t="s">
        <v>258</v>
      </c>
      <c r="B129" s="33" t="s">
        <v>35</v>
      </c>
      <c r="C129" s="33" t="s">
        <v>236</v>
      </c>
      <c r="D129" s="35">
        <v>11025.48</v>
      </c>
      <c r="E129" s="33">
        <v>14.0</v>
      </c>
      <c r="F129" s="35">
        <f t="array" ref="F129">IF(C129 ="FOB_JP", XLOOKUP(A129,CONTAINER_COST_MONTH!$A$2:$A$13,CONTAINER_COST_MONTH!$B$2:$B$13), 285)</f>
        <v>3220</v>
      </c>
      <c r="G129" s="35">
        <f t="shared" si="1"/>
        <v>230</v>
      </c>
      <c r="H129" s="38">
        <f t="array" ref="H129">XLOOKUP(COST_BUY_MONTHLY!$C129,TAX!$A$2:$A$3,TAX!$B$2:$B$3)</f>
        <v>0.002</v>
      </c>
      <c r="I129" s="39">
        <f t="array" ref="I129">XLOOKUP(COST_BUY_MONTHLY!$C129,TAX!$A$2:$A$3,TAX!$C$2:$C$3)</f>
        <v>0.2</v>
      </c>
      <c r="J129" s="39">
        <f t="array" ref="J129">XLOOKUP(COST_BUY_MONTHLY!$C129,TAX!$A$2:$A$3,TAX!$D$2:$D$3)</f>
        <v>0.1</v>
      </c>
      <c r="K129" s="35">
        <f t="shared" si="2"/>
        <v>14886.94807</v>
      </c>
    </row>
    <row r="130" ht="14.25" customHeight="1">
      <c r="A130" s="33" t="s">
        <v>258</v>
      </c>
      <c r="B130" s="33" t="s">
        <v>37</v>
      </c>
      <c r="C130" s="33" t="s">
        <v>236</v>
      </c>
      <c r="D130" s="35">
        <v>11025.48</v>
      </c>
      <c r="E130" s="33">
        <v>10.0</v>
      </c>
      <c r="F130" s="35">
        <f t="array" ref="F130">IF(C130 ="FOB_JP", XLOOKUP(A130,CONTAINER_COST_MONTH!$A$2:$A$13,CONTAINER_COST_MONTH!$B$2:$B$13), 285)</f>
        <v>3220</v>
      </c>
      <c r="G130" s="35">
        <f t="shared" si="1"/>
        <v>322</v>
      </c>
      <c r="H130" s="38">
        <f t="array" ref="H130">XLOOKUP(COST_BUY_MONTHLY!$C130,TAX!$A$2:$A$3,TAX!$B$2:$B$3)</f>
        <v>0.002</v>
      </c>
      <c r="I130" s="39">
        <f t="array" ref="I130">XLOOKUP(COST_BUY_MONTHLY!$C130,TAX!$A$2:$A$3,TAX!$C$2:$C$3)</f>
        <v>0.2</v>
      </c>
      <c r="J130" s="39">
        <f t="array" ref="J130">XLOOKUP(COST_BUY_MONTHLY!$C130,TAX!$A$2:$A$3,TAX!$D$2:$D$3)</f>
        <v>0.1</v>
      </c>
      <c r="K130" s="35">
        <f t="shared" si="2"/>
        <v>15008.63095</v>
      </c>
    </row>
    <row r="131" ht="14.25" customHeight="1">
      <c r="A131" s="33" t="s">
        <v>258</v>
      </c>
      <c r="B131" s="33" t="s">
        <v>39</v>
      </c>
      <c r="C131" s="33" t="s">
        <v>237</v>
      </c>
      <c r="D131" s="35">
        <v>6364.62</v>
      </c>
      <c r="E131" s="33">
        <v>84.0</v>
      </c>
      <c r="F131" s="35">
        <f t="array" ref="F131">IF(C131 ="FOB_JP", XLOOKUP(A131,CONTAINER_COST_MONTH!$A$2:$A$13,CONTAINER_COST_MONTH!$B$2:$B$13), 285)</f>
        <v>285</v>
      </c>
      <c r="G131" s="35">
        <f t="shared" si="1"/>
        <v>3.392857143</v>
      </c>
      <c r="H131" s="38">
        <f t="array" ref="H131">XLOOKUP(COST_BUY_MONTHLY!$C131,TAX!$A$2:$A$3,TAX!$B$2:$B$3)</f>
        <v>0</v>
      </c>
      <c r="I131" s="39">
        <f t="array" ref="I131">XLOOKUP(COST_BUY_MONTHLY!$C131,TAX!$A$2:$A$3,TAX!$C$2:$C$3)</f>
        <v>0</v>
      </c>
      <c r="J131" s="39">
        <f t="array" ref="J131">XLOOKUP(COST_BUY_MONTHLY!$C131,TAX!$A$2:$A$3,TAX!$D$2:$D$3)</f>
        <v>0.1</v>
      </c>
      <c r="K131" s="35">
        <f t="shared" si="2"/>
        <v>7004.814143</v>
      </c>
    </row>
    <row r="132" ht="14.25" customHeight="1">
      <c r="A132" s="33" t="s">
        <v>258</v>
      </c>
      <c r="B132" s="33" t="s">
        <v>42</v>
      </c>
      <c r="C132" s="33" t="s">
        <v>236</v>
      </c>
      <c r="D132" s="35">
        <v>5577.37</v>
      </c>
      <c r="E132" s="33">
        <v>10.0</v>
      </c>
      <c r="F132" s="35">
        <f t="array" ref="F132">IF(C132 ="FOB_JP", XLOOKUP(A132,CONTAINER_COST_MONTH!$A$2:$A$13,CONTAINER_COST_MONTH!$B$2:$B$13), 285)</f>
        <v>3220</v>
      </c>
      <c r="G132" s="35">
        <f t="shared" si="1"/>
        <v>322</v>
      </c>
      <c r="H132" s="38">
        <f t="array" ref="H132">XLOOKUP(COST_BUY_MONTHLY!$C132,TAX!$A$2:$A$3,TAX!$B$2:$B$3)</f>
        <v>0.002</v>
      </c>
      <c r="I132" s="39">
        <f t="array" ref="I132">XLOOKUP(COST_BUY_MONTHLY!$C132,TAX!$A$2:$A$3,TAX!$C$2:$C$3)</f>
        <v>0.2</v>
      </c>
      <c r="J132" s="39">
        <f t="array" ref="J132">XLOOKUP(COST_BUY_MONTHLY!$C132,TAX!$A$2:$A$3,TAX!$D$2:$D$3)</f>
        <v>0.1</v>
      </c>
      <c r="K132" s="35">
        <f t="shared" si="2"/>
        <v>7802.742737</v>
      </c>
    </row>
    <row r="133" ht="14.25" customHeight="1">
      <c r="A133" s="33" t="s">
        <v>258</v>
      </c>
      <c r="B133" s="33" t="s">
        <v>45</v>
      </c>
      <c r="C133" s="33" t="s">
        <v>237</v>
      </c>
      <c r="D133" s="35">
        <v>2994.32</v>
      </c>
      <c r="E133" s="33">
        <v>40.0</v>
      </c>
      <c r="F133" s="35">
        <f t="array" ref="F133">IF(C133 ="FOB_JP", XLOOKUP(A133,CONTAINER_COST_MONTH!$A$2:$A$13,CONTAINER_COST_MONTH!$B$2:$B$13), 285)</f>
        <v>285</v>
      </c>
      <c r="G133" s="35">
        <f t="shared" si="1"/>
        <v>7.125</v>
      </c>
      <c r="H133" s="38">
        <f t="array" ref="H133">XLOOKUP(COST_BUY_MONTHLY!$C133,TAX!$A$2:$A$3,TAX!$B$2:$B$3)</f>
        <v>0</v>
      </c>
      <c r="I133" s="39">
        <f t="array" ref="I133">XLOOKUP(COST_BUY_MONTHLY!$C133,TAX!$A$2:$A$3,TAX!$C$2:$C$3)</f>
        <v>0</v>
      </c>
      <c r="J133" s="39">
        <f t="array" ref="J133">XLOOKUP(COST_BUY_MONTHLY!$C133,TAX!$A$2:$A$3,TAX!$D$2:$D$3)</f>
        <v>0.1</v>
      </c>
      <c r="K133" s="35">
        <f t="shared" si="2"/>
        <v>3301.5895</v>
      </c>
    </row>
    <row r="134" ht="14.25" customHeight="1">
      <c r="A134" s="33" t="s">
        <v>258</v>
      </c>
      <c r="B134" s="33" t="s">
        <v>47</v>
      </c>
      <c r="C134" s="33" t="s">
        <v>236</v>
      </c>
      <c r="D134" s="35">
        <v>5577.37</v>
      </c>
      <c r="E134" s="33">
        <v>20.0</v>
      </c>
      <c r="F134" s="35">
        <f t="array" ref="F134">IF(C134 ="FOB_JP", XLOOKUP(A134,CONTAINER_COST_MONTH!$A$2:$A$13,CONTAINER_COST_MONTH!$B$2:$B$13), 285)</f>
        <v>3220</v>
      </c>
      <c r="G134" s="35">
        <f t="shared" si="1"/>
        <v>161</v>
      </c>
      <c r="H134" s="38">
        <f t="array" ref="H134">XLOOKUP(COST_BUY_MONTHLY!$C134,TAX!$A$2:$A$3,TAX!$B$2:$B$3)</f>
        <v>0.002</v>
      </c>
      <c r="I134" s="39">
        <f t="array" ref="I134">XLOOKUP(COST_BUY_MONTHLY!$C134,TAX!$A$2:$A$3,TAX!$C$2:$C$3)</f>
        <v>0.2</v>
      </c>
      <c r="J134" s="39">
        <f t="array" ref="J134">XLOOKUP(COST_BUY_MONTHLY!$C134,TAX!$A$2:$A$3,TAX!$D$2:$D$3)</f>
        <v>0.1</v>
      </c>
      <c r="K134" s="35">
        <f t="shared" si="2"/>
        <v>7589.797697</v>
      </c>
    </row>
    <row r="135" ht="14.25" customHeight="1">
      <c r="A135" s="33" t="s">
        <v>258</v>
      </c>
      <c r="B135" s="33" t="s">
        <v>49</v>
      </c>
      <c r="C135" s="33" t="s">
        <v>236</v>
      </c>
      <c r="D135" s="35">
        <v>5577.37</v>
      </c>
      <c r="E135" s="33">
        <v>15.0</v>
      </c>
      <c r="F135" s="35">
        <f t="array" ref="F135">IF(C135 ="FOB_JP", XLOOKUP(A135,CONTAINER_COST_MONTH!$A$2:$A$13,CONTAINER_COST_MONTH!$B$2:$B$13), 285)</f>
        <v>3220</v>
      </c>
      <c r="G135" s="35">
        <f t="shared" si="1"/>
        <v>214.6666667</v>
      </c>
      <c r="H135" s="38">
        <f t="array" ref="H135">XLOOKUP(COST_BUY_MONTHLY!$C135,TAX!$A$2:$A$3,TAX!$B$2:$B$3)</f>
        <v>0.002</v>
      </c>
      <c r="I135" s="39">
        <f t="array" ref="I135">XLOOKUP(COST_BUY_MONTHLY!$C135,TAX!$A$2:$A$3,TAX!$C$2:$C$3)</f>
        <v>0.2</v>
      </c>
      <c r="J135" s="39">
        <f t="array" ref="J135">XLOOKUP(COST_BUY_MONTHLY!$C135,TAX!$A$2:$A$3,TAX!$D$2:$D$3)</f>
        <v>0.1</v>
      </c>
      <c r="K135" s="35">
        <f t="shared" si="2"/>
        <v>7660.779377</v>
      </c>
    </row>
    <row r="136" ht="14.25" customHeight="1">
      <c r="A136" s="33" t="s">
        <v>258</v>
      </c>
      <c r="B136" s="33" t="s">
        <v>51</v>
      </c>
      <c r="C136" s="33" t="s">
        <v>237</v>
      </c>
      <c r="D136" s="35">
        <v>2994.32</v>
      </c>
      <c r="E136" s="33">
        <v>120.0</v>
      </c>
      <c r="F136" s="35">
        <f t="array" ref="F136">IF(C136 ="FOB_JP", XLOOKUP(A136,CONTAINER_COST_MONTH!$A$2:$A$13,CONTAINER_COST_MONTH!$B$2:$B$13), 285)</f>
        <v>285</v>
      </c>
      <c r="G136" s="35">
        <f t="shared" si="1"/>
        <v>2.375</v>
      </c>
      <c r="H136" s="38">
        <f t="array" ref="H136">XLOOKUP(COST_BUY_MONTHLY!$C136,TAX!$A$2:$A$3,TAX!$B$2:$B$3)</f>
        <v>0</v>
      </c>
      <c r="I136" s="39">
        <f t="array" ref="I136">XLOOKUP(COST_BUY_MONTHLY!$C136,TAX!$A$2:$A$3,TAX!$C$2:$C$3)</f>
        <v>0</v>
      </c>
      <c r="J136" s="39">
        <f t="array" ref="J136">XLOOKUP(COST_BUY_MONTHLY!$C136,TAX!$A$2:$A$3,TAX!$D$2:$D$3)</f>
        <v>0.1</v>
      </c>
      <c r="K136" s="35">
        <f t="shared" si="2"/>
        <v>3296.3645</v>
      </c>
    </row>
    <row r="137" ht="14.25" customHeight="1">
      <c r="A137" s="33" t="s">
        <v>258</v>
      </c>
      <c r="B137" s="33" t="s">
        <v>54</v>
      </c>
      <c r="C137" s="33" t="s">
        <v>236</v>
      </c>
      <c r="D137" s="35">
        <v>8643.97</v>
      </c>
      <c r="E137" s="33">
        <v>7.0</v>
      </c>
      <c r="F137" s="35">
        <f t="array" ref="F137">IF(C137 ="FOB_JP", XLOOKUP(A137,CONTAINER_COST_MONTH!$A$2:$A$13,CONTAINER_COST_MONTH!$B$2:$B$13), 285)</f>
        <v>3220</v>
      </c>
      <c r="G137" s="35">
        <f t="shared" si="1"/>
        <v>460</v>
      </c>
      <c r="H137" s="38">
        <f t="array" ref="H137">XLOOKUP(COST_BUY_MONTHLY!$C137,TAX!$A$2:$A$3,TAX!$B$2:$B$3)</f>
        <v>0.002</v>
      </c>
      <c r="I137" s="39">
        <f t="array" ref="I137">XLOOKUP(COST_BUY_MONTHLY!$C137,TAX!$A$2:$A$3,TAX!$C$2:$C$3)</f>
        <v>0.2</v>
      </c>
      <c r="J137" s="39">
        <f t="array" ref="J137">XLOOKUP(COST_BUY_MONTHLY!$C137,TAX!$A$2:$A$3,TAX!$D$2:$D$3)</f>
        <v>0.1</v>
      </c>
      <c r="K137" s="35">
        <f t="shared" si="2"/>
        <v>12041.27488</v>
      </c>
    </row>
    <row r="138" ht="14.25" customHeight="1">
      <c r="A138" s="33" t="s">
        <v>258</v>
      </c>
      <c r="B138" s="33" t="s">
        <v>57</v>
      </c>
      <c r="C138" s="33" t="s">
        <v>237</v>
      </c>
      <c r="D138" s="35">
        <v>4989.86</v>
      </c>
      <c r="E138" s="33">
        <v>28.0</v>
      </c>
      <c r="F138" s="35">
        <f t="array" ref="F138">IF(C138 ="FOB_JP", XLOOKUP(A138,CONTAINER_COST_MONTH!$A$2:$A$13,CONTAINER_COST_MONTH!$B$2:$B$13), 285)</f>
        <v>285</v>
      </c>
      <c r="G138" s="35">
        <f t="shared" si="1"/>
        <v>10.17857143</v>
      </c>
      <c r="H138" s="38">
        <f t="array" ref="H138">XLOOKUP(COST_BUY_MONTHLY!$C138,TAX!$A$2:$A$3,TAX!$B$2:$B$3)</f>
        <v>0</v>
      </c>
      <c r="I138" s="39">
        <f t="array" ref="I138">XLOOKUP(COST_BUY_MONTHLY!$C138,TAX!$A$2:$A$3,TAX!$C$2:$C$3)</f>
        <v>0</v>
      </c>
      <c r="J138" s="39">
        <f t="array" ref="J138">XLOOKUP(COST_BUY_MONTHLY!$C138,TAX!$A$2:$A$3,TAX!$D$2:$D$3)</f>
        <v>0.1</v>
      </c>
      <c r="K138" s="35">
        <f t="shared" si="2"/>
        <v>5500.042429</v>
      </c>
    </row>
    <row r="139" ht="14.25" customHeight="1">
      <c r="A139" s="33" t="s">
        <v>258</v>
      </c>
      <c r="B139" s="33" t="s">
        <v>59</v>
      </c>
      <c r="C139" s="33" t="s">
        <v>236</v>
      </c>
      <c r="D139" s="35">
        <v>8643.97</v>
      </c>
      <c r="E139" s="33">
        <v>14.0</v>
      </c>
      <c r="F139" s="35">
        <f t="array" ref="F139">IF(C139 ="FOB_JP", XLOOKUP(A139,CONTAINER_COST_MONTH!$A$2:$A$13,CONTAINER_COST_MONTH!$B$2:$B$13), 285)</f>
        <v>3220</v>
      </c>
      <c r="G139" s="35">
        <f t="shared" si="1"/>
        <v>230</v>
      </c>
      <c r="H139" s="38">
        <f t="array" ref="H139">XLOOKUP(COST_BUY_MONTHLY!$C139,TAX!$A$2:$A$3,TAX!$B$2:$B$3)</f>
        <v>0.002</v>
      </c>
      <c r="I139" s="39">
        <f t="array" ref="I139">XLOOKUP(COST_BUY_MONTHLY!$C139,TAX!$A$2:$A$3,TAX!$C$2:$C$3)</f>
        <v>0.2</v>
      </c>
      <c r="J139" s="39">
        <f t="array" ref="J139">XLOOKUP(COST_BUY_MONTHLY!$C139,TAX!$A$2:$A$3,TAX!$D$2:$D$3)</f>
        <v>0.1</v>
      </c>
      <c r="K139" s="35">
        <f t="shared" si="2"/>
        <v>11737.06768</v>
      </c>
    </row>
    <row r="140" ht="14.25" customHeight="1">
      <c r="A140" s="33" t="s">
        <v>258</v>
      </c>
      <c r="B140" s="33" t="s">
        <v>61</v>
      </c>
      <c r="C140" s="33" t="s">
        <v>236</v>
      </c>
      <c r="D140" s="35">
        <v>8643.97</v>
      </c>
      <c r="E140" s="33">
        <v>10.0</v>
      </c>
      <c r="F140" s="35">
        <f t="array" ref="F140">IF(C140 ="FOB_JP", XLOOKUP(A140,CONTAINER_COST_MONTH!$A$2:$A$13,CONTAINER_COST_MONTH!$B$2:$B$13), 285)</f>
        <v>3220</v>
      </c>
      <c r="G140" s="35">
        <f t="shared" si="1"/>
        <v>322</v>
      </c>
      <c r="H140" s="38">
        <f t="array" ref="H140">XLOOKUP(COST_BUY_MONTHLY!$C140,TAX!$A$2:$A$3,TAX!$B$2:$B$3)</f>
        <v>0.002</v>
      </c>
      <c r="I140" s="39">
        <f t="array" ref="I140">XLOOKUP(COST_BUY_MONTHLY!$C140,TAX!$A$2:$A$3,TAX!$C$2:$C$3)</f>
        <v>0.2</v>
      </c>
      <c r="J140" s="39">
        <f t="array" ref="J140">XLOOKUP(COST_BUY_MONTHLY!$C140,TAX!$A$2:$A$3,TAX!$D$2:$D$3)</f>
        <v>0.1</v>
      </c>
      <c r="K140" s="35">
        <f t="shared" si="2"/>
        <v>11858.75056</v>
      </c>
    </row>
    <row r="141" ht="14.25" customHeight="1">
      <c r="A141" s="33" t="s">
        <v>258</v>
      </c>
      <c r="B141" s="33" t="s">
        <v>63</v>
      </c>
      <c r="C141" s="33" t="s">
        <v>237</v>
      </c>
      <c r="D141" s="35">
        <v>4989.86</v>
      </c>
      <c r="E141" s="33">
        <v>84.0</v>
      </c>
      <c r="F141" s="35">
        <f t="array" ref="F141">IF(C141 ="FOB_JP", XLOOKUP(A141,CONTAINER_COST_MONTH!$A$2:$A$13,CONTAINER_COST_MONTH!$B$2:$B$13), 285)</f>
        <v>285</v>
      </c>
      <c r="G141" s="35">
        <f t="shared" si="1"/>
        <v>3.392857143</v>
      </c>
      <c r="H141" s="38">
        <f t="array" ref="H141">XLOOKUP(COST_BUY_MONTHLY!$C141,TAX!$A$2:$A$3,TAX!$B$2:$B$3)</f>
        <v>0</v>
      </c>
      <c r="I141" s="39">
        <f t="array" ref="I141">XLOOKUP(COST_BUY_MONTHLY!$C141,TAX!$A$2:$A$3,TAX!$C$2:$C$3)</f>
        <v>0</v>
      </c>
      <c r="J141" s="39">
        <f t="array" ref="J141">XLOOKUP(COST_BUY_MONTHLY!$C141,TAX!$A$2:$A$3,TAX!$D$2:$D$3)</f>
        <v>0.1</v>
      </c>
      <c r="K141" s="35">
        <f t="shared" si="2"/>
        <v>5492.578143</v>
      </c>
    </row>
    <row r="142" ht="14.25" customHeight="1">
      <c r="A142" s="33" t="s">
        <v>258</v>
      </c>
      <c r="B142" s="33" t="s">
        <v>65</v>
      </c>
      <c r="C142" s="33" t="s">
        <v>236</v>
      </c>
      <c r="D142" s="35">
        <v>1056.55</v>
      </c>
      <c r="E142" s="33">
        <v>50.0</v>
      </c>
      <c r="F142" s="35">
        <f t="array" ref="F142">IF(C142 ="FOB_JP", XLOOKUP(A142,CONTAINER_COST_MONTH!$A$2:$A$13,CONTAINER_COST_MONTH!$B$2:$B$13), 285)</f>
        <v>3220</v>
      </c>
      <c r="G142" s="35">
        <f t="shared" si="1"/>
        <v>64.4</v>
      </c>
      <c r="H142" s="38">
        <f t="array" ref="H142">XLOOKUP(COST_BUY_MONTHLY!$C142,TAX!$A$2:$A$3,TAX!$B$2:$B$3)</f>
        <v>0.002</v>
      </c>
      <c r="I142" s="39">
        <f t="array" ref="I142">XLOOKUP(COST_BUY_MONTHLY!$C142,TAX!$A$2:$A$3,TAX!$C$2:$C$3)</f>
        <v>0.2</v>
      </c>
      <c r="J142" s="39">
        <f t="array" ref="J142">XLOOKUP(COST_BUY_MONTHLY!$C142,TAX!$A$2:$A$3,TAX!$D$2:$D$3)</f>
        <v>0.1</v>
      </c>
      <c r="K142" s="35">
        <f t="shared" si="2"/>
        <v>1482.613308</v>
      </c>
    </row>
    <row r="143" ht="14.25" customHeight="1">
      <c r="A143" s="33" t="s">
        <v>258</v>
      </c>
      <c r="B143" s="33" t="s">
        <v>67</v>
      </c>
      <c r="C143" s="33" t="s">
        <v>236</v>
      </c>
      <c r="D143" s="35">
        <v>2991.54</v>
      </c>
      <c r="E143" s="33">
        <v>50.0</v>
      </c>
      <c r="F143" s="35">
        <f t="array" ref="F143">IF(C143 ="FOB_JP", XLOOKUP(A143,CONTAINER_COST_MONTH!$A$2:$A$13,CONTAINER_COST_MONTH!$B$2:$B$13), 285)</f>
        <v>3220</v>
      </c>
      <c r="G143" s="35">
        <f t="shared" si="1"/>
        <v>64.4</v>
      </c>
      <c r="H143" s="38">
        <f t="array" ref="H143">XLOOKUP(COST_BUY_MONTHLY!$C143,TAX!$A$2:$A$3,TAX!$B$2:$B$3)</f>
        <v>0.002</v>
      </c>
      <c r="I143" s="39">
        <f t="array" ref="I143">XLOOKUP(COST_BUY_MONTHLY!$C143,TAX!$A$2:$A$3,TAX!$C$2:$C$3)</f>
        <v>0.2</v>
      </c>
      <c r="J143" s="39">
        <f t="array" ref="J143">XLOOKUP(COST_BUY_MONTHLY!$C143,TAX!$A$2:$A$3,TAX!$D$2:$D$3)</f>
        <v>0.1</v>
      </c>
      <c r="K143" s="35">
        <f t="shared" si="2"/>
        <v>4041.908482</v>
      </c>
    </row>
    <row r="144" ht="14.25" customHeight="1">
      <c r="A144" s="33" t="s">
        <v>258</v>
      </c>
      <c r="B144" s="33" t="s">
        <v>70</v>
      </c>
      <c r="C144" s="33" t="s">
        <v>237</v>
      </c>
      <c r="D144" s="35">
        <v>302.74</v>
      </c>
      <c r="E144" s="33">
        <v>50.0</v>
      </c>
      <c r="F144" s="35">
        <f t="array" ref="F144">IF(C144 ="FOB_JP", XLOOKUP(A144,CONTAINER_COST_MONTH!$A$2:$A$13,CONTAINER_COST_MONTH!$B$2:$B$13), 285)</f>
        <v>285</v>
      </c>
      <c r="G144" s="35">
        <f t="shared" si="1"/>
        <v>5.7</v>
      </c>
      <c r="H144" s="38">
        <f t="array" ref="H144">XLOOKUP(COST_BUY_MONTHLY!$C144,TAX!$A$2:$A$3,TAX!$B$2:$B$3)</f>
        <v>0</v>
      </c>
      <c r="I144" s="39">
        <f t="array" ref="I144">XLOOKUP(COST_BUY_MONTHLY!$C144,TAX!$A$2:$A$3,TAX!$C$2:$C$3)</f>
        <v>0</v>
      </c>
      <c r="J144" s="39">
        <f t="array" ref="J144">XLOOKUP(COST_BUY_MONTHLY!$C144,TAX!$A$2:$A$3,TAX!$D$2:$D$3)</f>
        <v>0.1</v>
      </c>
      <c r="K144" s="35">
        <f t="shared" si="2"/>
        <v>339.284</v>
      </c>
    </row>
    <row r="145" ht="14.25" customHeight="1">
      <c r="A145" s="33" t="s">
        <v>258</v>
      </c>
      <c r="B145" s="33" t="s">
        <v>72</v>
      </c>
      <c r="C145" s="33" t="s">
        <v>237</v>
      </c>
      <c r="D145" s="35">
        <v>1870.55</v>
      </c>
      <c r="E145" s="33">
        <v>50.0</v>
      </c>
      <c r="F145" s="35">
        <f t="array" ref="F145">IF(C145 ="FOB_JP", XLOOKUP(A145,CONTAINER_COST_MONTH!$A$2:$A$13,CONTAINER_COST_MONTH!$B$2:$B$13), 285)</f>
        <v>285</v>
      </c>
      <c r="G145" s="35">
        <f t="shared" si="1"/>
        <v>5.7</v>
      </c>
      <c r="H145" s="38">
        <f t="array" ref="H145">XLOOKUP(COST_BUY_MONTHLY!$C145,TAX!$A$2:$A$3,TAX!$B$2:$B$3)</f>
        <v>0</v>
      </c>
      <c r="I145" s="39">
        <f t="array" ref="I145">XLOOKUP(COST_BUY_MONTHLY!$C145,TAX!$A$2:$A$3,TAX!$C$2:$C$3)</f>
        <v>0</v>
      </c>
      <c r="J145" s="39">
        <f t="array" ref="J145">XLOOKUP(COST_BUY_MONTHLY!$C145,TAX!$A$2:$A$3,TAX!$D$2:$D$3)</f>
        <v>0.1</v>
      </c>
      <c r="K145" s="35">
        <f t="shared" si="2"/>
        <v>2063.875</v>
      </c>
    </row>
    <row r="146" ht="14.25" customHeight="1">
      <c r="A146" s="33" t="s">
        <v>258</v>
      </c>
      <c r="B146" s="33" t="s">
        <v>74</v>
      </c>
      <c r="C146" s="33" t="s">
        <v>236</v>
      </c>
      <c r="D146" s="35">
        <v>828.24</v>
      </c>
      <c r="E146" s="33">
        <v>20.0</v>
      </c>
      <c r="F146" s="35">
        <f t="array" ref="F146">IF(C146 ="FOB_JP", XLOOKUP(A146,CONTAINER_COST_MONTH!$A$2:$A$13,CONTAINER_COST_MONTH!$B$2:$B$13), 285)</f>
        <v>3220</v>
      </c>
      <c r="G146" s="35">
        <f t="shared" si="1"/>
        <v>161</v>
      </c>
      <c r="H146" s="38">
        <f t="array" ref="H146">XLOOKUP(COST_BUY_MONTHLY!$C146,TAX!$A$2:$A$3,TAX!$B$2:$B$3)</f>
        <v>0.002</v>
      </c>
      <c r="I146" s="39">
        <f t="array" ref="I146">XLOOKUP(COST_BUY_MONTHLY!$C146,TAX!$A$2:$A$3,TAX!$C$2:$C$3)</f>
        <v>0.2</v>
      </c>
      <c r="J146" s="39">
        <f t="array" ref="J146">XLOOKUP(COST_BUY_MONTHLY!$C146,TAX!$A$2:$A$3,TAX!$D$2:$D$3)</f>
        <v>0.1</v>
      </c>
      <c r="K146" s="35">
        <f t="shared" si="2"/>
        <v>1308.408394</v>
      </c>
    </row>
    <row r="147" ht="14.25" customHeight="1">
      <c r="A147" s="33" t="s">
        <v>258</v>
      </c>
      <c r="B147" s="33" t="s">
        <v>76</v>
      </c>
      <c r="C147" s="33" t="s">
        <v>236</v>
      </c>
      <c r="D147" s="35">
        <v>3219.85</v>
      </c>
      <c r="E147" s="33">
        <v>50.0</v>
      </c>
      <c r="F147" s="35">
        <f t="array" ref="F147">IF(C147 ="FOB_JP", XLOOKUP(A147,CONTAINER_COST_MONTH!$A$2:$A$13,CONTAINER_COST_MONTH!$B$2:$B$13), 285)</f>
        <v>3220</v>
      </c>
      <c r="G147" s="35">
        <f t="shared" si="1"/>
        <v>64.4</v>
      </c>
      <c r="H147" s="38">
        <f t="array" ref="H147">XLOOKUP(COST_BUY_MONTHLY!$C147,TAX!$A$2:$A$3,TAX!$B$2:$B$3)</f>
        <v>0.002</v>
      </c>
      <c r="I147" s="39">
        <f t="array" ref="I147">XLOOKUP(COST_BUY_MONTHLY!$C147,TAX!$A$2:$A$3,TAX!$C$2:$C$3)</f>
        <v>0.2</v>
      </c>
      <c r="J147" s="39">
        <f t="array" ref="J147">XLOOKUP(COST_BUY_MONTHLY!$C147,TAX!$A$2:$A$3,TAX!$D$2:$D$3)</f>
        <v>0.1</v>
      </c>
      <c r="K147" s="35">
        <f t="shared" si="2"/>
        <v>4343.88042</v>
      </c>
    </row>
    <row r="148" ht="14.25" customHeight="1">
      <c r="A148" s="33" t="s">
        <v>258</v>
      </c>
      <c r="B148" s="33" t="s">
        <v>78</v>
      </c>
      <c r="C148" s="33" t="s">
        <v>236</v>
      </c>
      <c r="D148" s="35">
        <v>664.3</v>
      </c>
      <c r="E148" s="33">
        <v>50.0</v>
      </c>
      <c r="F148" s="35">
        <f t="array" ref="F148">IF(C148 ="FOB_JP", XLOOKUP(A148,CONTAINER_COST_MONTH!$A$2:$A$13,CONTAINER_COST_MONTH!$B$2:$B$13), 285)</f>
        <v>3220</v>
      </c>
      <c r="G148" s="35">
        <f t="shared" si="1"/>
        <v>64.4</v>
      </c>
      <c r="H148" s="38">
        <f t="array" ref="H148">XLOOKUP(COST_BUY_MONTHLY!$C148,TAX!$A$2:$A$3,TAX!$B$2:$B$3)</f>
        <v>0.002</v>
      </c>
      <c r="I148" s="39">
        <f t="array" ref="I148">XLOOKUP(COST_BUY_MONTHLY!$C148,TAX!$A$2:$A$3,TAX!$C$2:$C$3)</f>
        <v>0.2</v>
      </c>
      <c r="J148" s="39">
        <f t="array" ref="J148">XLOOKUP(COST_BUY_MONTHLY!$C148,TAX!$A$2:$A$3,TAX!$D$2:$D$3)</f>
        <v>0.1</v>
      </c>
      <c r="K148" s="35">
        <f t="shared" si="2"/>
        <v>963.807768</v>
      </c>
    </row>
    <row r="149" ht="14.25" customHeight="1">
      <c r="A149" s="33" t="s">
        <v>258</v>
      </c>
      <c r="B149" s="33" t="s">
        <v>80</v>
      </c>
      <c r="C149" s="33" t="s">
        <v>236</v>
      </c>
      <c r="D149" s="35">
        <v>3383.8</v>
      </c>
      <c r="E149" s="33">
        <v>50.0</v>
      </c>
      <c r="F149" s="35">
        <f t="array" ref="F149">IF(C149 ="FOB_JP", XLOOKUP(A149,CONTAINER_COST_MONTH!$A$2:$A$13,CONTAINER_COST_MONTH!$B$2:$B$13), 285)</f>
        <v>3220</v>
      </c>
      <c r="G149" s="35">
        <f t="shared" si="1"/>
        <v>64.4</v>
      </c>
      <c r="H149" s="38">
        <f t="array" ref="H149">XLOOKUP(COST_BUY_MONTHLY!$C149,TAX!$A$2:$A$3,TAX!$B$2:$B$3)</f>
        <v>0.002</v>
      </c>
      <c r="I149" s="39">
        <f t="array" ref="I149">XLOOKUP(COST_BUY_MONTHLY!$C149,TAX!$A$2:$A$3,TAX!$C$2:$C$3)</f>
        <v>0.2</v>
      </c>
      <c r="J149" s="39">
        <f t="array" ref="J149">XLOOKUP(COST_BUY_MONTHLY!$C149,TAX!$A$2:$A$3,TAX!$D$2:$D$3)</f>
        <v>0.1</v>
      </c>
      <c r="K149" s="35">
        <f t="shared" si="2"/>
        <v>4560.727248</v>
      </c>
    </row>
    <row r="150" ht="14.25" customHeight="1">
      <c r="A150" s="33" t="s">
        <v>258</v>
      </c>
      <c r="B150" s="33" t="s">
        <v>82</v>
      </c>
      <c r="C150" s="33" t="s">
        <v>237</v>
      </c>
      <c r="D150" s="35">
        <v>1056.87</v>
      </c>
      <c r="E150" s="33">
        <v>50.0</v>
      </c>
      <c r="F150" s="35">
        <f t="array" ref="F150">IF(C150 ="FOB_JP", XLOOKUP(A150,CONTAINER_COST_MONTH!$A$2:$A$13,CONTAINER_COST_MONTH!$B$2:$B$13), 285)</f>
        <v>285</v>
      </c>
      <c r="G150" s="35">
        <f t="shared" si="1"/>
        <v>5.7</v>
      </c>
      <c r="H150" s="38">
        <f t="array" ref="H150">XLOOKUP(COST_BUY_MONTHLY!$C150,TAX!$A$2:$A$3,TAX!$B$2:$B$3)</f>
        <v>0</v>
      </c>
      <c r="I150" s="39">
        <f t="array" ref="I150">XLOOKUP(COST_BUY_MONTHLY!$C150,TAX!$A$2:$A$3,TAX!$C$2:$C$3)</f>
        <v>0</v>
      </c>
      <c r="J150" s="39">
        <f t="array" ref="J150">XLOOKUP(COST_BUY_MONTHLY!$C150,TAX!$A$2:$A$3,TAX!$D$2:$D$3)</f>
        <v>0.1</v>
      </c>
      <c r="K150" s="35">
        <f t="shared" si="2"/>
        <v>1168.827</v>
      </c>
    </row>
    <row r="151" ht="14.25" customHeight="1">
      <c r="A151" s="33" t="s">
        <v>258</v>
      </c>
      <c r="B151" s="33" t="s">
        <v>84</v>
      </c>
      <c r="C151" s="33" t="s">
        <v>237</v>
      </c>
      <c r="D151" s="35">
        <v>1116.42</v>
      </c>
      <c r="E151" s="33">
        <v>50.0</v>
      </c>
      <c r="F151" s="35">
        <f t="array" ref="F151">IF(C151 ="FOB_JP", XLOOKUP(A151,CONTAINER_COST_MONTH!$A$2:$A$13,CONTAINER_COST_MONTH!$B$2:$B$13), 285)</f>
        <v>285</v>
      </c>
      <c r="G151" s="35">
        <f t="shared" si="1"/>
        <v>5.7</v>
      </c>
      <c r="H151" s="38">
        <f t="array" ref="H151">XLOOKUP(COST_BUY_MONTHLY!$C151,TAX!$A$2:$A$3,TAX!$B$2:$B$3)</f>
        <v>0</v>
      </c>
      <c r="I151" s="39">
        <f t="array" ref="I151">XLOOKUP(COST_BUY_MONTHLY!$C151,TAX!$A$2:$A$3,TAX!$C$2:$C$3)</f>
        <v>0</v>
      </c>
      <c r="J151" s="39">
        <f t="array" ref="J151">XLOOKUP(COST_BUY_MONTHLY!$C151,TAX!$A$2:$A$3,TAX!$D$2:$D$3)</f>
        <v>0.1</v>
      </c>
      <c r="K151" s="35">
        <f t="shared" si="2"/>
        <v>1234.332</v>
      </c>
    </row>
    <row r="152" ht="14.25" customHeight="1">
      <c r="A152" s="33" t="s">
        <v>258</v>
      </c>
      <c r="B152" s="33" t="s">
        <v>86</v>
      </c>
      <c r="C152" s="33" t="s">
        <v>236</v>
      </c>
      <c r="D152" s="35">
        <v>4221.66</v>
      </c>
      <c r="E152" s="33">
        <v>35.0</v>
      </c>
      <c r="F152" s="35">
        <f t="array" ref="F152">IF(C152 ="FOB_JP", XLOOKUP(A152,CONTAINER_COST_MONTH!$A$2:$A$13,CONTAINER_COST_MONTH!$B$2:$B$13), 285)</f>
        <v>3220</v>
      </c>
      <c r="G152" s="35">
        <f t="shared" si="1"/>
        <v>92</v>
      </c>
      <c r="H152" s="38">
        <f t="array" ref="H152">XLOOKUP(COST_BUY_MONTHLY!$C152,TAX!$A$2:$A$3,TAX!$B$2:$B$3)</f>
        <v>0.002</v>
      </c>
      <c r="I152" s="39">
        <f t="array" ref="I152">XLOOKUP(COST_BUY_MONTHLY!$C152,TAX!$A$2:$A$3,TAX!$C$2:$C$3)</f>
        <v>0.2</v>
      </c>
      <c r="J152" s="39">
        <f t="array" ref="J152">XLOOKUP(COST_BUY_MONTHLY!$C152,TAX!$A$2:$A$3,TAX!$D$2:$D$3)</f>
        <v>0.1</v>
      </c>
      <c r="K152" s="35">
        <f t="shared" si="2"/>
        <v>5705.419262</v>
      </c>
    </row>
    <row r="153" ht="14.25" customHeight="1">
      <c r="A153" s="33" t="s">
        <v>258</v>
      </c>
      <c r="B153" s="33" t="s">
        <v>88</v>
      </c>
      <c r="C153" s="33" t="s">
        <v>236</v>
      </c>
      <c r="D153" s="35">
        <v>6803.82</v>
      </c>
      <c r="E153" s="33">
        <v>35.0</v>
      </c>
      <c r="F153" s="35">
        <f t="array" ref="F153">IF(C153 ="FOB_JP", XLOOKUP(A153,CONTAINER_COST_MONTH!$A$2:$A$13,CONTAINER_COST_MONTH!$B$2:$B$13), 285)</f>
        <v>3220</v>
      </c>
      <c r="G153" s="35">
        <f t="shared" si="1"/>
        <v>92</v>
      </c>
      <c r="H153" s="38">
        <f t="array" ref="H153">XLOOKUP(COST_BUY_MONTHLY!$C153,TAX!$A$2:$A$3,TAX!$B$2:$B$3)</f>
        <v>0.002</v>
      </c>
      <c r="I153" s="39">
        <f t="array" ref="I153">XLOOKUP(COST_BUY_MONTHLY!$C153,TAX!$A$2:$A$3,TAX!$C$2:$C$3)</f>
        <v>0.2</v>
      </c>
      <c r="J153" s="39">
        <f t="array" ref="J153">XLOOKUP(COST_BUY_MONTHLY!$C153,TAX!$A$2:$A$3,TAX!$D$2:$D$3)</f>
        <v>0.1</v>
      </c>
      <c r="K153" s="35">
        <f t="shared" si="2"/>
        <v>9120.687365</v>
      </c>
    </row>
    <row r="154" ht="14.25" customHeight="1">
      <c r="A154" s="33" t="s">
        <v>258</v>
      </c>
      <c r="B154" s="33" t="s">
        <v>90</v>
      </c>
      <c r="C154" s="33" t="s">
        <v>237</v>
      </c>
      <c r="D154" s="35">
        <v>4065.72</v>
      </c>
      <c r="E154" s="33">
        <v>35.0</v>
      </c>
      <c r="F154" s="35">
        <f t="array" ref="F154">IF(C154 ="FOB_JP", XLOOKUP(A154,CONTAINER_COST_MONTH!$A$2:$A$13,CONTAINER_COST_MONTH!$B$2:$B$13), 285)</f>
        <v>285</v>
      </c>
      <c r="G154" s="35">
        <f t="shared" si="1"/>
        <v>8.142857143</v>
      </c>
      <c r="H154" s="38">
        <f t="array" ref="H154">XLOOKUP(COST_BUY_MONTHLY!$C154,TAX!$A$2:$A$3,TAX!$B$2:$B$3)</f>
        <v>0</v>
      </c>
      <c r="I154" s="39">
        <f t="array" ref="I154">XLOOKUP(COST_BUY_MONTHLY!$C154,TAX!$A$2:$A$3,TAX!$C$2:$C$3)</f>
        <v>0</v>
      </c>
      <c r="J154" s="39">
        <f t="array" ref="J154">XLOOKUP(COST_BUY_MONTHLY!$C154,TAX!$A$2:$A$3,TAX!$D$2:$D$3)</f>
        <v>0.1</v>
      </c>
      <c r="K154" s="35">
        <f t="shared" si="2"/>
        <v>4481.249143</v>
      </c>
    </row>
    <row r="155" ht="14.25" customHeight="1">
      <c r="A155" s="33" t="s">
        <v>258</v>
      </c>
      <c r="B155" s="33" t="s">
        <v>92</v>
      </c>
      <c r="C155" s="33" t="s">
        <v>237</v>
      </c>
      <c r="D155" s="35">
        <v>2298.9</v>
      </c>
      <c r="E155" s="33">
        <v>35.0</v>
      </c>
      <c r="F155" s="35">
        <f t="array" ref="F155">IF(C155 ="FOB_JP", XLOOKUP(A155,CONTAINER_COST_MONTH!$A$2:$A$13,CONTAINER_COST_MONTH!$B$2:$B$13), 285)</f>
        <v>285</v>
      </c>
      <c r="G155" s="35">
        <f t="shared" si="1"/>
        <v>8.142857143</v>
      </c>
      <c r="H155" s="38">
        <f t="array" ref="H155">XLOOKUP(COST_BUY_MONTHLY!$C155,TAX!$A$2:$A$3,TAX!$B$2:$B$3)</f>
        <v>0</v>
      </c>
      <c r="I155" s="39">
        <f t="array" ref="I155">XLOOKUP(COST_BUY_MONTHLY!$C155,TAX!$A$2:$A$3,TAX!$C$2:$C$3)</f>
        <v>0</v>
      </c>
      <c r="J155" s="39">
        <f t="array" ref="J155">XLOOKUP(COST_BUY_MONTHLY!$C155,TAX!$A$2:$A$3,TAX!$D$2:$D$3)</f>
        <v>0.1</v>
      </c>
      <c r="K155" s="35">
        <f t="shared" si="2"/>
        <v>2537.747143</v>
      </c>
    </row>
    <row r="156" ht="14.25" customHeight="1">
      <c r="A156" s="33" t="s">
        <v>258</v>
      </c>
      <c r="B156" s="33" t="s">
        <v>94</v>
      </c>
      <c r="C156" s="33" t="s">
        <v>236</v>
      </c>
      <c r="D156" s="35">
        <v>5824.76</v>
      </c>
      <c r="E156" s="33">
        <v>14.0</v>
      </c>
      <c r="F156" s="35">
        <f t="array" ref="F156">IF(C156 ="FOB_JP", XLOOKUP(A156,CONTAINER_COST_MONTH!$A$2:$A$13,CONTAINER_COST_MONTH!$B$2:$B$13), 285)</f>
        <v>3220</v>
      </c>
      <c r="G156" s="35">
        <f t="shared" si="1"/>
        <v>230</v>
      </c>
      <c r="H156" s="38">
        <f t="array" ref="H156">XLOOKUP(COST_BUY_MONTHLY!$C156,TAX!$A$2:$A$3,TAX!$B$2:$B$3)</f>
        <v>0.002</v>
      </c>
      <c r="I156" s="39">
        <f t="array" ref="I156">XLOOKUP(COST_BUY_MONTHLY!$C156,TAX!$A$2:$A$3,TAX!$C$2:$C$3)</f>
        <v>0.2</v>
      </c>
      <c r="J156" s="39">
        <f t="array" ref="J156">XLOOKUP(COST_BUY_MONTHLY!$C156,TAX!$A$2:$A$3,TAX!$D$2:$D$3)</f>
        <v>0.1</v>
      </c>
      <c r="K156" s="35">
        <f t="shared" si="2"/>
        <v>8008.267766</v>
      </c>
    </row>
    <row r="157" ht="14.25" customHeight="1">
      <c r="A157" s="33" t="s">
        <v>258</v>
      </c>
      <c r="B157" s="33" t="s">
        <v>96</v>
      </c>
      <c r="C157" s="33" t="s">
        <v>236</v>
      </c>
      <c r="D157" s="35">
        <v>5200.72</v>
      </c>
      <c r="E157" s="33">
        <v>35.0</v>
      </c>
      <c r="F157" s="35">
        <f t="array" ref="F157">IF(C157 ="FOB_JP", XLOOKUP(A157,CONTAINER_COST_MONTH!$A$2:$A$13,CONTAINER_COST_MONTH!$B$2:$B$13), 285)</f>
        <v>3220</v>
      </c>
      <c r="G157" s="35">
        <f t="shared" si="1"/>
        <v>92</v>
      </c>
      <c r="H157" s="38">
        <f t="array" ref="H157">XLOOKUP(COST_BUY_MONTHLY!$C157,TAX!$A$2:$A$3,TAX!$B$2:$B$3)</f>
        <v>0.002</v>
      </c>
      <c r="I157" s="39">
        <f t="array" ref="I157">XLOOKUP(COST_BUY_MONTHLY!$C157,TAX!$A$2:$A$3,TAX!$C$2:$C$3)</f>
        <v>0.2</v>
      </c>
      <c r="J157" s="39">
        <f t="array" ref="J157">XLOOKUP(COST_BUY_MONTHLY!$C157,TAX!$A$2:$A$3,TAX!$D$2:$D$3)</f>
        <v>0.1</v>
      </c>
      <c r="K157" s="35">
        <f t="shared" si="2"/>
        <v>7000.363181</v>
      </c>
    </row>
    <row r="158" ht="14.25" customHeight="1">
      <c r="A158" s="33" t="s">
        <v>258</v>
      </c>
      <c r="B158" s="33" t="s">
        <v>98</v>
      </c>
      <c r="C158" s="33" t="s">
        <v>236</v>
      </c>
      <c r="D158" s="35">
        <v>8465.36</v>
      </c>
      <c r="E158" s="33">
        <v>35.0</v>
      </c>
      <c r="F158" s="35">
        <f t="array" ref="F158">IF(C158 ="FOB_JP", XLOOKUP(A158,CONTAINER_COST_MONTH!$A$2:$A$13,CONTAINER_COST_MONTH!$B$2:$B$13), 285)</f>
        <v>3220</v>
      </c>
      <c r="G158" s="35">
        <f t="shared" si="1"/>
        <v>92</v>
      </c>
      <c r="H158" s="38">
        <f t="array" ref="H158">XLOOKUP(COST_BUY_MONTHLY!$C158,TAX!$A$2:$A$3,TAX!$B$2:$B$3)</f>
        <v>0.002</v>
      </c>
      <c r="I158" s="39">
        <f t="array" ref="I158">XLOOKUP(COST_BUY_MONTHLY!$C158,TAX!$A$2:$A$3,TAX!$C$2:$C$3)</f>
        <v>0.2</v>
      </c>
      <c r="J158" s="39">
        <f t="array" ref="J158">XLOOKUP(COST_BUY_MONTHLY!$C158,TAX!$A$2:$A$3,TAX!$D$2:$D$3)</f>
        <v>0.1</v>
      </c>
      <c r="K158" s="35">
        <f t="shared" si="2"/>
        <v>11318.30663</v>
      </c>
    </row>
    <row r="159" ht="14.25" customHeight="1">
      <c r="A159" s="33" t="s">
        <v>258</v>
      </c>
      <c r="B159" s="33" t="s">
        <v>100</v>
      </c>
      <c r="C159" s="33" t="s">
        <v>236</v>
      </c>
      <c r="D159" s="35">
        <v>2560.12</v>
      </c>
      <c r="E159" s="33">
        <v>35.0</v>
      </c>
      <c r="F159" s="35">
        <f t="array" ref="F159">IF(C159 ="FOB_JP", XLOOKUP(A159,CONTAINER_COST_MONTH!$A$2:$A$13,CONTAINER_COST_MONTH!$B$2:$B$13), 285)</f>
        <v>3220</v>
      </c>
      <c r="G159" s="35">
        <f t="shared" si="1"/>
        <v>92</v>
      </c>
      <c r="H159" s="38">
        <f t="array" ref="H159">XLOOKUP(COST_BUY_MONTHLY!$C159,TAX!$A$2:$A$3,TAX!$B$2:$B$3)</f>
        <v>0.002</v>
      </c>
      <c r="I159" s="39">
        <f t="array" ref="I159">XLOOKUP(COST_BUY_MONTHLY!$C159,TAX!$A$2:$A$3,TAX!$C$2:$C$3)</f>
        <v>0.2</v>
      </c>
      <c r="J159" s="39">
        <f t="array" ref="J159">XLOOKUP(COST_BUY_MONTHLY!$C159,TAX!$A$2:$A$3,TAX!$D$2:$D$3)</f>
        <v>0.1</v>
      </c>
      <c r="K159" s="35">
        <f t="shared" si="2"/>
        <v>3507.799997</v>
      </c>
    </row>
    <row r="160" ht="14.25" customHeight="1">
      <c r="A160" s="33" t="s">
        <v>258</v>
      </c>
      <c r="B160" s="33" t="s">
        <v>102</v>
      </c>
      <c r="C160" s="33" t="s">
        <v>237</v>
      </c>
      <c r="D160" s="35">
        <v>2395.64</v>
      </c>
      <c r="E160" s="33">
        <v>35.0</v>
      </c>
      <c r="F160" s="35">
        <f t="array" ref="F160">IF(C160 ="FOB_JP", XLOOKUP(A160,CONTAINER_COST_MONTH!$A$2:$A$13,CONTAINER_COST_MONTH!$B$2:$B$13), 285)</f>
        <v>285</v>
      </c>
      <c r="G160" s="35">
        <f t="shared" si="1"/>
        <v>8.142857143</v>
      </c>
      <c r="H160" s="38">
        <f t="array" ref="H160">XLOOKUP(COST_BUY_MONTHLY!$C160,TAX!$A$2:$A$3,TAX!$B$2:$B$3)</f>
        <v>0</v>
      </c>
      <c r="I160" s="39">
        <f t="array" ref="I160">XLOOKUP(COST_BUY_MONTHLY!$C160,TAX!$A$2:$A$3,TAX!$C$2:$C$3)</f>
        <v>0</v>
      </c>
      <c r="J160" s="39">
        <f t="array" ref="J160">XLOOKUP(COST_BUY_MONTHLY!$C160,TAX!$A$2:$A$3,TAX!$D$2:$D$3)</f>
        <v>0.1</v>
      </c>
      <c r="K160" s="35">
        <f t="shared" si="2"/>
        <v>2644.161143</v>
      </c>
    </row>
    <row r="161" ht="14.25" customHeight="1">
      <c r="A161" s="33" t="s">
        <v>258</v>
      </c>
      <c r="B161" s="33" t="s">
        <v>104</v>
      </c>
      <c r="C161" s="33" t="s">
        <v>237</v>
      </c>
      <c r="D161" s="35">
        <v>3968.98</v>
      </c>
      <c r="E161" s="33">
        <v>35.0</v>
      </c>
      <c r="F161" s="35">
        <f t="array" ref="F161">IF(C161 ="FOB_JP", XLOOKUP(A161,CONTAINER_COST_MONTH!$A$2:$A$13,CONTAINER_COST_MONTH!$B$2:$B$13), 285)</f>
        <v>285</v>
      </c>
      <c r="G161" s="35">
        <f t="shared" si="1"/>
        <v>8.142857143</v>
      </c>
      <c r="H161" s="38">
        <f t="array" ref="H161">XLOOKUP(COST_BUY_MONTHLY!$C161,TAX!$A$2:$A$3,TAX!$B$2:$B$3)</f>
        <v>0</v>
      </c>
      <c r="I161" s="39">
        <f t="array" ref="I161">XLOOKUP(COST_BUY_MONTHLY!$C161,TAX!$A$2:$A$3,TAX!$C$2:$C$3)</f>
        <v>0</v>
      </c>
      <c r="J161" s="39">
        <f t="array" ref="J161">XLOOKUP(COST_BUY_MONTHLY!$C161,TAX!$A$2:$A$3,TAX!$D$2:$D$3)</f>
        <v>0.1</v>
      </c>
      <c r="K161" s="35">
        <f t="shared" si="2"/>
        <v>4374.835143</v>
      </c>
    </row>
    <row r="162" ht="14.25" customHeight="1">
      <c r="A162" s="33" t="s">
        <v>258</v>
      </c>
      <c r="B162" s="33" t="s">
        <v>106</v>
      </c>
      <c r="C162" s="33" t="s">
        <v>236</v>
      </c>
      <c r="D162" s="35">
        <v>3818.27</v>
      </c>
      <c r="E162" s="33">
        <v>50.0</v>
      </c>
      <c r="F162" s="35">
        <f t="array" ref="F162">IF(C162 ="FOB_JP", XLOOKUP(A162,CONTAINER_COST_MONTH!$A$2:$A$13,CONTAINER_COST_MONTH!$B$2:$B$13), 285)</f>
        <v>3220</v>
      </c>
      <c r="G162" s="35">
        <f t="shared" si="1"/>
        <v>64.4</v>
      </c>
      <c r="H162" s="38">
        <f t="array" ref="H162">XLOOKUP(COST_BUY_MONTHLY!$C162,TAX!$A$2:$A$3,TAX!$B$2:$B$3)</f>
        <v>0.002</v>
      </c>
      <c r="I162" s="39">
        <f t="array" ref="I162">XLOOKUP(COST_BUY_MONTHLY!$C162,TAX!$A$2:$A$3,TAX!$C$2:$C$3)</f>
        <v>0.2</v>
      </c>
      <c r="J162" s="39">
        <f t="array" ref="J162">XLOOKUP(COST_BUY_MONTHLY!$C162,TAX!$A$2:$A$3,TAX!$D$2:$D$3)</f>
        <v>0.1</v>
      </c>
      <c r="K162" s="35">
        <f t="shared" si="2"/>
        <v>5135.374649</v>
      </c>
    </row>
    <row r="163" ht="14.25" customHeight="1">
      <c r="A163" s="33" t="s">
        <v>258</v>
      </c>
      <c r="B163" s="33" t="s">
        <v>108</v>
      </c>
      <c r="C163" s="33" t="s">
        <v>236</v>
      </c>
      <c r="D163" s="35">
        <v>1759.11</v>
      </c>
      <c r="E163" s="33">
        <v>50.0</v>
      </c>
      <c r="F163" s="35">
        <f t="array" ref="F163">IF(C163 ="FOB_JP", XLOOKUP(A163,CONTAINER_COST_MONTH!$A$2:$A$13,CONTAINER_COST_MONTH!$B$2:$B$13), 285)</f>
        <v>3220</v>
      </c>
      <c r="G163" s="35">
        <f t="shared" si="1"/>
        <v>64.4</v>
      </c>
      <c r="H163" s="38">
        <f t="array" ref="H163">XLOOKUP(COST_BUY_MONTHLY!$C163,TAX!$A$2:$A$3,TAX!$B$2:$B$3)</f>
        <v>0.002</v>
      </c>
      <c r="I163" s="39">
        <f t="array" ref="I163">XLOOKUP(COST_BUY_MONTHLY!$C163,TAX!$A$2:$A$3,TAX!$C$2:$C$3)</f>
        <v>0.2</v>
      </c>
      <c r="J163" s="39">
        <f t="array" ref="J163">XLOOKUP(COST_BUY_MONTHLY!$C163,TAX!$A$2:$A$3,TAX!$D$2:$D$3)</f>
        <v>0.1</v>
      </c>
      <c r="K163" s="35">
        <f t="shared" si="2"/>
        <v>2411.847266</v>
      </c>
    </row>
    <row r="164" ht="14.25" customHeight="1">
      <c r="A164" s="33" t="s">
        <v>258</v>
      </c>
      <c r="B164" s="33" t="s">
        <v>110</v>
      </c>
      <c r="C164" s="33" t="s">
        <v>237</v>
      </c>
      <c r="D164" s="35">
        <v>1351.63</v>
      </c>
      <c r="E164" s="33">
        <v>50.0</v>
      </c>
      <c r="F164" s="35">
        <f t="array" ref="F164">IF(C164 ="FOB_JP", XLOOKUP(A164,CONTAINER_COST_MONTH!$A$2:$A$13,CONTAINER_COST_MONTH!$B$2:$B$13), 285)</f>
        <v>285</v>
      </c>
      <c r="G164" s="35">
        <f t="shared" si="1"/>
        <v>5.7</v>
      </c>
      <c r="H164" s="38">
        <f t="array" ref="H164">XLOOKUP(COST_BUY_MONTHLY!$C164,TAX!$A$2:$A$3,TAX!$B$2:$B$3)</f>
        <v>0</v>
      </c>
      <c r="I164" s="39">
        <f t="array" ref="I164">XLOOKUP(COST_BUY_MONTHLY!$C164,TAX!$A$2:$A$3,TAX!$C$2:$C$3)</f>
        <v>0</v>
      </c>
      <c r="J164" s="39">
        <f t="array" ref="J164">XLOOKUP(COST_BUY_MONTHLY!$C164,TAX!$A$2:$A$3,TAX!$D$2:$D$3)</f>
        <v>0.1</v>
      </c>
      <c r="K164" s="35">
        <f t="shared" si="2"/>
        <v>1493.063</v>
      </c>
    </row>
    <row r="165" ht="14.25" customHeight="1">
      <c r="A165" s="33" t="s">
        <v>258</v>
      </c>
      <c r="B165" s="33" t="s">
        <v>112</v>
      </c>
      <c r="C165" s="33" t="s">
        <v>237</v>
      </c>
      <c r="D165" s="35">
        <v>1642.68</v>
      </c>
      <c r="E165" s="33">
        <v>50.0</v>
      </c>
      <c r="F165" s="35">
        <f t="array" ref="F165">IF(C165 ="FOB_JP", XLOOKUP(A165,CONTAINER_COST_MONTH!$A$2:$A$13,CONTAINER_COST_MONTH!$B$2:$B$13), 285)</f>
        <v>285</v>
      </c>
      <c r="G165" s="35">
        <f t="shared" si="1"/>
        <v>5.7</v>
      </c>
      <c r="H165" s="38">
        <f t="array" ref="H165">XLOOKUP(COST_BUY_MONTHLY!$C165,TAX!$A$2:$A$3,TAX!$B$2:$B$3)</f>
        <v>0</v>
      </c>
      <c r="I165" s="39">
        <f t="array" ref="I165">XLOOKUP(COST_BUY_MONTHLY!$C165,TAX!$A$2:$A$3,TAX!$C$2:$C$3)</f>
        <v>0</v>
      </c>
      <c r="J165" s="39">
        <f t="array" ref="J165">XLOOKUP(COST_BUY_MONTHLY!$C165,TAX!$A$2:$A$3,TAX!$D$2:$D$3)</f>
        <v>0.1</v>
      </c>
      <c r="K165" s="35">
        <f t="shared" si="2"/>
        <v>1813.218</v>
      </c>
    </row>
    <row r="166" ht="14.25" customHeight="1">
      <c r="A166" s="33" t="s">
        <v>258</v>
      </c>
      <c r="B166" s="33" t="s">
        <v>114</v>
      </c>
      <c r="C166" s="33" t="s">
        <v>236</v>
      </c>
      <c r="D166" s="35">
        <v>4859.01</v>
      </c>
      <c r="E166" s="33">
        <v>20.0</v>
      </c>
      <c r="F166" s="35">
        <f t="array" ref="F166">IF(C166 ="FOB_JP", XLOOKUP(A166,CONTAINER_COST_MONTH!$A$2:$A$13,CONTAINER_COST_MONTH!$B$2:$B$13), 285)</f>
        <v>3220</v>
      </c>
      <c r="G166" s="35">
        <f t="shared" si="1"/>
        <v>161</v>
      </c>
      <c r="H166" s="38">
        <f t="array" ref="H166">XLOOKUP(COST_BUY_MONTHLY!$C166,TAX!$A$2:$A$3,TAX!$B$2:$B$3)</f>
        <v>0.002</v>
      </c>
      <c r="I166" s="39">
        <f t="array" ref="I166">XLOOKUP(COST_BUY_MONTHLY!$C166,TAX!$A$2:$A$3,TAX!$C$2:$C$3)</f>
        <v>0.2</v>
      </c>
      <c r="J166" s="39">
        <f t="array" ref="J166">XLOOKUP(COST_BUY_MONTHLY!$C166,TAX!$A$2:$A$3,TAX!$D$2:$D$3)</f>
        <v>0.1</v>
      </c>
      <c r="K166" s="35">
        <f t="shared" si="2"/>
        <v>6639.666026</v>
      </c>
    </row>
    <row r="167" ht="14.25" customHeight="1">
      <c r="A167" s="33" t="s">
        <v>258</v>
      </c>
      <c r="B167" s="33" t="s">
        <v>116</v>
      </c>
      <c r="C167" s="33" t="s">
        <v>236</v>
      </c>
      <c r="D167" s="35">
        <v>718.36</v>
      </c>
      <c r="E167" s="33">
        <v>50.0</v>
      </c>
      <c r="F167" s="35">
        <f t="array" ref="F167">IF(C167 ="FOB_JP", XLOOKUP(A167,CONTAINER_COST_MONTH!$A$2:$A$13,CONTAINER_COST_MONTH!$B$2:$B$13), 285)</f>
        <v>3220</v>
      </c>
      <c r="G167" s="35">
        <f t="shared" si="1"/>
        <v>64.4</v>
      </c>
      <c r="H167" s="38">
        <f t="array" ref="H167">XLOOKUP(COST_BUY_MONTHLY!$C167,TAX!$A$2:$A$3,TAX!$B$2:$B$3)</f>
        <v>0.002</v>
      </c>
      <c r="I167" s="39">
        <f t="array" ref="I167">XLOOKUP(COST_BUY_MONTHLY!$C167,TAX!$A$2:$A$3,TAX!$C$2:$C$3)</f>
        <v>0.2</v>
      </c>
      <c r="J167" s="39">
        <f t="array" ref="J167">XLOOKUP(COST_BUY_MONTHLY!$C167,TAX!$A$2:$A$3,TAX!$D$2:$D$3)</f>
        <v>0.1</v>
      </c>
      <c r="K167" s="35">
        <f t="shared" si="2"/>
        <v>1035.309686</v>
      </c>
    </row>
    <row r="168" ht="14.25" customHeight="1">
      <c r="A168" s="33" t="s">
        <v>258</v>
      </c>
      <c r="B168" s="33" t="s">
        <v>118</v>
      </c>
      <c r="C168" s="33" t="s">
        <v>236</v>
      </c>
      <c r="D168" s="35">
        <v>2169.04</v>
      </c>
      <c r="E168" s="33">
        <v>50.0</v>
      </c>
      <c r="F168" s="35">
        <f t="array" ref="F168">IF(C168 ="FOB_JP", XLOOKUP(A168,CONTAINER_COST_MONTH!$A$2:$A$13,CONTAINER_COST_MONTH!$B$2:$B$13), 285)</f>
        <v>3220</v>
      </c>
      <c r="G168" s="35">
        <f t="shared" si="1"/>
        <v>64.4</v>
      </c>
      <c r="H168" s="38">
        <f t="array" ref="H168">XLOOKUP(COST_BUY_MONTHLY!$C168,TAX!$A$2:$A$3,TAX!$B$2:$B$3)</f>
        <v>0.002</v>
      </c>
      <c r="I168" s="39">
        <f t="array" ref="I168">XLOOKUP(COST_BUY_MONTHLY!$C168,TAX!$A$2:$A$3,TAX!$C$2:$C$3)</f>
        <v>0.2</v>
      </c>
      <c r="J168" s="39">
        <f t="array" ref="J168">XLOOKUP(COST_BUY_MONTHLY!$C168,TAX!$A$2:$A$3,TAX!$D$2:$D$3)</f>
        <v>0.1</v>
      </c>
      <c r="K168" s="35">
        <f t="shared" si="2"/>
        <v>2954.037082</v>
      </c>
    </row>
    <row r="169" ht="14.25" customHeight="1">
      <c r="A169" s="33" t="s">
        <v>258</v>
      </c>
      <c r="B169" s="33" t="s">
        <v>120</v>
      </c>
      <c r="C169" s="33" t="s">
        <v>236</v>
      </c>
      <c r="D169" s="35">
        <v>3408.33</v>
      </c>
      <c r="E169" s="33">
        <v>50.0</v>
      </c>
      <c r="F169" s="35">
        <f t="array" ref="F169">IF(C169 ="FOB_JP", XLOOKUP(A169,CONTAINER_COST_MONTH!$A$2:$A$13,CONTAINER_COST_MONTH!$B$2:$B$13), 285)</f>
        <v>3220</v>
      </c>
      <c r="G169" s="35">
        <f t="shared" si="1"/>
        <v>64.4</v>
      </c>
      <c r="H169" s="38">
        <f t="array" ref="H169">XLOOKUP(COST_BUY_MONTHLY!$C169,TAX!$A$2:$A$3,TAX!$B$2:$B$3)</f>
        <v>0.002</v>
      </c>
      <c r="I169" s="39">
        <f t="array" ref="I169">XLOOKUP(COST_BUY_MONTHLY!$C169,TAX!$A$2:$A$3,TAX!$C$2:$C$3)</f>
        <v>0.2</v>
      </c>
      <c r="J169" s="39">
        <f t="array" ref="J169">XLOOKUP(COST_BUY_MONTHLY!$C169,TAX!$A$2:$A$3,TAX!$D$2:$D$3)</f>
        <v>0.1</v>
      </c>
      <c r="K169" s="35">
        <f t="shared" si="2"/>
        <v>4593.171607</v>
      </c>
    </row>
    <row r="170" ht="14.25" customHeight="1">
      <c r="A170" s="33" t="s">
        <v>258</v>
      </c>
      <c r="B170" s="33" t="s">
        <v>122</v>
      </c>
      <c r="C170" s="33" t="s">
        <v>237</v>
      </c>
      <c r="D170" s="35">
        <v>647.07</v>
      </c>
      <c r="E170" s="33">
        <v>50.0</v>
      </c>
      <c r="F170" s="35">
        <f t="array" ref="F170">IF(C170 ="FOB_JP", XLOOKUP(A170,CONTAINER_COST_MONTH!$A$2:$A$13,CONTAINER_COST_MONTH!$B$2:$B$13), 285)</f>
        <v>285</v>
      </c>
      <c r="G170" s="35">
        <f t="shared" si="1"/>
        <v>5.7</v>
      </c>
      <c r="H170" s="38">
        <f t="array" ref="H170">XLOOKUP(COST_BUY_MONTHLY!$C170,TAX!$A$2:$A$3,TAX!$B$2:$B$3)</f>
        <v>0</v>
      </c>
      <c r="I170" s="39">
        <f t="array" ref="I170">XLOOKUP(COST_BUY_MONTHLY!$C170,TAX!$A$2:$A$3,TAX!$C$2:$C$3)</f>
        <v>0</v>
      </c>
      <c r="J170" s="39">
        <f t="array" ref="J170">XLOOKUP(COST_BUY_MONTHLY!$C170,TAX!$A$2:$A$3,TAX!$D$2:$D$3)</f>
        <v>0.1</v>
      </c>
      <c r="K170" s="35">
        <f t="shared" si="2"/>
        <v>718.047</v>
      </c>
    </row>
    <row r="171" ht="14.25" customHeight="1">
      <c r="A171" s="33" t="s">
        <v>258</v>
      </c>
      <c r="B171" s="33" t="s">
        <v>124</v>
      </c>
      <c r="C171" s="33" t="s">
        <v>237</v>
      </c>
      <c r="D171" s="35">
        <v>2347.24</v>
      </c>
      <c r="E171" s="33">
        <v>50.0</v>
      </c>
      <c r="F171" s="35">
        <f t="array" ref="F171">IF(C171 ="FOB_JP", XLOOKUP(A171,CONTAINER_COST_MONTH!$A$2:$A$13,CONTAINER_COST_MONTH!$B$2:$B$13), 285)</f>
        <v>285</v>
      </c>
      <c r="G171" s="35">
        <f t="shared" si="1"/>
        <v>5.7</v>
      </c>
      <c r="H171" s="38">
        <f t="array" ref="H171">XLOOKUP(COST_BUY_MONTHLY!$C171,TAX!$A$2:$A$3,TAX!$B$2:$B$3)</f>
        <v>0</v>
      </c>
      <c r="I171" s="39">
        <f t="array" ref="I171">XLOOKUP(COST_BUY_MONTHLY!$C171,TAX!$A$2:$A$3,TAX!$C$2:$C$3)</f>
        <v>0</v>
      </c>
      <c r="J171" s="39">
        <f t="array" ref="J171">XLOOKUP(COST_BUY_MONTHLY!$C171,TAX!$A$2:$A$3,TAX!$D$2:$D$3)</f>
        <v>0.1</v>
      </c>
      <c r="K171" s="35">
        <f t="shared" si="2"/>
        <v>2588.234</v>
      </c>
    </row>
    <row r="172" ht="14.25" customHeight="1">
      <c r="A172" s="33" t="s">
        <v>258</v>
      </c>
      <c r="B172" s="33" t="s">
        <v>126</v>
      </c>
      <c r="C172" s="33" t="s">
        <v>236</v>
      </c>
      <c r="D172" s="35">
        <v>3638.25</v>
      </c>
      <c r="E172" s="33">
        <v>35.0</v>
      </c>
      <c r="F172" s="35">
        <f t="array" ref="F172">IF(C172 ="FOB_JP", XLOOKUP(A172,CONTAINER_COST_MONTH!$A$2:$A$13,CONTAINER_COST_MONTH!$B$2:$B$13), 285)</f>
        <v>3220</v>
      </c>
      <c r="G172" s="35">
        <f t="shared" si="1"/>
        <v>92</v>
      </c>
      <c r="H172" s="38">
        <f t="array" ref="H172">XLOOKUP(COST_BUY_MONTHLY!$C172,TAX!$A$2:$A$3,TAX!$B$2:$B$3)</f>
        <v>0.002</v>
      </c>
      <c r="I172" s="39">
        <f t="array" ref="I172">XLOOKUP(COST_BUY_MONTHLY!$C172,TAX!$A$2:$A$3,TAX!$C$2:$C$3)</f>
        <v>0.2</v>
      </c>
      <c r="J172" s="39">
        <f t="array" ref="J172">XLOOKUP(COST_BUY_MONTHLY!$C172,TAX!$A$2:$A$3,TAX!$D$2:$D$3)</f>
        <v>0.1</v>
      </c>
      <c r="K172" s="35">
        <f t="shared" si="2"/>
        <v>4933.77786</v>
      </c>
    </row>
    <row r="173" ht="14.25" customHeight="1">
      <c r="A173" s="33" t="s">
        <v>258</v>
      </c>
      <c r="B173" s="33" t="s">
        <v>128</v>
      </c>
      <c r="C173" s="33" t="s">
        <v>236</v>
      </c>
      <c r="D173" s="35">
        <v>5005.73</v>
      </c>
      <c r="E173" s="33">
        <v>35.0</v>
      </c>
      <c r="F173" s="35">
        <f t="array" ref="F173">IF(C173 ="FOB_JP", XLOOKUP(A173,CONTAINER_COST_MONTH!$A$2:$A$13,CONTAINER_COST_MONTH!$B$2:$B$13), 285)</f>
        <v>3220</v>
      </c>
      <c r="G173" s="35">
        <f t="shared" si="1"/>
        <v>92</v>
      </c>
      <c r="H173" s="38">
        <f t="array" ref="H173">XLOOKUP(COST_BUY_MONTHLY!$C173,TAX!$A$2:$A$3,TAX!$B$2:$B$3)</f>
        <v>0.002</v>
      </c>
      <c r="I173" s="39">
        <f t="array" ref="I173">XLOOKUP(COST_BUY_MONTHLY!$C173,TAX!$A$2:$A$3,TAX!$C$2:$C$3)</f>
        <v>0.2</v>
      </c>
      <c r="J173" s="39">
        <f t="array" ref="J173">XLOOKUP(COST_BUY_MONTHLY!$C173,TAX!$A$2:$A$3,TAX!$D$2:$D$3)</f>
        <v>0.1</v>
      </c>
      <c r="K173" s="35">
        <f t="shared" si="2"/>
        <v>6742.461607</v>
      </c>
    </row>
    <row r="174" ht="14.25" customHeight="1">
      <c r="A174" s="33" t="s">
        <v>258</v>
      </c>
      <c r="B174" s="33" t="s">
        <v>130</v>
      </c>
      <c r="C174" s="33" t="s">
        <v>237</v>
      </c>
      <c r="D174" s="35">
        <v>3760.36</v>
      </c>
      <c r="E174" s="33">
        <v>35.0</v>
      </c>
      <c r="F174" s="35">
        <f t="array" ref="F174">IF(C174 ="FOB_JP", XLOOKUP(A174,CONTAINER_COST_MONTH!$A$2:$A$13,CONTAINER_COST_MONTH!$B$2:$B$13), 285)</f>
        <v>285</v>
      </c>
      <c r="G174" s="35">
        <f t="shared" si="1"/>
        <v>8.142857143</v>
      </c>
      <c r="H174" s="38">
        <f t="array" ref="H174">XLOOKUP(COST_BUY_MONTHLY!$C174,TAX!$A$2:$A$3,TAX!$B$2:$B$3)</f>
        <v>0</v>
      </c>
      <c r="I174" s="39">
        <f t="array" ref="I174">XLOOKUP(COST_BUY_MONTHLY!$C174,TAX!$A$2:$A$3,TAX!$C$2:$C$3)</f>
        <v>0</v>
      </c>
      <c r="J174" s="39">
        <f t="array" ref="J174">XLOOKUP(COST_BUY_MONTHLY!$C174,TAX!$A$2:$A$3,TAX!$D$2:$D$3)</f>
        <v>0.1</v>
      </c>
      <c r="K174" s="35">
        <f t="shared" si="2"/>
        <v>4145.353143</v>
      </c>
    </row>
    <row r="175" ht="14.25" customHeight="1">
      <c r="A175" s="33" t="s">
        <v>258</v>
      </c>
      <c r="B175" s="33" t="s">
        <v>132</v>
      </c>
      <c r="C175" s="33" t="s">
        <v>237</v>
      </c>
      <c r="D175" s="35">
        <v>1229.5</v>
      </c>
      <c r="E175" s="33">
        <v>35.0</v>
      </c>
      <c r="F175" s="35">
        <f t="array" ref="F175">IF(C175 ="FOB_JP", XLOOKUP(A175,CONTAINER_COST_MONTH!$A$2:$A$13,CONTAINER_COST_MONTH!$B$2:$B$13), 285)</f>
        <v>285</v>
      </c>
      <c r="G175" s="35">
        <f t="shared" si="1"/>
        <v>8.142857143</v>
      </c>
      <c r="H175" s="38">
        <f t="array" ref="H175">XLOOKUP(COST_BUY_MONTHLY!$C175,TAX!$A$2:$A$3,TAX!$B$2:$B$3)</f>
        <v>0</v>
      </c>
      <c r="I175" s="39">
        <f t="array" ref="I175">XLOOKUP(COST_BUY_MONTHLY!$C175,TAX!$A$2:$A$3,TAX!$C$2:$C$3)</f>
        <v>0</v>
      </c>
      <c r="J175" s="39">
        <f t="array" ref="J175">XLOOKUP(COST_BUY_MONTHLY!$C175,TAX!$A$2:$A$3,TAX!$D$2:$D$3)</f>
        <v>0.1</v>
      </c>
      <c r="K175" s="35">
        <f t="shared" si="2"/>
        <v>1361.407143</v>
      </c>
    </row>
    <row r="176" ht="14.25" customHeight="1">
      <c r="A176" s="33" t="s">
        <v>258</v>
      </c>
      <c r="B176" s="33" t="s">
        <v>134</v>
      </c>
      <c r="C176" s="33" t="s">
        <v>236</v>
      </c>
      <c r="D176" s="35">
        <v>4169.85</v>
      </c>
      <c r="E176" s="33">
        <v>14.0</v>
      </c>
      <c r="F176" s="35">
        <f t="array" ref="F176">IF(C176 ="FOB_JP", XLOOKUP(A176,CONTAINER_COST_MONTH!$A$2:$A$13,CONTAINER_COST_MONTH!$B$2:$B$13), 285)</f>
        <v>3220</v>
      </c>
      <c r="G176" s="35">
        <f t="shared" si="1"/>
        <v>230</v>
      </c>
      <c r="H176" s="38">
        <f t="array" ref="H176">XLOOKUP(COST_BUY_MONTHLY!$C176,TAX!$A$2:$A$3,TAX!$B$2:$B$3)</f>
        <v>0.002</v>
      </c>
      <c r="I176" s="39">
        <f t="array" ref="I176">XLOOKUP(COST_BUY_MONTHLY!$C176,TAX!$A$2:$A$3,TAX!$C$2:$C$3)</f>
        <v>0.2</v>
      </c>
      <c r="J176" s="39">
        <f t="array" ref="J176">XLOOKUP(COST_BUY_MONTHLY!$C176,TAX!$A$2:$A$3,TAX!$D$2:$D$3)</f>
        <v>0.1</v>
      </c>
      <c r="K176" s="35">
        <f t="shared" si="2"/>
        <v>5819.417604</v>
      </c>
    </row>
    <row r="177" ht="14.25" customHeight="1">
      <c r="A177" s="33" t="s">
        <v>258</v>
      </c>
      <c r="B177" s="33" t="s">
        <v>136</v>
      </c>
      <c r="C177" s="33" t="s">
        <v>236</v>
      </c>
      <c r="D177" s="35">
        <v>4474.12</v>
      </c>
      <c r="E177" s="33">
        <v>35.0</v>
      </c>
      <c r="F177" s="35">
        <f t="array" ref="F177">IF(C177 ="FOB_JP", XLOOKUP(A177,CONTAINER_COST_MONTH!$A$2:$A$13,CONTAINER_COST_MONTH!$B$2:$B$13), 285)</f>
        <v>3220</v>
      </c>
      <c r="G177" s="35">
        <f t="shared" si="1"/>
        <v>92</v>
      </c>
      <c r="H177" s="38">
        <f t="array" ref="H177">XLOOKUP(COST_BUY_MONTHLY!$C177,TAX!$A$2:$A$3,TAX!$B$2:$B$3)</f>
        <v>0.002</v>
      </c>
      <c r="I177" s="39">
        <f t="array" ref="I177">XLOOKUP(COST_BUY_MONTHLY!$C177,TAX!$A$2:$A$3,TAX!$C$2:$C$3)</f>
        <v>0.2</v>
      </c>
      <c r="J177" s="39">
        <f t="array" ref="J177">XLOOKUP(COST_BUY_MONTHLY!$C177,TAX!$A$2:$A$3,TAX!$D$2:$D$3)</f>
        <v>0.1</v>
      </c>
      <c r="K177" s="35">
        <f t="shared" si="2"/>
        <v>6039.332957</v>
      </c>
    </row>
    <row r="178" ht="14.25" customHeight="1">
      <c r="A178" s="33" t="s">
        <v>258</v>
      </c>
      <c r="B178" s="33" t="s">
        <v>138</v>
      </c>
      <c r="C178" s="33" t="s">
        <v>236</v>
      </c>
      <c r="D178" s="35">
        <v>1857.59</v>
      </c>
      <c r="E178" s="33">
        <v>35.0</v>
      </c>
      <c r="F178" s="35">
        <f t="array" ref="F178">IF(C178 ="FOB_JP", XLOOKUP(A178,CONTAINER_COST_MONTH!$A$2:$A$13,CONTAINER_COST_MONTH!$B$2:$B$13), 285)</f>
        <v>3220</v>
      </c>
      <c r="G178" s="35">
        <f t="shared" si="1"/>
        <v>92</v>
      </c>
      <c r="H178" s="38">
        <f t="array" ref="H178">XLOOKUP(COST_BUY_MONTHLY!$C178,TAX!$A$2:$A$3,TAX!$B$2:$B$3)</f>
        <v>0.002</v>
      </c>
      <c r="I178" s="39">
        <f t="array" ref="I178">XLOOKUP(COST_BUY_MONTHLY!$C178,TAX!$A$2:$A$3,TAX!$C$2:$C$3)</f>
        <v>0.2</v>
      </c>
      <c r="J178" s="39">
        <f t="array" ref="J178">XLOOKUP(COST_BUY_MONTHLY!$C178,TAX!$A$2:$A$3,TAX!$D$2:$D$3)</f>
        <v>0.1</v>
      </c>
      <c r="K178" s="35">
        <f t="shared" si="2"/>
        <v>2578.605718</v>
      </c>
    </row>
    <row r="179" ht="14.25" customHeight="1">
      <c r="A179" s="33" t="s">
        <v>258</v>
      </c>
      <c r="B179" s="33" t="s">
        <v>140</v>
      </c>
      <c r="C179" s="33" t="s">
        <v>236</v>
      </c>
      <c r="D179" s="35">
        <v>6786.38</v>
      </c>
      <c r="E179" s="33">
        <v>35.0</v>
      </c>
      <c r="F179" s="35">
        <f t="array" ref="F179">IF(C179 ="FOB_JP", XLOOKUP(A179,CONTAINER_COST_MONTH!$A$2:$A$13,CONTAINER_COST_MONTH!$B$2:$B$13), 285)</f>
        <v>3220</v>
      </c>
      <c r="G179" s="35">
        <f t="shared" si="1"/>
        <v>92</v>
      </c>
      <c r="H179" s="38">
        <f t="array" ref="H179">XLOOKUP(COST_BUY_MONTHLY!$C179,TAX!$A$2:$A$3,TAX!$B$2:$B$3)</f>
        <v>0.002</v>
      </c>
      <c r="I179" s="39">
        <f t="array" ref="I179">XLOOKUP(COST_BUY_MONTHLY!$C179,TAX!$A$2:$A$3,TAX!$C$2:$C$3)</f>
        <v>0.2</v>
      </c>
      <c r="J179" s="39">
        <f t="array" ref="J179">XLOOKUP(COST_BUY_MONTHLY!$C179,TAX!$A$2:$A$3,TAX!$D$2:$D$3)</f>
        <v>0.1</v>
      </c>
      <c r="K179" s="35">
        <f t="shared" si="2"/>
        <v>9097.620523</v>
      </c>
    </row>
    <row r="180" ht="14.25" customHeight="1">
      <c r="A180" s="33" t="s">
        <v>258</v>
      </c>
      <c r="B180" s="33" t="s">
        <v>142</v>
      </c>
      <c r="C180" s="33" t="s">
        <v>237</v>
      </c>
      <c r="D180" s="35">
        <v>2264.4</v>
      </c>
      <c r="E180" s="33">
        <v>35.0</v>
      </c>
      <c r="F180" s="35">
        <f t="array" ref="F180">IF(C180 ="FOB_JP", XLOOKUP(A180,CONTAINER_COST_MONTH!$A$2:$A$13,CONTAINER_COST_MONTH!$B$2:$B$13), 285)</f>
        <v>285</v>
      </c>
      <c r="G180" s="35">
        <f t="shared" si="1"/>
        <v>8.142857143</v>
      </c>
      <c r="H180" s="38">
        <f t="array" ref="H180">XLOOKUP(COST_BUY_MONTHLY!$C180,TAX!$A$2:$A$3,TAX!$B$2:$B$3)</f>
        <v>0</v>
      </c>
      <c r="I180" s="39">
        <f t="array" ref="I180">XLOOKUP(COST_BUY_MONTHLY!$C180,TAX!$A$2:$A$3,TAX!$C$2:$C$3)</f>
        <v>0</v>
      </c>
      <c r="J180" s="39">
        <f t="array" ref="J180">XLOOKUP(COST_BUY_MONTHLY!$C180,TAX!$A$2:$A$3,TAX!$D$2:$D$3)</f>
        <v>0.1</v>
      </c>
      <c r="K180" s="35">
        <f t="shared" si="2"/>
        <v>2499.797143</v>
      </c>
    </row>
    <row r="181" ht="14.25" customHeight="1">
      <c r="A181" s="33" t="s">
        <v>258</v>
      </c>
      <c r="B181" s="33" t="s">
        <v>144</v>
      </c>
      <c r="C181" s="33" t="s">
        <v>237</v>
      </c>
      <c r="D181" s="35">
        <v>2725.46</v>
      </c>
      <c r="E181" s="33">
        <v>35.0</v>
      </c>
      <c r="F181" s="35">
        <f t="array" ref="F181">IF(C181 ="FOB_JP", XLOOKUP(A181,CONTAINER_COST_MONTH!$A$2:$A$13,CONTAINER_COST_MONTH!$B$2:$B$13), 285)</f>
        <v>285</v>
      </c>
      <c r="G181" s="35">
        <f t="shared" si="1"/>
        <v>8.142857143</v>
      </c>
      <c r="H181" s="38">
        <f t="array" ref="H181">XLOOKUP(COST_BUY_MONTHLY!$C181,TAX!$A$2:$A$3,TAX!$B$2:$B$3)</f>
        <v>0</v>
      </c>
      <c r="I181" s="39">
        <f t="array" ref="I181">XLOOKUP(COST_BUY_MONTHLY!$C181,TAX!$A$2:$A$3,TAX!$C$2:$C$3)</f>
        <v>0</v>
      </c>
      <c r="J181" s="39">
        <f t="array" ref="J181">XLOOKUP(COST_BUY_MONTHLY!$C181,TAX!$A$2:$A$3,TAX!$D$2:$D$3)</f>
        <v>0.1</v>
      </c>
      <c r="K181" s="35">
        <f t="shared" si="2"/>
        <v>3006.963143</v>
      </c>
    </row>
    <row r="182" ht="14.25" customHeight="1">
      <c r="A182" s="33" t="s">
        <v>259</v>
      </c>
      <c r="B182" s="33" t="s">
        <v>11</v>
      </c>
      <c r="C182" s="33" t="s">
        <v>236</v>
      </c>
      <c r="D182" s="35">
        <v>4048.09</v>
      </c>
      <c r="E182" s="33">
        <v>10.0</v>
      </c>
      <c r="F182" s="35">
        <f t="array" ref="F182">IF(C182 ="FOB_JP", XLOOKUP(A182,CONTAINER_COST_MONTH!$A$2:$A$13,CONTAINER_COST_MONTH!$B$2:$B$13), 285)</f>
        <v>3324</v>
      </c>
      <c r="G182" s="35">
        <f t="shared" si="1"/>
        <v>332.4</v>
      </c>
      <c r="H182" s="38">
        <f t="array" ref="H182">XLOOKUP(COST_BUY_MONTHLY!$C182,TAX!$A$2:$A$3,TAX!$B$2:$B$3)</f>
        <v>0.002</v>
      </c>
      <c r="I182" s="39">
        <f t="array" ref="I182">XLOOKUP(COST_BUY_MONTHLY!$C182,TAX!$A$2:$A$3,TAX!$C$2:$C$3)</f>
        <v>0.2</v>
      </c>
      <c r="J182" s="39">
        <f t="array" ref="J182">XLOOKUP(COST_BUY_MONTHLY!$C182,TAX!$A$2:$A$3,TAX!$D$2:$D$3)</f>
        <v>0.1</v>
      </c>
      <c r="K182" s="35">
        <f t="shared" si="2"/>
        <v>5793.811294</v>
      </c>
    </row>
    <row r="183" ht="14.25" customHeight="1">
      <c r="A183" s="33" t="s">
        <v>259</v>
      </c>
      <c r="B183" s="33" t="s">
        <v>18</v>
      </c>
      <c r="C183" s="33" t="s">
        <v>237</v>
      </c>
      <c r="D183" s="35">
        <v>2173.3</v>
      </c>
      <c r="E183" s="33">
        <v>40.0</v>
      </c>
      <c r="F183" s="35">
        <f t="array" ref="F183">IF(C183 ="FOB_JP", XLOOKUP(A183,CONTAINER_COST_MONTH!$A$2:$A$13,CONTAINER_COST_MONTH!$B$2:$B$13), 285)</f>
        <v>285</v>
      </c>
      <c r="G183" s="35">
        <f t="shared" si="1"/>
        <v>7.125</v>
      </c>
      <c r="H183" s="38">
        <f t="array" ref="H183">XLOOKUP(COST_BUY_MONTHLY!$C183,TAX!$A$2:$A$3,TAX!$B$2:$B$3)</f>
        <v>0</v>
      </c>
      <c r="I183" s="39">
        <f t="array" ref="I183">XLOOKUP(COST_BUY_MONTHLY!$C183,TAX!$A$2:$A$3,TAX!$C$2:$C$3)</f>
        <v>0</v>
      </c>
      <c r="J183" s="39">
        <f t="array" ref="J183">XLOOKUP(COST_BUY_MONTHLY!$C183,TAX!$A$2:$A$3,TAX!$D$2:$D$3)</f>
        <v>0.1</v>
      </c>
      <c r="K183" s="35">
        <f t="shared" si="2"/>
        <v>2398.4675</v>
      </c>
    </row>
    <row r="184" ht="14.25" customHeight="1">
      <c r="A184" s="33" t="s">
        <v>259</v>
      </c>
      <c r="B184" s="33" t="s">
        <v>22</v>
      </c>
      <c r="C184" s="33" t="s">
        <v>236</v>
      </c>
      <c r="D184" s="35">
        <v>4048.09</v>
      </c>
      <c r="E184" s="33">
        <v>20.0</v>
      </c>
      <c r="F184" s="35">
        <f t="array" ref="F184">IF(C184 ="FOB_JP", XLOOKUP(A184,CONTAINER_COST_MONTH!$A$2:$A$13,CONTAINER_COST_MONTH!$B$2:$B$13), 285)</f>
        <v>3324</v>
      </c>
      <c r="G184" s="35">
        <f t="shared" si="1"/>
        <v>166.2</v>
      </c>
      <c r="H184" s="38">
        <f t="array" ref="H184">XLOOKUP(COST_BUY_MONTHLY!$C184,TAX!$A$2:$A$3,TAX!$B$2:$B$3)</f>
        <v>0.002</v>
      </c>
      <c r="I184" s="39">
        <f t="array" ref="I184">XLOOKUP(COST_BUY_MONTHLY!$C184,TAX!$A$2:$A$3,TAX!$C$2:$C$3)</f>
        <v>0.2</v>
      </c>
      <c r="J184" s="39">
        <f t="array" ref="J184">XLOOKUP(COST_BUY_MONTHLY!$C184,TAX!$A$2:$A$3,TAX!$D$2:$D$3)</f>
        <v>0.1</v>
      </c>
      <c r="K184" s="35">
        <f t="shared" si="2"/>
        <v>5573.988526</v>
      </c>
    </row>
    <row r="185" ht="14.25" customHeight="1">
      <c r="A185" s="33" t="s">
        <v>259</v>
      </c>
      <c r="B185" s="33" t="s">
        <v>24</v>
      </c>
      <c r="C185" s="33" t="s">
        <v>236</v>
      </c>
      <c r="D185" s="35">
        <v>4048.09</v>
      </c>
      <c r="E185" s="33">
        <v>15.0</v>
      </c>
      <c r="F185" s="35">
        <f t="array" ref="F185">IF(C185 ="FOB_JP", XLOOKUP(A185,CONTAINER_COST_MONTH!$A$2:$A$13,CONTAINER_COST_MONTH!$B$2:$B$13), 285)</f>
        <v>3324</v>
      </c>
      <c r="G185" s="35">
        <f t="shared" si="1"/>
        <v>221.6</v>
      </c>
      <c r="H185" s="38">
        <f t="array" ref="H185">XLOOKUP(COST_BUY_MONTHLY!$C185,TAX!$A$2:$A$3,TAX!$B$2:$B$3)</f>
        <v>0.002</v>
      </c>
      <c r="I185" s="39">
        <f t="array" ref="I185">XLOOKUP(COST_BUY_MONTHLY!$C185,TAX!$A$2:$A$3,TAX!$C$2:$C$3)</f>
        <v>0.2</v>
      </c>
      <c r="J185" s="39">
        <f t="array" ref="J185">XLOOKUP(COST_BUY_MONTHLY!$C185,TAX!$A$2:$A$3,TAX!$D$2:$D$3)</f>
        <v>0.1</v>
      </c>
      <c r="K185" s="35">
        <f t="shared" si="2"/>
        <v>5647.262782</v>
      </c>
    </row>
    <row r="186" ht="14.25" customHeight="1">
      <c r="A186" s="33" t="s">
        <v>259</v>
      </c>
      <c r="B186" s="33" t="s">
        <v>26</v>
      </c>
      <c r="C186" s="33" t="s">
        <v>237</v>
      </c>
      <c r="D186" s="35">
        <v>2173.3</v>
      </c>
      <c r="E186" s="33">
        <v>120.0</v>
      </c>
      <c r="F186" s="35">
        <f t="array" ref="F186">IF(C186 ="FOB_JP", XLOOKUP(A186,CONTAINER_COST_MONTH!$A$2:$A$13,CONTAINER_COST_MONTH!$B$2:$B$13), 285)</f>
        <v>285</v>
      </c>
      <c r="G186" s="35">
        <f t="shared" si="1"/>
        <v>2.375</v>
      </c>
      <c r="H186" s="38">
        <f t="array" ref="H186">XLOOKUP(COST_BUY_MONTHLY!$C186,TAX!$A$2:$A$3,TAX!$B$2:$B$3)</f>
        <v>0</v>
      </c>
      <c r="I186" s="39">
        <f t="array" ref="I186">XLOOKUP(COST_BUY_MONTHLY!$C186,TAX!$A$2:$A$3,TAX!$C$2:$C$3)</f>
        <v>0</v>
      </c>
      <c r="J186" s="39">
        <f t="array" ref="J186">XLOOKUP(COST_BUY_MONTHLY!$C186,TAX!$A$2:$A$3,TAX!$D$2:$D$3)</f>
        <v>0.1</v>
      </c>
      <c r="K186" s="35">
        <f t="shared" si="2"/>
        <v>2393.2425</v>
      </c>
    </row>
    <row r="187" ht="14.25" customHeight="1">
      <c r="A187" s="33" t="s">
        <v>259</v>
      </c>
      <c r="B187" s="33" t="s">
        <v>30</v>
      </c>
      <c r="C187" s="33" t="s">
        <v>236</v>
      </c>
      <c r="D187" s="35">
        <v>11025.48</v>
      </c>
      <c r="E187" s="33">
        <v>7.0</v>
      </c>
      <c r="F187" s="35">
        <f t="array" ref="F187">IF(C187 ="FOB_JP", XLOOKUP(A187,CONTAINER_COST_MONTH!$A$2:$A$13,CONTAINER_COST_MONTH!$B$2:$B$13), 285)</f>
        <v>3324</v>
      </c>
      <c r="G187" s="35">
        <f t="shared" si="1"/>
        <v>474.8571429</v>
      </c>
      <c r="H187" s="38">
        <f t="array" ref="H187">XLOOKUP(COST_BUY_MONTHLY!$C187,TAX!$A$2:$A$3,TAX!$B$2:$B$3)</f>
        <v>0.002</v>
      </c>
      <c r="I187" s="39">
        <f t="array" ref="I187">XLOOKUP(COST_BUY_MONTHLY!$C187,TAX!$A$2:$A$3,TAX!$C$2:$C$3)</f>
        <v>0.2</v>
      </c>
      <c r="J187" s="39">
        <f t="array" ref="J187">XLOOKUP(COST_BUY_MONTHLY!$C187,TAX!$A$2:$A$3,TAX!$D$2:$D$3)</f>
        <v>0.1</v>
      </c>
      <c r="K187" s="35">
        <f t="shared" si="2"/>
        <v>15210.80592</v>
      </c>
    </row>
    <row r="188" ht="14.25" customHeight="1">
      <c r="A188" s="33" t="s">
        <v>259</v>
      </c>
      <c r="B188" s="33" t="s">
        <v>33</v>
      </c>
      <c r="C188" s="33" t="s">
        <v>237</v>
      </c>
      <c r="D188" s="35">
        <v>6364.62</v>
      </c>
      <c r="E188" s="33">
        <v>28.0</v>
      </c>
      <c r="F188" s="35">
        <f t="array" ref="F188">IF(C188 ="FOB_JP", XLOOKUP(A188,CONTAINER_COST_MONTH!$A$2:$A$13,CONTAINER_COST_MONTH!$B$2:$B$13), 285)</f>
        <v>285</v>
      </c>
      <c r="G188" s="35">
        <f t="shared" si="1"/>
        <v>10.17857143</v>
      </c>
      <c r="H188" s="38">
        <f t="array" ref="H188">XLOOKUP(COST_BUY_MONTHLY!$C188,TAX!$A$2:$A$3,TAX!$B$2:$B$3)</f>
        <v>0</v>
      </c>
      <c r="I188" s="39">
        <f t="array" ref="I188">XLOOKUP(COST_BUY_MONTHLY!$C188,TAX!$A$2:$A$3,TAX!$C$2:$C$3)</f>
        <v>0</v>
      </c>
      <c r="J188" s="39">
        <f t="array" ref="J188">XLOOKUP(COST_BUY_MONTHLY!$C188,TAX!$A$2:$A$3,TAX!$D$2:$D$3)</f>
        <v>0.1</v>
      </c>
      <c r="K188" s="35">
        <f t="shared" si="2"/>
        <v>7012.278429</v>
      </c>
    </row>
    <row r="189" ht="14.25" customHeight="1">
      <c r="A189" s="33" t="s">
        <v>259</v>
      </c>
      <c r="B189" s="33" t="s">
        <v>35</v>
      </c>
      <c r="C189" s="33" t="s">
        <v>236</v>
      </c>
      <c r="D189" s="35">
        <v>11025.48</v>
      </c>
      <c r="E189" s="33">
        <v>14.0</v>
      </c>
      <c r="F189" s="35">
        <f t="array" ref="F189">IF(C189 ="FOB_JP", XLOOKUP(A189,CONTAINER_COST_MONTH!$A$2:$A$13,CONTAINER_COST_MONTH!$B$2:$B$13), 285)</f>
        <v>3324</v>
      </c>
      <c r="G189" s="35">
        <f t="shared" si="1"/>
        <v>237.4285714</v>
      </c>
      <c r="H189" s="38">
        <f t="array" ref="H189">XLOOKUP(COST_BUY_MONTHLY!$C189,TAX!$A$2:$A$3,TAX!$B$2:$B$3)</f>
        <v>0.002</v>
      </c>
      <c r="I189" s="39">
        <f t="array" ref="I189">XLOOKUP(COST_BUY_MONTHLY!$C189,TAX!$A$2:$A$3,TAX!$C$2:$C$3)</f>
        <v>0.2</v>
      </c>
      <c r="J189" s="39">
        <f t="array" ref="J189">XLOOKUP(COST_BUY_MONTHLY!$C189,TAX!$A$2:$A$3,TAX!$D$2:$D$3)</f>
        <v>0.1</v>
      </c>
      <c r="K189" s="35">
        <f t="shared" si="2"/>
        <v>14896.77339</v>
      </c>
    </row>
    <row r="190" ht="14.25" customHeight="1">
      <c r="A190" s="33" t="s">
        <v>259</v>
      </c>
      <c r="B190" s="33" t="s">
        <v>37</v>
      </c>
      <c r="C190" s="33" t="s">
        <v>236</v>
      </c>
      <c r="D190" s="35">
        <v>11025.48</v>
      </c>
      <c r="E190" s="33">
        <v>10.0</v>
      </c>
      <c r="F190" s="35">
        <f t="array" ref="F190">IF(C190 ="FOB_JP", XLOOKUP(A190,CONTAINER_COST_MONTH!$A$2:$A$13,CONTAINER_COST_MONTH!$B$2:$B$13), 285)</f>
        <v>3324</v>
      </c>
      <c r="G190" s="35">
        <f t="shared" si="1"/>
        <v>332.4</v>
      </c>
      <c r="H190" s="38">
        <f t="array" ref="H190">XLOOKUP(COST_BUY_MONTHLY!$C190,TAX!$A$2:$A$3,TAX!$B$2:$B$3)</f>
        <v>0.002</v>
      </c>
      <c r="I190" s="39">
        <f t="array" ref="I190">XLOOKUP(COST_BUY_MONTHLY!$C190,TAX!$A$2:$A$3,TAX!$C$2:$C$3)</f>
        <v>0.2</v>
      </c>
      <c r="J190" s="39">
        <f t="array" ref="J190">XLOOKUP(COST_BUY_MONTHLY!$C190,TAX!$A$2:$A$3,TAX!$D$2:$D$3)</f>
        <v>0.1</v>
      </c>
      <c r="K190" s="35">
        <f t="shared" si="2"/>
        <v>15022.3864</v>
      </c>
    </row>
    <row r="191" ht="14.25" customHeight="1">
      <c r="A191" s="33" t="s">
        <v>259</v>
      </c>
      <c r="B191" s="33" t="s">
        <v>39</v>
      </c>
      <c r="C191" s="33" t="s">
        <v>237</v>
      </c>
      <c r="D191" s="35">
        <v>6364.62</v>
      </c>
      <c r="E191" s="33">
        <v>84.0</v>
      </c>
      <c r="F191" s="35">
        <f t="array" ref="F191">IF(C191 ="FOB_JP", XLOOKUP(A191,CONTAINER_COST_MONTH!$A$2:$A$13,CONTAINER_COST_MONTH!$B$2:$B$13), 285)</f>
        <v>285</v>
      </c>
      <c r="G191" s="35">
        <f t="shared" si="1"/>
        <v>3.392857143</v>
      </c>
      <c r="H191" s="38">
        <f t="array" ref="H191">XLOOKUP(COST_BUY_MONTHLY!$C191,TAX!$A$2:$A$3,TAX!$B$2:$B$3)</f>
        <v>0</v>
      </c>
      <c r="I191" s="39">
        <f t="array" ref="I191">XLOOKUP(COST_BUY_MONTHLY!$C191,TAX!$A$2:$A$3,TAX!$C$2:$C$3)</f>
        <v>0</v>
      </c>
      <c r="J191" s="39">
        <f t="array" ref="J191">XLOOKUP(COST_BUY_MONTHLY!$C191,TAX!$A$2:$A$3,TAX!$D$2:$D$3)</f>
        <v>0.1</v>
      </c>
      <c r="K191" s="35">
        <f t="shared" si="2"/>
        <v>7004.814143</v>
      </c>
    </row>
    <row r="192" ht="14.25" customHeight="1">
      <c r="A192" s="33" t="s">
        <v>259</v>
      </c>
      <c r="B192" s="33" t="s">
        <v>42</v>
      </c>
      <c r="C192" s="33" t="s">
        <v>236</v>
      </c>
      <c r="D192" s="35">
        <v>5577.37</v>
      </c>
      <c r="E192" s="33">
        <v>10.0</v>
      </c>
      <c r="F192" s="35">
        <f t="array" ref="F192">IF(C192 ="FOB_JP", XLOOKUP(A192,CONTAINER_COST_MONTH!$A$2:$A$13,CONTAINER_COST_MONTH!$B$2:$B$13), 285)</f>
        <v>3324</v>
      </c>
      <c r="G192" s="35">
        <f t="shared" si="1"/>
        <v>332.4</v>
      </c>
      <c r="H192" s="38">
        <f t="array" ref="H192">XLOOKUP(COST_BUY_MONTHLY!$C192,TAX!$A$2:$A$3,TAX!$B$2:$B$3)</f>
        <v>0.002</v>
      </c>
      <c r="I192" s="39">
        <f t="array" ref="I192">XLOOKUP(COST_BUY_MONTHLY!$C192,TAX!$A$2:$A$3,TAX!$C$2:$C$3)</f>
        <v>0.2</v>
      </c>
      <c r="J192" s="39">
        <f t="array" ref="J192">XLOOKUP(COST_BUY_MONTHLY!$C192,TAX!$A$2:$A$3,TAX!$D$2:$D$3)</f>
        <v>0.1</v>
      </c>
      <c r="K192" s="35">
        <f t="shared" si="2"/>
        <v>7816.498193</v>
      </c>
    </row>
    <row r="193" ht="14.25" customHeight="1">
      <c r="A193" s="33" t="s">
        <v>259</v>
      </c>
      <c r="B193" s="33" t="s">
        <v>45</v>
      </c>
      <c r="C193" s="33" t="s">
        <v>237</v>
      </c>
      <c r="D193" s="35">
        <v>2994.32</v>
      </c>
      <c r="E193" s="33">
        <v>40.0</v>
      </c>
      <c r="F193" s="35">
        <f t="array" ref="F193">IF(C193 ="FOB_JP", XLOOKUP(A193,CONTAINER_COST_MONTH!$A$2:$A$13,CONTAINER_COST_MONTH!$B$2:$B$13), 285)</f>
        <v>285</v>
      </c>
      <c r="G193" s="35">
        <f t="shared" si="1"/>
        <v>7.125</v>
      </c>
      <c r="H193" s="38">
        <f t="array" ref="H193">XLOOKUP(COST_BUY_MONTHLY!$C193,TAX!$A$2:$A$3,TAX!$B$2:$B$3)</f>
        <v>0</v>
      </c>
      <c r="I193" s="39">
        <f t="array" ref="I193">XLOOKUP(COST_BUY_MONTHLY!$C193,TAX!$A$2:$A$3,TAX!$C$2:$C$3)</f>
        <v>0</v>
      </c>
      <c r="J193" s="39">
        <f t="array" ref="J193">XLOOKUP(COST_BUY_MONTHLY!$C193,TAX!$A$2:$A$3,TAX!$D$2:$D$3)</f>
        <v>0.1</v>
      </c>
      <c r="K193" s="35">
        <f t="shared" si="2"/>
        <v>3301.5895</v>
      </c>
    </row>
    <row r="194" ht="14.25" customHeight="1">
      <c r="A194" s="33" t="s">
        <v>259</v>
      </c>
      <c r="B194" s="33" t="s">
        <v>47</v>
      </c>
      <c r="C194" s="33" t="s">
        <v>236</v>
      </c>
      <c r="D194" s="35">
        <v>5577.37</v>
      </c>
      <c r="E194" s="33">
        <v>20.0</v>
      </c>
      <c r="F194" s="35">
        <f t="array" ref="F194">IF(C194 ="FOB_JP", XLOOKUP(A194,CONTAINER_COST_MONTH!$A$2:$A$13,CONTAINER_COST_MONTH!$B$2:$B$13), 285)</f>
        <v>3324</v>
      </c>
      <c r="G194" s="35">
        <f t="shared" si="1"/>
        <v>166.2</v>
      </c>
      <c r="H194" s="38">
        <f t="array" ref="H194">XLOOKUP(COST_BUY_MONTHLY!$C194,TAX!$A$2:$A$3,TAX!$B$2:$B$3)</f>
        <v>0.002</v>
      </c>
      <c r="I194" s="39">
        <f t="array" ref="I194">XLOOKUP(COST_BUY_MONTHLY!$C194,TAX!$A$2:$A$3,TAX!$C$2:$C$3)</f>
        <v>0.2</v>
      </c>
      <c r="J194" s="39">
        <f t="array" ref="J194">XLOOKUP(COST_BUY_MONTHLY!$C194,TAX!$A$2:$A$3,TAX!$D$2:$D$3)</f>
        <v>0.1</v>
      </c>
      <c r="K194" s="35">
        <f t="shared" si="2"/>
        <v>7596.675425</v>
      </c>
    </row>
    <row r="195" ht="14.25" customHeight="1">
      <c r="A195" s="33" t="s">
        <v>259</v>
      </c>
      <c r="B195" s="33" t="s">
        <v>49</v>
      </c>
      <c r="C195" s="33" t="s">
        <v>236</v>
      </c>
      <c r="D195" s="35">
        <v>5577.37</v>
      </c>
      <c r="E195" s="33">
        <v>15.0</v>
      </c>
      <c r="F195" s="35">
        <f t="array" ref="F195">IF(C195 ="FOB_JP", XLOOKUP(A195,CONTAINER_COST_MONTH!$A$2:$A$13,CONTAINER_COST_MONTH!$B$2:$B$13), 285)</f>
        <v>3324</v>
      </c>
      <c r="G195" s="35">
        <f t="shared" si="1"/>
        <v>221.6</v>
      </c>
      <c r="H195" s="38">
        <f t="array" ref="H195">XLOOKUP(COST_BUY_MONTHLY!$C195,TAX!$A$2:$A$3,TAX!$B$2:$B$3)</f>
        <v>0.002</v>
      </c>
      <c r="I195" s="39">
        <f t="array" ref="I195">XLOOKUP(COST_BUY_MONTHLY!$C195,TAX!$A$2:$A$3,TAX!$C$2:$C$3)</f>
        <v>0.2</v>
      </c>
      <c r="J195" s="39">
        <f t="array" ref="J195">XLOOKUP(COST_BUY_MONTHLY!$C195,TAX!$A$2:$A$3,TAX!$D$2:$D$3)</f>
        <v>0.1</v>
      </c>
      <c r="K195" s="35">
        <f t="shared" si="2"/>
        <v>7669.949681</v>
      </c>
    </row>
    <row r="196" ht="14.25" customHeight="1">
      <c r="A196" s="33" t="s">
        <v>259</v>
      </c>
      <c r="B196" s="33" t="s">
        <v>51</v>
      </c>
      <c r="C196" s="33" t="s">
        <v>237</v>
      </c>
      <c r="D196" s="35">
        <v>2994.32</v>
      </c>
      <c r="E196" s="33">
        <v>120.0</v>
      </c>
      <c r="F196" s="35">
        <f t="array" ref="F196">IF(C196 ="FOB_JP", XLOOKUP(A196,CONTAINER_COST_MONTH!$A$2:$A$13,CONTAINER_COST_MONTH!$B$2:$B$13), 285)</f>
        <v>285</v>
      </c>
      <c r="G196" s="35">
        <f t="shared" si="1"/>
        <v>2.375</v>
      </c>
      <c r="H196" s="38">
        <f t="array" ref="H196">XLOOKUP(COST_BUY_MONTHLY!$C196,TAX!$A$2:$A$3,TAX!$B$2:$B$3)</f>
        <v>0</v>
      </c>
      <c r="I196" s="39">
        <f t="array" ref="I196">XLOOKUP(COST_BUY_MONTHLY!$C196,TAX!$A$2:$A$3,TAX!$C$2:$C$3)</f>
        <v>0</v>
      </c>
      <c r="J196" s="39">
        <f t="array" ref="J196">XLOOKUP(COST_BUY_MONTHLY!$C196,TAX!$A$2:$A$3,TAX!$D$2:$D$3)</f>
        <v>0.1</v>
      </c>
      <c r="K196" s="35">
        <f t="shared" si="2"/>
        <v>3296.3645</v>
      </c>
    </row>
    <row r="197" ht="14.25" customHeight="1">
      <c r="A197" s="33" t="s">
        <v>259</v>
      </c>
      <c r="B197" s="33" t="s">
        <v>54</v>
      </c>
      <c r="C197" s="33" t="s">
        <v>236</v>
      </c>
      <c r="D197" s="35">
        <v>8643.97</v>
      </c>
      <c r="E197" s="33">
        <v>7.0</v>
      </c>
      <c r="F197" s="35">
        <f t="array" ref="F197">IF(C197 ="FOB_JP", XLOOKUP(A197,CONTAINER_COST_MONTH!$A$2:$A$13,CONTAINER_COST_MONTH!$B$2:$B$13), 285)</f>
        <v>3324</v>
      </c>
      <c r="G197" s="35">
        <f t="shared" si="1"/>
        <v>474.8571429</v>
      </c>
      <c r="H197" s="38">
        <f t="array" ref="H197">XLOOKUP(COST_BUY_MONTHLY!$C197,TAX!$A$2:$A$3,TAX!$B$2:$B$3)</f>
        <v>0.002</v>
      </c>
      <c r="I197" s="39">
        <f t="array" ref="I197">XLOOKUP(COST_BUY_MONTHLY!$C197,TAX!$A$2:$A$3,TAX!$C$2:$C$3)</f>
        <v>0.2</v>
      </c>
      <c r="J197" s="39">
        <f t="array" ref="J197">XLOOKUP(COST_BUY_MONTHLY!$C197,TAX!$A$2:$A$3,TAX!$D$2:$D$3)</f>
        <v>0.1</v>
      </c>
      <c r="K197" s="35">
        <f t="shared" si="2"/>
        <v>12060.92553</v>
      </c>
    </row>
    <row r="198" ht="14.25" customHeight="1">
      <c r="A198" s="33" t="s">
        <v>259</v>
      </c>
      <c r="B198" s="33" t="s">
        <v>57</v>
      </c>
      <c r="C198" s="33" t="s">
        <v>237</v>
      </c>
      <c r="D198" s="35">
        <v>4989.86</v>
      </c>
      <c r="E198" s="33">
        <v>28.0</v>
      </c>
      <c r="F198" s="35">
        <f t="array" ref="F198">IF(C198 ="FOB_JP", XLOOKUP(A198,CONTAINER_COST_MONTH!$A$2:$A$13,CONTAINER_COST_MONTH!$B$2:$B$13), 285)</f>
        <v>285</v>
      </c>
      <c r="G198" s="35">
        <f t="shared" si="1"/>
        <v>10.17857143</v>
      </c>
      <c r="H198" s="38">
        <f t="array" ref="H198">XLOOKUP(COST_BUY_MONTHLY!$C198,TAX!$A$2:$A$3,TAX!$B$2:$B$3)</f>
        <v>0</v>
      </c>
      <c r="I198" s="39">
        <f t="array" ref="I198">XLOOKUP(COST_BUY_MONTHLY!$C198,TAX!$A$2:$A$3,TAX!$C$2:$C$3)</f>
        <v>0</v>
      </c>
      <c r="J198" s="39">
        <f t="array" ref="J198">XLOOKUP(COST_BUY_MONTHLY!$C198,TAX!$A$2:$A$3,TAX!$D$2:$D$3)</f>
        <v>0.1</v>
      </c>
      <c r="K198" s="35">
        <f t="shared" si="2"/>
        <v>5500.042429</v>
      </c>
    </row>
    <row r="199" ht="14.25" customHeight="1">
      <c r="A199" s="33" t="s">
        <v>259</v>
      </c>
      <c r="B199" s="33" t="s">
        <v>59</v>
      </c>
      <c r="C199" s="33" t="s">
        <v>236</v>
      </c>
      <c r="D199" s="35">
        <v>8643.97</v>
      </c>
      <c r="E199" s="33">
        <v>14.0</v>
      </c>
      <c r="F199" s="35">
        <f t="array" ref="F199">IF(C199 ="FOB_JP", XLOOKUP(A199,CONTAINER_COST_MONTH!$A$2:$A$13,CONTAINER_COST_MONTH!$B$2:$B$13), 285)</f>
        <v>3324</v>
      </c>
      <c r="G199" s="35">
        <f t="shared" si="1"/>
        <v>237.4285714</v>
      </c>
      <c r="H199" s="38">
        <f t="array" ref="H199">XLOOKUP(COST_BUY_MONTHLY!$C199,TAX!$A$2:$A$3,TAX!$B$2:$B$3)</f>
        <v>0.002</v>
      </c>
      <c r="I199" s="39">
        <f t="array" ref="I199">XLOOKUP(COST_BUY_MONTHLY!$C199,TAX!$A$2:$A$3,TAX!$C$2:$C$3)</f>
        <v>0.2</v>
      </c>
      <c r="J199" s="39">
        <f t="array" ref="J199">XLOOKUP(COST_BUY_MONTHLY!$C199,TAX!$A$2:$A$3,TAX!$D$2:$D$3)</f>
        <v>0.1</v>
      </c>
      <c r="K199" s="35">
        <f t="shared" si="2"/>
        <v>11746.89301</v>
      </c>
    </row>
    <row r="200" ht="14.25" customHeight="1">
      <c r="A200" s="33" t="s">
        <v>259</v>
      </c>
      <c r="B200" s="33" t="s">
        <v>61</v>
      </c>
      <c r="C200" s="33" t="s">
        <v>236</v>
      </c>
      <c r="D200" s="35">
        <v>8643.97</v>
      </c>
      <c r="E200" s="33">
        <v>10.0</v>
      </c>
      <c r="F200" s="35">
        <f t="array" ref="F200">IF(C200 ="FOB_JP", XLOOKUP(A200,CONTAINER_COST_MONTH!$A$2:$A$13,CONTAINER_COST_MONTH!$B$2:$B$13), 285)</f>
        <v>3324</v>
      </c>
      <c r="G200" s="35">
        <f t="shared" si="1"/>
        <v>332.4</v>
      </c>
      <c r="H200" s="38">
        <f t="array" ref="H200">XLOOKUP(COST_BUY_MONTHLY!$C200,TAX!$A$2:$A$3,TAX!$B$2:$B$3)</f>
        <v>0.002</v>
      </c>
      <c r="I200" s="39">
        <f t="array" ref="I200">XLOOKUP(COST_BUY_MONTHLY!$C200,TAX!$A$2:$A$3,TAX!$C$2:$C$3)</f>
        <v>0.2</v>
      </c>
      <c r="J200" s="39">
        <f t="array" ref="J200">XLOOKUP(COST_BUY_MONTHLY!$C200,TAX!$A$2:$A$3,TAX!$D$2:$D$3)</f>
        <v>0.1</v>
      </c>
      <c r="K200" s="35">
        <f t="shared" si="2"/>
        <v>11872.50602</v>
      </c>
    </row>
    <row r="201" ht="14.25" customHeight="1">
      <c r="A201" s="33" t="s">
        <v>259</v>
      </c>
      <c r="B201" s="33" t="s">
        <v>63</v>
      </c>
      <c r="C201" s="33" t="s">
        <v>237</v>
      </c>
      <c r="D201" s="35">
        <v>4989.86</v>
      </c>
      <c r="E201" s="33">
        <v>84.0</v>
      </c>
      <c r="F201" s="35">
        <f t="array" ref="F201">IF(C201 ="FOB_JP", XLOOKUP(A201,CONTAINER_COST_MONTH!$A$2:$A$13,CONTAINER_COST_MONTH!$B$2:$B$13), 285)</f>
        <v>285</v>
      </c>
      <c r="G201" s="35">
        <f t="shared" si="1"/>
        <v>3.392857143</v>
      </c>
      <c r="H201" s="38">
        <f t="array" ref="H201">XLOOKUP(COST_BUY_MONTHLY!$C201,TAX!$A$2:$A$3,TAX!$B$2:$B$3)</f>
        <v>0</v>
      </c>
      <c r="I201" s="39">
        <f t="array" ref="I201">XLOOKUP(COST_BUY_MONTHLY!$C201,TAX!$A$2:$A$3,TAX!$C$2:$C$3)</f>
        <v>0</v>
      </c>
      <c r="J201" s="39">
        <f t="array" ref="J201">XLOOKUP(COST_BUY_MONTHLY!$C201,TAX!$A$2:$A$3,TAX!$D$2:$D$3)</f>
        <v>0.1</v>
      </c>
      <c r="K201" s="35">
        <f t="shared" si="2"/>
        <v>5492.578143</v>
      </c>
    </row>
    <row r="202" ht="14.25" customHeight="1">
      <c r="A202" s="33" t="s">
        <v>259</v>
      </c>
      <c r="B202" s="33" t="s">
        <v>65</v>
      </c>
      <c r="C202" s="33" t="s">
        <v>236</v>
      </c>
      <c r="D202" s="35">
        <v>1056.55</v>
      </c>
      <c r="E202" s="33">
        <v>50.0</v>
      </c>
      <c r="F202" s="35">
        <f t="array" ref="F202">IF(C202 ="FOB_JP", XLOOKUP(A202,CONTAINER_COST_MONTH!$A$2:$A$13,CONTAINER_COST_MONTH!$B$2:$B$13), 285)</f>
        <v>3324</v>
      </c>
      <c r="G202" s="35">
        <f t="shared" si="1"/>
        <v>66.48</v>
      </c>
      <c r="H202" s="38">
        <f t="array" ref="H202">XLOOKUP(COST_BUY_MONTHLY!$C202,TAX!$A$2:$A$3,TAX!$B$2:$B$3)</f>
        <v>0.002</v>
      </c>
      <c r="I202" s="39">
        <f t="array" ref="I202">XLOOKUP(COST_BUY_MONTHLY!$C202,TAX!$A$2:$A$3,TAX!$C$2:$C$3)</f>
        <v>0.2</v>
      </c>
      <c r="J202" s="39">
        <f t="array" ref="J202">XLOOKUP(COST_BUY_MONTHLY!$C202,TAX!$A$2:$A$3,TAX!$D$2:$D$3)</f>
        <v>0.1</v>
      </c>
      <c r="K202" s="35">
        <f t="shared" si="2"/>
        <v>1485.364399</v>
      </c>
    </row>
    <row r="203" ht="14.25" customHeight="1">
      <c r="A203" s="33" t="s">
        <v>259</v>
      </c>
      <c r="B203" s="33" t="s">
        <v>67</v>
      </c>
      <c r="C203" s="33" t="s">
        <v>236</v>
      </c>
      <c r="D203" s="35">
        <v>2991.54</v>
      </c>
      <c r="E203" s="33">
        <v>50.0</v>
      </c>
      <c r="F203" s="35">
        <f t="array" ref="F203">IF(C203 ="FOB_JP", XLOOKUP(A203,CONTAINER_COST_MONTH!$A$2:$A$13,CONTAINER_COST_MONTH!$B$2:$B$13), 285)</f>
        <v>3324</v>
      </c>
      <c r="G203" s="35">
        <f t="shared" si="1"/>
        <v>66.48</v>
      </c>
      <c r="H203" s="38">
        <f t="array" ref="H203">XLOOKUP(COST_BUY_MONTHLY!$C203,TAX!$A$2:$A$3,TAX!$B$2:$B$3)</f>
        <v>0.002</v>
      </c>
      <c r="I203" s="39">
        <f t="array" ref="I203">XLOOKUP(COST_BUY_MONTHLY!$C203,TAX!$A$2:$A$3,TAX!$C$2:$C$3)</f>
        <v>0.2</v>
      </c>
      <c r="J203" s="39">
        <f t="array" ref="J203">XLOOKUP(COST_BUY_MONTHLY!$C203,TAX!$A$2:$A$3,TAX!$D$2:$D$3)</f>
        <v>0.1</v>
      </c>
      <c r="K203" s="35">
        <f t="shared" si="2"/>
        <v>4044.659573</v>
      </c>
    </row>
    <row r="204" ht="14.25" customHeight="1">
      <c r="A204" s="33" t="s">
        <v>259</v>
      </c>
      <c r="B204" s="33" t="s">
        <v>70</v>
      </c>
      <c r="C204" s="33" t="s">
        <v>237</v>
      </c>
      <c r="D204" s="35">
        <v>302.74</v>
      </c>
      <c r="E204" s="33">
        <v>50.0</v>
      </c>
      <c r="F204" s="35">
        <f t="array" ref="F204">IF(C204 ="FOB_JP", XLOOKUP(A204,CONTAINER_COST_MONTH!$A$2:$A$13,CONTAINER_COST_MONTH!$B$2:$B$13), 285)</f>
        <v>285</v>
      </c>
      <c r="G204" s="35">
        <f t="shared" si="1"/>
        <v>5.7</v>
      </c>
      <c r="H204" s="38">
        <f t="array" ref="H204">XLOOKUP(COST_BUY_MONTHLY!$C204,TAX!$A$2:$A$3,TAX!$B$2:$B$3)</f>
        <v>0</v>
      </c>
      <c r="I204" s="39">
        <f t="array" ref="I204">XLOOKUP(COST_BUY_MONTHLY!$C204,TAX!$A$2:$A$3,TAX!$C$2:$C$3)</f>
        <v>0</v>
      </c>
      <c r="J204" s="39">
        <f t="array" ref="J204">XLOOKUP(COST_BUY_MONTHLY!$C204,TAX!$A$2:$A$3,TAX!$D$2:$D$3)</f>
        <v>0.1</v>
      </c>
      <c r="K204" s="35">
        <f t="shared" si="2"/>
        <v>339.284</v>
      </c>
    </row>
    <row r="205" ht="14.25" customHeight="1">
      <c r="A205" s="33" t="s">
        <v>259</v>
      </c>
      <c r="B205" s="33" t="s">
        <v>72</v>
      </c>
      <c r="C205" s="33" t="s">
        <v>237</v>
      </c>
      <c r="D205" s="35">
        <v>1870.55</v>
      </c>
      <c r="E205" s="33">
        <v>50.0</v>
      </c>
      <c r="F205" s="35">
        <f t="array" ref="F205">IF(C205 ="FOB_JP", XLOOKUP(A205,CONTAINER_COST_MONTH!$A$2:$A$13,CONTAINER_COST_MONTH!$B$2:$B$13), 285)</f>
        <v>285</v>
      </c>
      <c r="G205" s="35">
        <f t="shared" si="1"/>
        <v>5.7</v>
      </c>
      <c r="H205" s="38">
        <f t="array" ref="H205">XLOOKUP(COST_BUY_MONTHLY!$C205,TAX!$A$2:$A$3,TAX!$B$2:$B$3)</f>
        <v>0</v>
      </c>
      <c r="I205" s="39">
        <f t="array" ref="I205">XLOOKUP(COST_BUY_MONTHLY!$C205,TAX!$A$2:$A$3,TAX!$C$2:$C$3)</f>
        <v>0</v>
      </c>
      <c r="J205" s="39">
        <f t="array" ref="J205">XLOOKUP(COST_BUY_MONTHLY!$C205,TAX!$A$2:$A$3,TAX!$D$2:$D$3)</f>
        <v>0.1</v>
      </c>
      <c r="K205" s="35">
        <f t="shared" si="2"/>
        <v>2063.875</v>
      </c>
    </row>
    <row r="206" ht="14.25" customHeight="1">
      <c r="A206" s="33" t="s">
        <v>259</v>
      </c>
      <c r="B206" s="33" t="s">
        <v>74</v>
      </c>
      <c r="C206" s="33" t="s">
        <v>236</v>
      </c>
      <c r="D206" s="35">
        <v>828.24</v>
      </c>
      <c r="E206" s="33">
        <v>20.0</v>
      </c>
      <c r="F206" s="35">
        <f t="array" ref="F206">IF(C206 ="FOB_JP", XLOOKUP(A206,CONTAINER_COST_MONTH!$A$2:$A$13,CONTAINER_COST_MONTH!$B$2:$B$13), 285)</f>
        <v>3324</v>
      </c>
      <c r="G206" s="35">
        <f t="shared" si="1"/>
        <v>166.2</v>
      </c>
      <c r="H206" s="38">
        <f t="array" ref="H206">XLOOKUP(COST_BUY_MONTHLY!$C206,TAX!$A$2:$A$3,TAX!$B$2:$B$3)</f>
        <v>0.002</v>
      </c>
      <c r="I206" s="39">
        <f t="array" ref="I206">XLOOKUP(COST_BUY_MONTHLY!$C206,TAX!$A$2:$A$3,TAX!$C$2:$C$3)</f>
        <v>0.2</v>
      </c>
      <c r="J206" s="39">
        <f t="array" ref="J206">XLOOKUP(COST_BUY_MONTHLY!$C206,TAX!$A$2:$A$3,TAX!$D$2:$D$3)</f>
        <v>0.1</v>
      </c>
      <c r="K206" s="35">
        <f t="shared" si="2"/>
        <v>1315.286122</v>
      </c>
    </row>
    <row r="207" ht="14.25" customHeight="1">
      <c r="A207" s="33" t="s">
        <v>259</v>
      </c>
      <c r="B207" s="33" t="s">
        <v>76</v>
      </c>
      <c r="C207" s="33" t="s">
        <v>236</v>
      </c>
      <c r="D207" s="35">
        <v>3219.85</v>
      </c>
      <c r="E207" s="33">
        <v>50.0</v>
      </c>
      <c r="F207" s="35">
        <f t="array" ref="F207">IF(C207 ="FOB_JP", XLOOKUP(A207,CONTAINER_COST_MONTH!$A$2:$A$13,CONTAINER_COST_MONTH!$B$2:$B$13), 285)</f>
        <v>3324</v>
      </c>
      <c r="G207" s="35">
        <f t="shared" si="1"/>
        <v>66.48</v>
      </c>
      <c r="H207" s="38">
        <f t="array" ref="H207">XLOOKUP(COST_BUY_MONTHLY!$C207,TAX!$A$2:$A$3,TAX!$B$2:$B$3)</f>
        <v>0.002</v>
      </c>
      <c r="I207" s="39">
        <f t="array" ref="I207">XLOOKUP(COST_BUY_MONTHLY!$C207,TAX!$A$2:$A$3,TAX!$C$2:$C$3)</f>
        <v>0.2</v>
      </c>
      <c r="J207" s="39">
        <f t="array" ref="J207">XLOOKUP(COST_BUY_MONTHLY!$C207,TAX!$A$2:$A$3,TAX!$D$2:$D$3)</f>
        <v>0.1</v>
      </c>
      <c r="K207" s="35">
        <f t="shared" si="2"/>
        <v>4346.631511</v>
      </c>
    </row>
    <row r="208" ht="14.25" customHeight="1">
      <c r="A208" s="33" t="s">
        <v>259</v>
      </c>
      <c r="B208" s="33" t="s">
        <v>78</v>
      </c>
      <c r="C208" s="33" t="s">
        <v>236</v>
      </c>
      <c r="D208" s="35">
        <v>664.3</v>
      </c>
      <c r="E208" s="33">
        <v>50.0</v>
      </c>
      <c r="F208" s="35">
        <f t="array" ref="F208">IF(C208 ="FOB_JP", XLOOKUP(A208,CONTAINER_COST_MONTH!$A$2:$A$13,CONTAINER_COST_MONTH!$B$2:$B$13), 285)</f>
        <v>3324</v>
      </c>
      <c r="G208" s="35">
        <f t="shared" si="1"/>
        <v>66.48</v>
      </c>
      <c r="H208" s="38">
        <f t="array" ref="H208">XLOOKUP(COST_BUY_MONTHLY!$C208,TAX!$A$2:$A$3,TAX!$B$2:$B$3)</f>
        <v>0.002</v>
      </c>
      <c r="I208" s="39">
        <f t="array" ref="I208">XLOOKUP(COST_BUY_MONTHLY!$C208,TAX!$A$2:$A$3,TAX!$C$2:$C$3)</f>
        <v>0.2</v>
      </c>
      <c r="J208" s="39">
        <f t="array" ref="J208">XLOOKUP(COST_BUY_MONTHLY!$C208,TAX!$A$2:$A$3,TAX!$D$2:$D$3)</f>
        <v>0.1</v>
      </c>
      <c r="K208" s="35">
        <f t="shared" si="2"/>
        <v>966.5588592</v>
      </c>
    </row>
    <row r="209" ht="14.25" customHeight="1">
      <c r="A209" s="33" t="s">
        <v>259</v>
      </c>
      <c r="B209" s="33" t="s">
        <v>80</v>
      </c>
      <c r="C209" s="33" t="s">
        <v>236</v>
      </c>
      <c r="D209" s="35">
        <v>3383.8</v>
      </c>
      <c r="E209" s="33">
        <v>50.0</v>
      </c>
      <c r="F209" s="35">
        <f t="array" ref="F209">IF(C209 ="FOB_JP", XLOOKUP(A209,CONTAINER_COST_MONTH!$A$2:$A$13,CONTAINER_COST_MONTH!$B$2:$B$13), 285)</f>
        <v>3324</v>
      </c>
      <c r="G209" s="35">
        <f t="shared" si="1"/>
        <v>66.48</v>
      </c>
      <c r="H209" s="38">
        <f t="array" ref="H209">XLOOKUP(COST_BUY_MONTHLY!$C209,TAX!$A$2:$A$3,TAX!$B$2:$B$3)</f>
        <v>0.002</v>
      </c>
      <c r="I209" s="39">
        <f t="array" ref="I209">XLOOKUP(COST_BUY_MONTHLY!$C209,TAX!$A$2:$A$3,TAX!$C$2:$C$3)</f>
        <v>0.2</v>
      </c>
      <c r="J209" s="39">
        <f t="array" ref="J209">XLOOKUP(COST_BUY_MONTHLY!$C209,TAX!$A$2:$A$3,TAX!$D$2:$D$3)</f>
        <v>0.1</v>
      </c>
      <c r="K209" s="35">
        <f t="shared" si="2"/>
        <v>4563.478339</v>
      </c>
    </row>
    <row r="210" ht="14.25" customHeight="1">
      <c r="A210" s="33" t="s">
        <v>259</v>
      </c>
      <c r="B210" s="33" t="s">
        <v>82</v>
      </c>
      <c r="C210" s="33" t="s">
        <v>237</v>
      </c>
      <c r="D210" s="35">
        <v>1056.87</v>
      </c>
      <c r="E210" s="33">
        <v>50.0</v>
      </c>
      <c r="F210" s="35">
        <f t="array" ref="F210">IF(C210 ="FOB_JP", XLOOKUP(A210,CONTAINER_COST_MONTH!$A$2:$A$13,CONTAINER_COST_MONTH!$B$2:$B$13), 285)</f>
        <v>285</v>
      </c>
      <c r="G210" s="35">
        <f t="shared" si="1"/>
        <v>5.7</v>
      </c>
      <c r="H210" s="38">
        <f t="array" ref="H210">XLOOKUP(COST_BUY_MONTHLY!$C210,TAX!$A$2:$A$3,TAX!$B$2:$B$3)</f>
        <v>0</v>
      </c>
      <c r="I210" s="39">
        <f t="array" ref="I210">XLOOKUP(COST_BUY_MONTHLY!$C210,TAX!$A$2:$A$3,TAX!$C$2:$C$3)</f>
        <v>0</v>
      </c>
      <c r="J210" s="39">
        <f t="array" ref="J210">XLOOKUP(COST_BUY_MONTHLY!$C210,TAX!$A$2:$A$3,TAX!$D$2:$D$3)</f>
        <v>0.1</v>
      </c>
      <c r="K210" s="35">
        <f t="shared" si="2"/>
        <v>1168.827</v>
      </c>
    </row>
    <row r="211" ht="14.25" customHeight="1">
      <c r="A211" s="33" t="s">
        <v>259</v>
      </c>
      <c r="B211" s="33" t="s">
        <v>84</v>
      </c>
      <c r="C211" s="33" t="s">
        <v>237</v>
      </c>
      <c r="D211" s="35">
        <v>1116.42</v>
      </c>
      <c r="E211" s="33">
        <v>50.0</v>
      </c>
      <c r="F211" s="35">
        <f t="array" ref="F211">IF(C211 ="FOB_JP", XLOOKUP(A211,CONTAINER_COST_MONTH!$A$2:$A$13,CONTAINER_COST_MONTH!$B$2:$B$13), 285)</f>
        <v>285</v>
      </c>
      <c r="G211" s="35">
        <f t="shared" si="1"/>
        <v>5.7</v>
      </c>
      <c r="H211" s="38">
        <f t="array" ref="H211">XLOOKUP(COST_BUY_MONTHLY!$C211,TAX!$A$2:$A$3,TAX!$B$2:$B$3)</f>
        <v>0</v>
      </c>
      <c r="I211" s="39">
        <f t="array" ref="I211">XLOOKUP(COST_BUY_MONTHLY!$C211,TAX!$A$2:$A$3,TAX!$C$2:$C$3)</f>
        <v>0</v>
      </c>
      <c r="J211" s="39">
        <f t="array" ref="J211">XLOOKUP(COST_BUY_MONTHLY!$C211,TAX!$A$2:$A$3,TAX!$D$2:$D$3)</f>
        <v>0.1</v>
      </c>
      <c r="K211" s="35">
        <f t="shared" si="2"/>
        <v>1234.332</v>
      </c>
    </row>
    <row r="212" ht="14.25" customHeight="1">
      <c r="A212" s="33" t="s">
        <v>259</v>
      </c>
      <c r="B212" s="33" t="s">
        <v>86</v>
      </c>
      <c r="C212" s="33" t="s">
        <v>236</v>
      </c>
      <c r="D212" s="35">
        <v>4221.66</v>
      </c>
      <c r="E212" s="33">
        <v>35.0</v>
      </c>
      <c r="F212" s="35">
        <f t="array" ref="F212">IF(C212 ="FOB_JP", XLOOKUP(A212,CONTAINER_COST_MONTH!$A$2:$A$13,CONTAINER_COST_MONTH!$B$2:$B$13), 285)</f>
        <v>3324</v>
      </c>
      <c r="G212" s="35">
        <f t="shared" si="1"/>
        <v>94.97142857</v>
      </c>
      <c r="H212" s="38">
        <f t="array" ref="H212">XLOOKUP(COST_BUY_MONTHLY!$C212,TAX!$A$2:$A$3,TAX!$B$2:$B$3)</f>
        <v>0.002</v>
      </c>
      <c r="I212" s="39">
        <f t="array" ref="I212">XLOOKUP(COST_BUY_MONTHLY!$C212,TAX!$A$2:$A$3,TAX!$C$2:$C$3)</f>
        <v>0.2</v>
      </c>
      <c r="J212" s="39">
        <f t="array" ref="J212">XLOOKUP(COST_BUY_MONTHLY!$C212,TAX!$A$2:$A$3,TAX!$D$2:$D$3)</f>
        <v>0.1</v>
      </c>
      <c r="K212" s="35">
        <f t="shared" si="2"/>
        <v>5709.349393</v>
      </c>
    </row>
    <row r="213" ht="14.25" customHeight="1">
      <c r="A213" s="33" t="s">
        <v>259</v>
      </c>
      <c r="B213" s="33" t="s">
        <v>88</v>
      </c>
      <c r="C213" s="33" t="s">
        <v>236</v>
      </c>
      <c r="D213" s="35">
        <v>6803.82</v>
      </c>
      <c r="E213" s="33">
        <v>35.0</v>
      </c>
      <c r="F213" s="35">
        <f t="array" ref="F213">IF(C213 ="FOB_JP", XLOOKUP(A213,CONTAINER_COST_MONTH!$A$2:$A$13,CONTAINER_COST_MONTH!$B$2:$B$13), 285)</f>
        <v>3324</v>
      </c>
      <c r="G213" s="35">
        <f t="shared" si="1"/>
        <v>94.97142857</v>
      </c>
      <c r="H213" s="38">
        <f t="array" ref="H213">XLOOKUP(COST_BUY_MONTHLY!$C213,TAX!$A$2:$A$3,TAX!$B$2:$B$3)</f>
        <v>0.002</v>
      </c>
      <c r="I213" s="39">
        <f t="array" ref="I213">XLOOKUP(COST_BUY_MONTHLY!$C213,TAX!$A$2:$A$3,TAX!$C$2:$C$3)</f>
        <v>0.2</v>
      </c>
      <c r="J213" s="39">
        <f t="array" ref="J213">XLOOKUP(COST_BUY_MONTHLY!$C213,TAX!$A$2:$A$3,TAX!$D$2:$D$3)</f>
        <v>0.1</v>
      </c>
      <c r="K213" s="35">
        <f t="shared" si="2"/>
        <v>9124.617495</v>
      </c>
    </row>
    <row r="214" ht="14.25" customHeight="1">
      <c r="A214" s="33" t="s">
        <v>259</v>
      </c>
      <c r="B214" s="33" t="s">
        <v>90</v>
      </c>
      <c r="C214" s="33" t="s">
        <v>237</v>
      </c>
      <c r="D214" s="35">
        <v>4065.72</v>
      </c>
      <c r="E214" s="33">
        <v>35.0</v>
      </c>
      <c r="F214" s="35">
        <f t="array" ref="F214">IF(C214 ="FOB_JP", XLOOKUP(A214,CONTAINER_COST_MONTH!$A$2:$A$13,CONTAINER_COST_MONTH!$B$2:$B$13), 285)</f>
        <v>285</v>
      </c>
      <c r="G214" s="35">
        <f t="shared" si="1"/>
        <v>8.142857143</v>
      </c>
      <c r="H214" s="38">
        <f t="array" ref="H214">XLOOKUP(COST_BUY_MONTHLY!$C214,TAX!$A$2:$A$3,TAX!$B$2:$B$3)</f>
        <v>0</v>
      </c>
      <c r="I214" s="39">
        <f t="array" ref="I214">XLOOKUP(COST_BUY_MONTHLY!$C214,TAX!$A$2:$A$3,TAX!$C$2:$C$3)</f>
        <v>0</v>
      </c>
      <c r="J214" s="39">
        <f t="array" ref="J214">XLOOKUP(COST_BUY_MONTHLY!$C214,TAX!$A$2:$A$3,TAX!$D$2:$D$3)</f>
        <v>0.1</v>
      </c>
      <c r="K214" s="35">
        <f t="shared" si="2"/>
        <v>4481.249143</v>
      </c>
    </row>
    <row r="215" ht="14.25" customHeight="1">
      <c r="A215" s="33" t="s">
        <v>259</v>
      </c>
      <c r="B215" s="33" t="s">
        <v>92</v>
      </c>
      <c r="C215" s="33" t="s">
        <v>237</v>
      </c>
      <c r="D215" s="35">
        <v>2298.9</v>
      </c>
      <c r="E215" s="33">
        <v>35.0</v>
      </c>
      <c r="F215" s="35">
        <f t="array" ref="F215">IF(C215 ="FOB_JP", XLOOKUP(A215,CONTAINER_COST_MONTH!$A$2:$A$13,CONTAINER_COST_MONTH!$B$2:$B$13), 285)</f>
        <v>285</v>
      </c>
      <c r="G215" s="35">
        <f t="shared" si="1"/>
        <v>8.142857143</v>
      </c>
      <c r="H215" s="38">
        <f t="array" ref="H215">XLOOKUP(COST_BUY_MONTHLY!$C215,TAX!$A$2:$A$3,TAX!$B$2:$B$3)</f>
        <v>0</v>
      </c>
      <c r="I215" s="39">
        <f t="array" ref="I215">XLOOKUP(COST_BUY_MONTHLY!$C215,TAX!$A$2:$A$3,TAX!$C$2:$C$3)</f>
        <v>0</v>
      </c>
      <c r="J215" s="39">
        <f t="array" ref="J215">XLOOKUP(COST_BUY_MONTHLY!$C215,TAX!$A$2:$A$3,TAX!$D$2:$D$3)</f>
        <v>0.1</v>
      </c>
      <c r="K215" s="35">
        <f t="shared" si="2"/>
        <v>2537.747143</v>
      </c>
    </row>
    <row r="216" ht="14.25" customHeight="1">
      <c r="A216" s="33" t="s">
        <v>259</v>
      </c>
      <c r="B216" s="33" t="s">
        <v>94</v>
      </c>
      <c r="C216" s="33" t="s">
        <v>236</v>
      </c>
      <c r="D216" s="35">
        <v>5824.76</v>
      </c>
      <c r="E216" s="33">
        <v>14.0</v>
      </c>
      <c r="F216" s="35">
        <f t="array" ref="F216">IF(C216 ="FOB_JP", XLOOKUP(A216,CONTAINER_COST_MONTH!$A$2:$A$13,CONTAINER_COST_MONTH!$B$2:$B$13), 285)</f>
        <v>3324</v>
      </c>
      <c r="G216" s="35">
        <f t="shared" si="1"/>
        <v>237.4285714</v>
      </c>
      <c r="H216" s="38">
        <f t="array" ref="H216">XLOOKUP(COST_BUY_MONTHLY!$C216,TAX!$A$2:$A$3,TAX!$B$2:$B$3)</f>
        <v>0.002</v>
      </c>
      <c r="I216" s="39">
        <f t="array" ref="I216">XLOOKUP(COST_BUY_MONTHLY!$C216,TAX!$A$2:$A$3,TAX!$C$2:$C$3)</f>
        <v>0.2</v>
      </c>
      <c r="J216" s="39">
        <f t="array" ref="J216">XLOOKUP(COST_BUY_MONTHLY!$C216,TAX!$A$2:$A$3,TAX!$D$2:$D$3)</f>
        <v>0.1</v>
      </c>
      <c r="K216" s="35">
        <f t="shared" si="2"/>
        <v>8018.093092</v>
      </c>
    </row>
    <row r="217" ht="14.25" customHeight="1">
      <c r="A217" s="33" t="s">
        <v>259</v>
      </c>
      <c r="B217" s="33" t="s">
        <v>96</v>
      </c>
      <c r="C217" s="33" t="s">
        <v>236</v>
      </c>
      <c r="D217" s="35">
        <v>5200.72</v>
      </c>
      <c r="E217" s="33">
        <v>35.0</v>
      </c>
      <c r="F217" s="35">
        <f t="array" ref="F217">IF(C217 ="FOB_JP", XLOOKUP(A217,CONTAINER_COST_MONTH!$A$2:$A$13,CONTAINER_COST_MONTH!$B$2:$B$13), 285)</f>
        <v>3324</v>
      </c>
      <c r="G217" s="35">
        <f t="shared" si="1"/>
        <v>94.97142857</v>
      </c>
      <c r="H217" s="38">
        <f t="array" ref="H217">XLOOKUP(COST_BUY_MONTHLY!$C217,TAX!$A$2:$A$3,TAX!$B$2:$B$3)</f>
        <v>0.002</v>
      </c>
      <c r="I217" s="39">
        <f t="array" ref="I217">XLOOKUP(COST_BUY_MONTHLY!$C217,TAX!$A$2:$A$3,TAX!$C$2:$C$3)</f>
        <v>0.2</v>
      </c>
      <c r="J217" s="39">
        <f t="array" ref="J217">XLOOKUP(COST_BUY_MONTHLY!$C217,TAX!$A$2:$A$3,TAX!$D$2:$D$3)</f>
        <v>0.1</v>
      </c>
      <c r="K217" s="35">
        <f t="shared" si="2"/>
        <v>7004.293311</v>
      </c>
    </row>
    <row r="218" ht="14.25" customHeight="1">
      <c r="A218" s="33" t="s">
        <v>259</v>
      </c>
      <c r="B218" s="33" t="s">
        <v>98</v>
      </c>
      <c r="C218" s="33" t="s">
        <v>236</v>
      </c>
      <c r="D218" s="35">
        <v>8465.36</v>
      </c>
      <c r="E218" s="33">
        <v>35.0</v>
      </c>
      <c r="F218" s="35">
        <f t="array" ref="F218">IF(C218 ="FOB_JP", XLOOKUP(A218,CONTAINER_COST_MONTH!$A$2:$A$13,CONTAINER_COST_MONTH!$B$2:$B$13), 285)</f>
        <v>3324</v>
      </c>
      <c r="G218" s="35">
        <f t="shared" si="1"/>
        <v>94.97142857</v>
      </c>
      <c r="H218" s="38">
        <f t="array" ref="H218">XLOOKUP(COST_BUY_MONTHLY!$C218,TAX!$A$2:$A$3,TAX!$B$2:$B$3)</f>
        <v>0.002</v>
      </c>
      <c r="I218" s="39">
        <f t="array" ref="I218">XLOOKUP(COST_BUY_MONTHLY!$C218,TAX!$A$2:$A$3,TAX!$C$2:$C$3)</f>
        <v>0.2</v>
      </c>
      <c r="J218" s="39">
        <f t="array" ref="J218">XLOOKUP(COST_BUY_MONTHLY!$C218,TAX!$A$2:$A$3,TAX!$D$2:$D$3)</f>
        <v>0.1</v>
      </c>
      <c r="K218" s="35">
        <f t="shared" si="2"/>
        <v>11322.23676</v>
      </c>
    </row>
    <row r="219" ht="14.25" customHeight="1">
      <c r="A219" s="33" t="s">
        <v>259</v>
      </c>
      <c r="B219" s="33" t="s">
        <v>100</v>
      </c>
      <c r="C219" s="33" t="s">
        <v>236</v>
      </c>
      <c r="D219" s="35">
        <v>2560.12</v>
      </c>
      <c r="E219" s="33">
        <v>35.0</v>
      </c>
      <c r="F219" s="35">
        <f t="array" ref="F219">IF(C219 ="FOB_JP", XLOOKUP(A219,CONTAINER_COST_MONTH!$A$2:$A$13,CONTAINER_COST_MONTH!$B$2:$B$13), 285)</f>
        <v>3324</v>
      </c>
      <c r="G219" s="35">
        <f t="shared" si="1"/>
        <v>94.97142857</v>
      </c>
      <c r="H219" s="38">
        <f t="array" ref="H219">XLOOKUP(COST_BUY_MONTHLY!$C219,TAX!$A$2:$A$3,TAX!$B$2:$B$3)</f>
        <v>0.002</v>
      </c>
      <c r="I219" s="39">
        <f t="array" ref="I219">XLOOKUP(COST_BUY_MONTHLY!$C219,TAX!$A$2:$A$3,TAX!$C$2:$C$3)</f>
        <v>0.2</v>
      </c>
      <c r="J219" s="39">
        <f t="array" ref="J219">XLOOKUP(COST_BUY_MONTHLY!$C219,TAX!$A$2:$A$3,TAX!$D$2:$D$3)</f>
        <v>0.1</v>
      </c>
      <c r="K219" s="35">
        <f t="shared" si="2"/>
        <v>3511.730127</v>
      </c>
    </row>
    <row r="220" ht="14.25" customHeight="1">
      <c r="A220" s="33" t="s">
        <v>259</v>
      </c>
      <c r="B220" s="33" t="s">
        <v>102</v>
      </c>
      <c r="C220" s="33" t="s">
        <v>237</v>
      </c>
      <c r="D220" s="35">
        <v>2395.64</v>
      </c>
      <c r="E220" s="33">
        <v>35.0</v>
      </c>
      <c r="F220" s="35">
        <f t="array" ref="F220">IF(C220 ="FOB_JP", XLOOKUP(A220,CONTAINER_COST_MONTH!$A$2:$A$13,CONTAINER_COST_MONTH!$B$2:$B$13), 285)</f>
        <v>285</v>
      </c>
      <c r="G220" s="35">
        <f t="shared" si="1"/>
        <v>8.142857143</v>
      </c>
      <c r="H220" s="38">
        <f t="array" ref="H220">XLOOKUP(COST_BUY_MONTHLY!$C220,TAX!$A$2:$A$3,TAX!$B$2:$B$3)</f>
        <v>0</v>
      </c>
      <c r="I220" s="39">
        <f t="array" ref="I220">XLOOKUP(COST_BUY_MONTHLY!$C220,TAX!$A$2:$A$3,TAX!$C$2:$C$3)</f>
        <v>0</v>
      </c>
      <c r="J220" s="39">
        <f t="array" ref="J220">XLOOKUP(COST_BUY_MONTHLY!$C220,TAX!$A$2:$A$3,TAX!$D$2:$D$3)</f>
        <v>0.1</v>
      </c>
      <c r="K220" s="35">
        <f t="shared" si="2"/>
        <v>2644.161143</v>
      </c>
    </row>
    <row r="221" ht="14.25" customHeight="1">
      <c r="A221" s="33" t="s">
        <v>259</v>
      </c>
      <c r="B221" s="33" t="s">
        <v>104</v>
      </c>
      <c r="C221" s="33" t="s">
        <v>237</v>
      </c>
      <c r="D221" s="35">
        <v>3968.98</v>
      </c>
      <c r="E221" s="33">
        <v>35.0</v>
      </c>
      <c r="F221" s="35">
        <f t="array" ref="F221">IF(C221 ="FOB_JP", XLOOKUP(A221,CONTAINER_COST_MONTH!$A$2:$A$13,CONTAINER_COST_MONTH!$B$2:$B$13), 285)</f>
        <v>285</v>
      </c>
      <c r="G221" s="35">
        <f t="shared" si="1"/>
        <v>8.142857143</v>
      </c>
      <c r="H221" s="38">
        <f t="array" ref="H221">XLOOKUP(COST_BUY_MONTHLY!$C221,TAX!$A$2:$A$3,TAX!$B$2:$B$3)</f>
        <v>0</v>
      </c>
      <c r="I221" s="39">
        <f t="array" ref="I221">XLOOKUP(COST_BUY_MONTHLY!$C221,TAX!$A$2:$A$3,TAX!$C$2:$C$3)</f>
        <v>0</v>
      </c>
      <c r="J221" s="39">
        <f t="array" ref="J221">XLOOKUP(COST_BUY_MONTHLY!$C221,TAX!$A$2:$A$3,TAX!$D$2:$D$3)</f>
        <v>0.1</v>
      </c>
      <c r="K221" s="35">
        <f t="shared" si="2"/>
        <v>4374.835143</v>
      </c>
    </row>
    <row r="222" ht="14.25" customHeight="1">
      <c r="A222" s="33" t="s">
        <v>259</v>
      </c>
      <c r="B222" s="33" t="s">
        <v>106</v>
      </c>
      <c r="C222" s="33" t="s">
        <v>236</v>
      </c>
      <c r="D222" s="35">
        <v>3818.27</v>
      </c>
      <c r="E222" s="33">
        <v>50.0</v>
      </c>
      <c r="F222" s="35">
        <f t="array" ref="F222">IF(C222 ="FOB_JP", XLOOKUP(A222,CONTAINER_COST_MONTH!$A$2:$A$13,CONTAINER_COST_MONTH!$B$2:$B$13), 285)</f>
        <v>3324</v>
      </c>
      <c r="G222" s="35">
        <f t="shared" si="1"/>
        <v>66.48</v>
      </c>
      <c r="H222" s="38">
        <f t="array" ref="H222">XLOOKUP(COST_BUY_MONTHLY!$C222,TAX!$A$2:$A$3,TAX!$B$2:$B$3)</f>
        <v>0.002</v>
      </c>
      <c r="I222" s="39">
        <f t="array" ref="I222">XLOOKUP(COST_BUY_MONTHLY!$C222,TAX!$A$2:$A$3,TAX!$C$2:$C$3)</f>
        <v>0.2</v>
      </c>
      <c r="J222" s="39">
        <f t="array" ref="J222">XLOOKUP(COST_BUY_MONTHLY!$C222,TAX!$A$2:$A$3,TAX!$D$2:$D$3)</f>
        <v>0.1</v>
      </c>
      <c r="K222" s="35">
        <f t="shared" si="2"/>
        <v>5138.12574</v>
      </c>
    </row>
    <row r="223" ht="14.25" customHeight="1">
      <c r="A223" s="33" t="s">
        <v>259</v>
      </c>
      <c r="B223" s="33" t="s">
        <v>108</v>
      </c>
      <c r="C223" s="33" t="s">
        <v>236</v>
      </c>
      <c r="D223" s="35">
        <v>1759.11</v>
      </c>
      <c r="E223" s="33">
        <v>50.0</v>
      </c>
      <c r="F223" s="35">
        <f t="array" ref="F223">IF(C223 ="FOB_JP", XLOOKUP(A223,CONTAINER_COST_MONTH!$A$2:$A$13,CONTAINER_COST_MONTH!$B$2:$B$13), 285)</f>
        <v>3324</v>
      </c>
      <c r="G223" s="35">
        <f t="shared" si="1"/>
        <v>66.48</v>
      </c>
      <c r="H223" s="38">
        <f t="array" ref="H223">XLOOKUP(COST_BUY_MONTHLY!$C223,TAX!$A$2:$A$3,TAX!$B$2:$B$3)</f>
        <v>0.002</v>
      </c>
      <c r="I223" s="39">
        <f t="array" ref="I223">XLOOKUP(COST_BUY_MONTHLY!$C223,TAX!$A$2:$A$3,TAX!$C$2:$C$3)</f>
        <v>0.2</v>
      </c>
      <c r="J223" s="39">
        <f t="array" ref="J223">XLOOKUP(COST_BUY_MONTHLY!$C223,TAX!$A$2:$A$3,TAX!$D$2:$D$3)</f>
        <v>0.1</v>
      </c>
      <c r="K223" s="35">
        <f t="shared" si="2"/>
        <v>2414.598358</v>
      </c>
    </row>
    <row r="224" ht="14.25" customHeight="1">
      <c r="A224" s="33" t="s">
        <v>259</v>
      </c>
      <c r="B224" s="33" t="s">
        <v>110</v>
      </c>
      <c r="C224" s="33" t="s">
        <v>237</v>
      </c>
      <c r="D224" s="35">
        <v>1351.63</v>
      </c>
      <c r="E224" s="33">
        <v>50.0</v>
      </c>
      <c r="F224" s="35">
        <f t="array" ref="F224">IF(C224 ="FOB_JP", XLOOKUP(A224,CONTAINER_COST_MONTH!$A$2:$A$13,CONTAINER_COST_MONTH!$B$2:$B$13), 285)</f>
        <v>285</v>
      </c>
      <c r="G224" s="35">
        <f t="shared" si="1"/>
        <v>5.7</v>
      </c>
      <c r="H224" s="38">
        <f t="array" ref="H224">XLOOKUP(COST_BUY_MONTHLY!$C224,TAX!$A$2:$A$3,TAX!$B$2:$B$3)</f>
        <v>0</v>
      </c>
      <c r="I224" s="39">
        <f t="array" ref="I224">XLOOKUP(COST_BUY_MONTHLY!$C224,TAX!$A$2:$A$3,TAX!$C$2:$C$3)</f>
        <v>0</v>
      </c>
      <c r="J224" s="39">
        <f t="array" ref="J224">XLOOKUP(COST_BUY_MONTHLY!$C224,TAX!$A$2:$A$3,TAX!$D$2:$D$3)</f>
        <v>0.1</v>
      </c>
      <c r="K224" s="35">
        <f t="shared" si="2"/>
        <v>1493.063</v>
      </c>
    </row>
    <row r="225" ht="14.25" customHeight="1">
      <c r="A225" s="33" t="s">
        <v>259</v>
      </c>
      <c r="B225" s="33" t="s">
        <v>112</v>
      </c>
      <c r="C225" s="33" t="s">
        <v>237</v>
      </c>
      <c r="D225" s="35">
        <v>1642.68</v>
      </c>
      <c r="E225" s="33">
        <v>50.0</v>
      </c>
      <c r="F225" s="35">
        <f t="array" ref="F225">IF(C225 ="FOB_JP", XLOOKUP(A225,CONTAINER_COST_MONTH!$A$2:$A$13,CONTAINER_COST_MONTH!$B$2:$B$13), 285)</f>
        <v>285</v>
      </c>
      <c r="G225" s="35">
        <f t="shared" si="1"/>
        <v>5.7</v>
      </c>
      <c r="H225" s="38">
        <f t="array" ref="H225">XLOOKUP(COST_BUY_MONTHLY!$C225,TAX!$A$2:$A$3,TAX!$B$2:$B$3)</f>
        <v>0</v>
      </c>
      <c r="I225" s="39">
        <f t="array" ref="I225">XLOOKUP(COST_BUY_MONTHLY!$C225,TAX!$A$2:$A$3,TAX!$C$2:$C$3)</f>
        <v>0</v>
      </c>
      <c r="J225" s="39">
        <f t="array" ref="J225">XLOOKUP(COST_BUY_MONTHLY!$C225,TAX!$A$2:$A$3,TAX!$D$2:$D$3)</f>
        <v>0.1</v>
      </c>
      <c r="K225" s="35">
        <f t="shared" si="2"/>
        <v>1813.218</v>
      </c>
    </row>
    <row r="226" ht="14.25" customHeight="1">
      <c r="A226" s="33" t="s">
        <v>259</v>
      </c>
      <c r="B226" s="33" t="s">
        <v>114</v>
      </c>
      <c r="C226" s="33" t="s">
        <v>236</v>
      </c>
      <c r="D226" s="35">
        <v>4859.01</v>
      </c>
      <c r="E226" s="33">
        <v>20.0</v>
      </c>
      <c r="F226" s="35">
        <f t="array" ref="F226">IF(C226 ="FOB_JP", XLOOKUP(A226,CONTAINER_COST_MONTH!$A$2:$A$13,CONTAINER_COST_MONTH!$B$2:$B$13), 285)</f>
        <v>3324</v>
      </c>
      <c r="G226" s="35">
        <f t="shared" si="1"/>
        <v>166.2</v>
      </c>
      <c r="H226" s="38">
        <f t="array" ref="H226">XLOOKUP(COST_BUY_MONTHLY!$C226,TAX!$A$2:$A$3,TAX!$B$2:$B$3)</f>
        <v>0.002</v>
      </c>
      <c r="I226" s="39">
        <f t="array" ref="I226">XLOOKUP(COST_BUY_MONTHLY!$C226,TAX!$A$2:$A$3,TAX!$C$2:$C$3)</f>
        <v>0.2</v>
      </c>
      <c r="J226" s="39">
        <f t="array" ref="J226">XLOOKUP(COST_BUY_MONTHLY!$C226,TAX!$A$2:$A$3,TAX!$D$2:$D$3)</f>
        <v>0.1</v>
      </c>
      <c r="K226" s="35">
        <f t="shared" si="2"/>
        <v>6646.543754</v>
      </c>
    </row>
    <row r="227" ht="14.25" customHeight="1">
      <c r="A227" s="33" t="s">
        <v>259</v>
      </c>
      <c r="B227" s="33" t="s">
        <v>116</v>
      </c>
      <c r="C227" s="33" t="s">
        <v>236</v>
      </c>
      <c r="D227" s="35">
        <v>718.36</v>
      </c>
      <c r="E227" s="33">
        <v>50.0</v>
      </c>
      <c r="F227" s="35">
        <f t="array" ref="F227">IF(C227 ="FOB_JP", XLOOKUP(A227,CONTAINER_COST_MONTH!$A$2:$A$13,CONTAINER_COST_MONTH!$B$2:$B$13), 285)</f>
        <v>3324</v>
      </c>
      <c r="G227" s="35">
        <f t="shared" si="1"/>
        <v>66.48</v>
      </c>
      <c r="H227" s="38">
        <f t="array" ref="H227">XLOOKUP(COST_BUY_MONTHLY!$C227,TAX!$A$2:$A$3,TAX!$B$2:$B$3)</f>
        <v>0.002</v>
      </c>
      <c r="I227" s="39">
        <f t="array" ref="I227">XLOOKUP(COST_BUY_MONTHLY!$C227,TAX!$A$2:$A$3,TAX!$C$2:$C$3)</f>
        <v>0.2</v>
      </c>
      <c r="J227" s="39">
        <f t="array" ref="J227">XLOOKUP(COST_BUY_MONTHLY!$C227,TAX!$A$2:$A$3,TAX!$D$2:$D$3)</f>
        <v>0.1</v>
      </c>
      <c r="K227" s="35">
        <f t="shared" si="2"/>
        <v>1038.060778</v>
      </c>
    </row>
    <row r="228" ht="14.25" customHeight="1">
      <c r="A228" s="33" t="s">
        <v>259</v>
      </c>
      <c r="B228" s="33" t="s">
        <v>118</v>
      </c>
      <c r="C228" s="33" t="s">
        <v>236</v>
      </c>
      <c r="D228" s="35">
        <v>2169.04</v>
      </c>
      <c r="E228" s="33">
        <v>50.0</v>
      </c>
      <c r="F228" s="35">
        <f t="array" ref="F228">IF(C228 ="FOB_JP", XLOOKUP(A228,CONTAINER_COST_MONTH!$A$2:$A$13,CONTAINER_COST_MONTH!$B$2:$B$13), 285)</f>
        <v>3324</v>
      </c>
      <c r="G228" s="35">
        <f t="shared" si="1"/>
        <v>66.48</v>
      </c>
      <c r="H228" s="38">
        <f t="array" ref="H228">XLOOKUP(COST_BUY_MONTHLY!$C228,TAX!$A$2:$A$3,TAX!$B$2:$B$3)</f>
        <v>0.002</v>
      </c>
      <c r="I228" s="39">
        <f t="array" ref="I228">XLOOKUP(COST_BUY_MONTHLY!$C228,TAX!$A$2:$A$3,TAX!$C$2:$C$3)</f>
        <v>0.2</v>
      </c>
      <c r="J228" s="39">
        <f t="array" ref="J228">XLOOKUP(COST_BUY_MONTHLY!$C228,TAX!$A$2:$A$3,TAX!$D$2:$D$3)</f>
        <v>0.1</v>
      </c>
      <c r="K228" s="35">
        <f t="shared" si="2"/>
        <v>2956.788173</v>
      </c>
    </row>
    <row r="229" ht="14.25" customHeight="1">
      <c r="A229" s="33" t="s">
        <v>259</v>
      </c>
      <c r="B229" s="33" t="s">
        <v>120</v>
      </c>
      <c r="C229" s="33" t="s">
        <v>236</v>
      </c>
      <c r="D229" s="35">
        <v>3408.33</v>
      </c>
      <c r="E229" s="33">
        <v>50.0</v>
      </c>
      <c r="F229" s="35">
        <f t="array" ref="F229">IF(C229 ="FOB_JP", XLOOKUP(A229,CONTAINER_COST_MONTH!$A$2:$A$13,CONTAINER_COST_MONTH!$B$2:$B$13), 285)</f>
        <v>3324</v>
      </c>
      <c r="G229" s="35">
        <f t="shared" si="1"/>
        <v>66.48</v>
      </c>
      <c r="H229" s="38">
        <f t="array" ref="H229">XLOOKUP(COST_BUY_MONTHLY!$C229,TAX!$A$2:$A$3,TAX!$B$2:$B$3)</f>
        <v>0.002</v>
      </c>
      <c r="I229" s="39">
        <f t="array" ref="I229">XLOOKUP(COST_BUY_MONTHLY!$C229,TAX!$A$2:$A$3,TAX!$C$2:$C$3)</f>
        <v>0.2</v>
      </c>
      <c r="J229" s="39">
        <f t="array" ref="J229">XLOOKUP(COST_BUY_MONTHLY!$C229,TAX!$A$2:$A$3,TAX!$D$2:$D$3)</f>
        <v>0.1</v>
      </c>
      <c r="K229" s="35">
        <f t="shared" si="2"/>
        <v>4595.922698</v>
      </c>
    </row>
    <row r="230" ht="14.25" customHeight="1">
      <c r="A230" s="33" t="s">
        <v>259</v>
      </c>
      <c r="B230" s="33" t="s">
        <v>122</v>
      </c>
      <c r="C230" s="33" t="s">
        <v>237</v>
      </c>
      <c r="D230" s="35">
        <v>647.07</v>
      </c>
      <c r="E230" s="33">
        <v>50.0</v>
      </c>
      <c r="F230" s="35">
        <f t="array" ref="F230">IF(C230 ="FOB_JP", XLOOKUP(A230,CONTAINER_COST_MONTH!$A$2:$A$13,CONTAINER_COST_MONTH!$B$2:$B$13), 285)</f>
        <v>285</v>
      </c>
      <c r="G230" s="35">
        <f t="shared" si="1"/>
        <v>5.7</v>
      </c>
      <c r="H230" s="38">
        <f t="array" ref="H230">XLOOKUP(COST_BUY_MONTHLY!$C230,TAX!$A$2:$A$3,TAX!$B$2:$B$3)</f>
        <v>0</v>
      </c>
      <c r="I230" s="39">
        <f t="array" ref="I230">XLOOKUP(COST_BUY_MONTHLY!$C230,TAX!$A$2:$A$3,TAX!$C$2:$C$3)</f>
        <v>0</v>
      </c>
      <c r="J230" s="39">
        <f t="array" ref="J230">XLOOKUP(COST_BUY_MONTHLY!$C230,TAX!$A$2:$A$3,TAX!$D$2:$D$3)</f>
        <v>0.1</v>
      </c>
      <c r="K230" s="35">
        <f t="shared" si="2"/>
        <v>718.047</v>
      </c>
    </row>
    <row r="231" ht="14.25" customHeight="1">
      <c r="A231" s="33" t="s">
        <v>259</v>
      </c>
      <c r="B231" s="33" t="s">
        <v>124</v>
      </c>
      <c r="C231" s="33" t="s">
        <v>237</v>
      </c>
      <c r="D231" s="35">
        <v>2347.24</v>
      </c>
      <c r="E231" s="33">
        <v>50.0</v>
      </c>
      <c r="F231" s="35">
        <f t="array" ref="F231">IF(C231 ="FOB_JP", XLOOKUP(A231,CONTAINER_COST_MONTH!$A$2:$A$13,CONTAINER_COST_MONTH!$B$2:$B$13), 285)</f>
        <v>285</v>
      </c>
      <c r="G231" s="35">
        <f t="shared" si="1"/>
        <v>5.7</v>
      </c>
      <c r="H231" s="38">
        <f t="array" ref="H231">XLOOKUP(COST_BUY_MONTHLY!$C231,TAX!$A$2:$A$3,TAX!$B$2:$B$3)</f>
        <v>0</v>
      </c>
      <c r="I231" s="39">
        <f t="array" ref="I231">XLOOKUP(COST_BUY_MONTHLY!$C231,TAX!$A$2:$A$3,TAX!$C$2:$C$3)</f>
        <v>0</v>
      </c>
      <c r="J231" s="39">
        <f t="array" ref="J231">XLOOKUP(COST_BUY_MONTHLY!$C231,TAX!$A$2:$A$3,TAX!$D$2:$D$3)</f>
        <v>0.1</v>
      </c>
      <c r="K231" s="35">
        <f t="shared" si="2"/>
        <v>2588.234</v>
      </c>
    </row>
    <row r="232" ht="14.25" customHeight="1">
      <c r="A232" s="33" t="s">
        <v>259</v>
      </c>
      <c r="B232" s="33" t="s">
        <v>126</v>
      </c>
      <c r="C232" s="33" t="s">
        <v>236</v>
      </c>
      <c r="D232" s="35">
        <v>3638.25</v>
      </c>
      <c r="E232" s="33">
        <v>35.0</v>
      </c>
      <c r="F232" s="35">
        <f t="array" ref="F232">IF(C232 ="FOB_JP", XLOOKUP(A232,CONTAINER_COST_MONTH!$A$2:$A$13,CONTAINER_COST_MONTH!$B$2:$B$13), 285)</f>
        <v>3324</v>
      </c>
      <c r="G232" s="35">
        <f t="shared" si="1"/>
        <v>94.97142857</v>
      </c>
      <c r="H232" s="38">
        <f t="array" ref="H232">XLOOKUP(COST_BUY_MONTHLY!$C232,TAX!$A$2:$A$3,TAX!$B$2:$B$3)</f>
        <v>0.002</v>
      </c>
      <c r="I232" s="39">
        <f t="array" ref="I232">XLOOKUP(COST_BUY_MONTHLY!$C232,TAX!$A$2:$A$3,TAX!$C$2:$C$3)</f>
        <v>0.2</v>
      </c>
      <c r="J232" s="39">
        <f t="array" ref="J232">XLOOKUP(COST_BUY_MONTHLY!$C232,TAX!$A$2:$A$3,TAX!$D$2:$D$3)</f>
        <v>0.1</v>
      </c>
      <c r="K232" s="35">
        <f t="shared" si="2"/>
        <v>4937.70799</v>
      </c>
    </row>
    <row r="233" ht="14.25" customHeight="1">
      <c r="A233" s="33" t="s">
        <v>259</v>
      </c>
      <c r="B233" s="33" t="s">
        <v>128</v>
      </c>
      <c r="C233" s="33" t="s">
        <v>236</v>
      </c>
      <c r="D233" s="35">
        <v>5005.73</v>
      </c>
      <c r="E233" s="33">
        <v>35.0</v>
      </c>
      <c r="F233" s="35">
        <f t="array" ref="F233">IF(C233 ="FOB_JP", XLOOKUP(A233,CONTAINER_COST_MONTH!$A$2:$A$13,CONTAINER_COST_MONTH!$B$2:$B$13), 285)</f>
        <v>3324</v>
      </c>
      <c r="G233" s="35">
        <f t="shared" si="1"/>
        <v>94.97142857</v>
      </c>
      <c r="H233" s="38">
        <f t="array" ref="H233">XLOOKUP(COST_BUY_MONTHLY!$C233,TAX!$A$2:$A$3,TAX!$B$2:$B$3)</f>
        <v>0.002</v>
      </c>
      <c r="I233" s="39">
        <f t="array" ref="I233">XLOOKUP(COST_BUY_MONTHLY!$C233,TAX!$A$2:$A$3,TAX!$C$2:$C$3)</f>
        <v>0.2</v>
      </c>
      <c r="J233" s="39">
        <f t="array" ref="J233">XLOOKUP(COST_BUY_MONTHLY!$C233,TAX!$A$2:$A$3,TAX!$D$2:$D$3)</f>
        <v>0.1</v>
      </c>
      <c r="K233" s="35">
        <f t="shared" si="2"/>
        <v>6746.391737</v>
      </c>
    </row>
    <row r="234" ht="14.25" customHeight="1">
      <c r="A234" s="33" t="s">
        <v>259</v>
      </c>
      <c r="B234" s="33" t="s">
        <v>130</v>
      </c>
      <c r="C234" s="33" t="s">
        <v>237</v>
      </c>
      <c r="D234" s="35">
        <v>3760.36</v>
      </c>
      <c r="E234" s="33">
        <v>35.0</v>
      </c>
      <c r="F234" s="35">
        <f t="array" ref="F234">IF(C234 ="FOB_JP", XLOOKUP(A234,CONTAINER_COST_MONTH!$A$2:$A$13,CONTAINER_COST_MONTH!$B$2:$B$13), 285)</f>
        <v>285</v>
      </c>
      <c r="G234" s="35">
        <f t="shared" si="1"/>
        <v>8.142857143</v>
      </c>
      <c r="H234" s="38">
        <f t="array" ref="H234">XLOOKUP(COST_BUY_MONTHLY!$C234,TAX!$A$2:$A$3,TAX!$B$2:$B$3)</f>
        <v>0</v>
      </c>
      <c r="I234" s="39">
        <f t="array" ref="I234">XLOOKUP(COST_BUY_MONTHLY!$C234,TAX!$A$2:$A$3,TAX!$C$2:$C$3)</f>
        <v>0</v>
      </c>
      <c r="J234" s="39">
        <f t="array" ref="J234">XLOOKUP(COST_BUY_MONTHLY!$C234,TAX!$A$2:$A$3,TAX!$D$2:$D$3)</f>
        <v>0.1</v>
      </c>
      <c r="K234" s="35">
        <f t="shared" si="2"/>
        <v>4145.353143</v>
      </c>
    </row>
    <row r="235" ht="14.25" customHeight="1">
      <c r="A235" s="33" t="s">
        <v>259</v>
      </c>
      <c r="B235" s="33" t="s">
        <v>132</v>
      </c>
      <c r="C235" s="33" t="s">
        <v>237</v>
      </c>
      <c r="D235" s="35">
        <v>1229.5</v>
      </c>
      <c r="E235" s="33">
        <v>35.0</v>
      </c>
      <c r="F235" s="35">
        <f t="array" ref="F235">IF(C235 ="FOB_JP", XLOOKUP(A235,CONTAINER_COST_MONTH!$A$2:$A$13,CONTAINER_COST_MONTH!$B$2:$B$13), 285)</f>
        <v>285</v>
      </c>
      <c r="G235" s="35">
        <f t="shared" si="1"/>
        <v>8.142857143</v>
      </c>
      <c r="H235" s="38">
        <f t="array" ref="H235">XLOOKUP(COST_BUY_MONTHLY!$C235,TAX!$A$2:$A$3,TAX!$B$2:$B$3)</f>
        <v>0</v>
      </c>
      <c r="I235" s="39">
        <f t="array" ref="I235">XLOOKUP(COST_BUY_MONTHLY!$C235,TAX!$A$2:$A$3,TAX!$C$2:$C$3)</f>
        <v>0</v>
      </c>
      <c r="J235" s="39">
        <f t="array" ref="J235">XLOOKUP(COST_BUY_MONTHLY!$C235,TAX!$A$2:$A$3,TAX!$D$2:$D$3)</f>
        <v>0.1</v>
      </c>
      <c r="K235" s="35">
        <f t="shared" si="2"/>
        <v>1361.407143</v>
      </c>
    </row>
    <row r="236" ht="14.25" customHeight="1">
      <c r="A236" s="33" t="s">
        <v>259</v>
      </c>
      <c r="B236" s="33" t="s">
        <v>134</v>
      </c>
      <c r="C236" s="33" t="s">
        <v>236</v>
      </c>
      <c r="D236" s="35">
        <v>4169.85</v>
      </c>
      <c r="E236" s="33">
        <v>14.0</v>
      </c>
      <c r="F236" s="35">
        <f t="array" ref="F236">IF(C236 ="FOB_JP", XLOOKUP(A236,CONTAINER_COST_MONTH!$A$2:$A$13,CONTAINER_COST_MONTH!$B$2:$B$13), 285)</f>
        <v>3324</v>
      </c>
      <c r="G236" s="35">
        <f t="shared" si="1"/>
        <v>237.4285714</v>
      </c>
      <c r="H236" s="38">
        <f t="array" ref="H236">XLOOKUP(COST_BUY_MONTHLY!$C236,TAX!$A$2:$A$3,TAX!$B$2:$B$3)</f>
        <v>0.002</v>
      </c>
      <c r="I236" s="39">
        <f t="array" ref="I236">XLOOKUP(COST_BUY_MONTHLY!$C236,TAX!$A$2:$A$3,TAX!$C$2:$C$3)</f>
        <v>0.2</v>
      </c>
      <c r="J236" s="39">
        <f t="array" ref="J236">XLOOKUP(COST_BUY_MONTHLY!$C236,TAX!$A$2:$A$3,TAX!$D$2:$D$3)</f>
        <v>0.1</v>
      </c>
      <c r="K236" s="35">
        <f t="shared" si="2"/>
        <v>5829.24293</v>
      </c>
    </row>
    <row r="237" ht="14.25" customHeight="1">
      <c r="A237" s="33" t="s">
        <v>259</v>
      </c>
      <c r="B237" s="33" t="s">
        <v>136</v>
      </c>
      <c r="C237" s="33" t="s">
        <v>236</v>
      </c>
      <c r="D237" s="35">
        <v>4474.12</v>
      </c>
      <c r="E237" s="33">
        <v>35.0</v>
      </c>
      <c r="F237" s="35">
        <f t="array" ref="F237">IF(C237 ="FOB_JP", XLOOKUP(A237,CONTAINER_COST_MONTH!$A$2:$A$13,CONTAINER_COST_MONTH!$B$2:$B$13), 285)</f>
        <v>3324</v>
      </c>
      <c r="G237" s="35">
        <f t="shared" si="1"/>
        <v>94.97142857</v>
      </c>
      <c r="H237" s="38">
        <f t="array" ref="H237">XLOOKUP(COST_BUY_MONTHLY!$C237,TAX!$A$2:$A$3,TAX!$B$2:$B$3)</f>
        <v>0.002</v>
      </c>
      <c r="I237" s="39">
        <f t="array" ref="I237">XLOOKUP(COST_BUY_MONTHLY!$C237,TAX!$A$2:$A$3,TAX!$C$2:$C$3)</f>
        <v>0.2</v>
      </c>
      <c r="J237" s="39">
        <f t="array" ref="J237">XLOOKUP(COST_BUY_MONTHLY!$C237,TAX!$A$2:$A$3,TAX!$D$2:$D$3)</f>
        <v>0.1</v>
      </c>
      <c r="K237" s="35">
        <f t="shared" si="2"/>
        <v>6043.263087</v>
      </c>
    </row>
    <row r="238" ht="14.25" customHeight="1">
      <c r="A238" s="33" t="s">
        <v>259</v>
      </c>
      <c r="B238" s="33" t="s">
        <v>138</v>
      </c>
      <c r="C238" s="33" t="s">
        <v>236</v>
      </c>
      <c r="D238" s="35">
        <v>1857.59</v>
      </c>
      <c r="E238" s="33">
        <v>35.0</v>
      </c>
      <c r="F238" s="35">
        <f t="array" ref="F238">IF(C238 ="FOB_JP", XLOOKUP(A238,CONTAINER_COST_MONTH!$A$2:$A$13,CONTAINER_COST_MONTH!$B$2:$B$13), 285)</f>
        <v>3324</v>
      </c>
      <c r="G238" s="35">
        <f t="shared" si="1"/>
        <v>94.97142857</v>
      </c>
      <c r="H238" s="38">
        <f t="array" ref="H238">XLOOKUP(COST_BUY_MONTHLY!$C238,TAX!$A$2:$A$3,TAX!$B$2:$B$3)</f>
        <v>0.002</v>
      </c>
      <c r="I238" s="39">
        <f t="array" ref="I238">XLOOKUP(COST_BUY_MONTHLY!$C238,TAX!$A$2:$A$3,TAX!$C$2:$C$3)</f>
        <v>0.2</v>
      </c>
      <c r="J238" s="39">
        <f t="array" ref="J238">XLOOKUP(COST_BUY_MONTHLY!$C238,TAX!$A$2:$A$3,TAX!$D$2:$D$3)</f>
        <v>0.1</v>
      </c>
      <c r="K238" s="35">
        <f t="shared" si="2"/>
        <v>2582.535848</v>
      </c>
    </row>
    <row r="239" ht="14.25" customHeight="1">
      <c r="A239" s="33" t="s">
        <v>259</v>
      </c>
      <c r="B239" s="33" t="s">
        <v>140</v>
      </c>
      <c r="C239" s="33" t="s">
        <v>236</v>
      </c>
      <c r="D239" s="35">
        <v>6786.38</v>
      </c>
      <c r="E239" s="33">
        <v>35.0</v>
      </c>
      <c r="F239" s="35">
        <f t="array" ref="F239">IF(C239 ="FOB_JP", XLOOKUP(A239,CONTAINER_COST_MONTH!$A$2:$A$13,CONTAINER_COST_MONTH!$B$2:$B$13), 285)</f>
        <v>3324</v>
      </c>
      <c r="G239" s="35">
        <f t="shared" si="1"/>
        <v>94.97142857</v>
      </c>
      <c r="H239" s="38">
        <f t="array" ref="H239">XLOOKUP(COST_BUY_MONTHLY!$C239,TAX!$A$2:$A$3,TAX!$B$2:$B$3)</f>
        <v>0.002</v>
      </c>
      <c r="I239" s="39">
        <f t="array" ref="I239">XLOOKUP(COST_BUY_MONTHLY!$C239,TAX!$A$2:$A$3,TAX!$C$2:$C$3)</f>
        <v>0.2</v>
      </c>
      <c r="J239" s="39">
        <f t="array" ref="J239">XLOOKUP(COST_BUY_MONTHLY!$C239,TAX!$A$2:$A$3,TAX!$D$2:$D$3)</f>
        <v>0.1</v>
      </c>
      <c r="K239" s="35">
        <f t="shared" si="2"/>
        <v>9101.550653</v>
      </c>
    </row>
    <row r="240" ht="14.25" customHeight="1">
      <c r="A240" s="33" t="s">
        <v>259</v>
      </c>
      <c r="B240" s="33" t="s">
        <v>142</v>
      </c>
      <c r="C240" s="33" t="s">
        <v>237</v>
      </c>
      <c r="D240" s="35">
        <v>2264.4</v>
      </c>
      <c r="E240" s="33">
        <v>35.0</v>
      </c>
      <c r="F240" s="35">
        <f t="array" ref="F240">IF(C240 ="FOB_JP", XLOOKUP(A240,CONTAINER_COST_MONTH!$A$2:$A$13,CONTAINER_COST_MONTH!$B$2:$B$13), 285)</f>
        <v>285</v>
      </c>
      <c r="G240" s="35">
        <f t="shared" si="1"/>
        <v>8.142857143</v>
      </c>
      <c r="H240" s="38">
        <f t="array" ref="H240">XLOOKUP(COST_BUY_MONTHLY!$C240,TAX!$A$2:$A$3,TAX!$B$2:$B$3)</f>
        <v>0</v>
      </c>
      <c r="I240" s="39">
        <f t="array" ref="I240">XLOOKUP(COST_BUY_MONTHLY!$C240,TAX!$A$2:$A$3,TAX!$C$2:$C$3)</f>
        <v>0</v>
      </c>
      <c r="J240" s="39">
        <f t="array" ref="J240">XLOOKUP(COST_BUY_MONTHLY!$C240,TAX!$A$2:$A$3,TAX!$D$2:$D$3)</f>
        <v>0.1</v>
      </c>
      <c r="K240" s="35">
        <f t="shared" si="2"/>
        <v>2499.797143</v>
      </c>
    </row>
    <row r="241" ht="14.25" customHeight="1">
      <c r="A241" s="33" t="s">
        <v>259</v>
      </c>
      <c r="B241" s="33" t="s">
        <v>144</v>
      </c>
      <c r="C241" s="33" t="s">
        <v>237</v>
      </c>
      <c r="D241" s="35">
        <v>2725.46</v>
      </c>
      <c r="E241" s="33">
        <v>35.0</v>
      </c>
      <c r="F241" s="35">
        <f t="array" ref="F241">IF(C241 ="FOB_JP", XLOOKUP(A241,CONTAINER_COST_MONTH!$A$2:$A$13,CONTAINER_COST_MONTH!$B$2:$B$13), 285)</f>
        <v>285</v>
      </c>
      <c r="G241" s="35">
        <f t="shared" si="1"/>
        <v>8.142857143</v>
      </c>
      <c r="H241" s="38">
        <f t="array" ref="H241">XLOOKUP(COST_BUY_MONTHLY!$C241,TAX!$A$2:$A$3,TAX!$B$2:$B$3)</f>
        <v>0</v>
      </c>
      <c r="I241" s="39">
        <f t="array" ref="I241">XLOOKUP(COST_BUY_MONTHLY!$C241,TAX!$A$2:$A$3,TAX!$C$2:$C$3)</f>
        <v>0</v>
      </c>
      <c r="J241" s="39">
        <f t="array" ref="J241">XLOOKUP(COST_BUY_MONTHLY!$C241,TAX!$A$2:$A$3,TAX!$D$2:$D$3)</f>
        <v>0.1</v>
      </c>
      <c r="K241" s="35">
        <f t="shared" si="2"/>
        <v>3006.963143</v>
      </c>
    </row>
    <row r="242" ht="14.25" customHeight="1">
      <c r="A242" s="33" t="s">
        <v>260</v>
      </c>
      <c r="B242" s="33" t="s">
        <v>11</v>
      </c>
      <c r="C242" s="33" t="s">
        <v>236</v>
      </c>
      <c r="D242" s="35">
        <v>4048.09</v>
      </c>
      <c r="E242" s="33">
        <v>10.0</v>
      </c>
      <c r="F242" s="35">
        <f t="array" ref="F242">IF(C242 ="FOB_JP", XLOOKUP(A242,CONTAINER_COST_MONTH!$A$2:$A$13,CONTAINER_COST_MONTH!$B$2:$B$13), 285)</f>
        <v>3368</v>
      </c>
      <c r="G242" s="35">
        <f t="shared" si="1"/>
        <v>336.8</v>
      </c>
      <c r="H242" s="38">
        <f t="array" ref="H242">XLOOKUP(COST_BUY_MONTHLY!$C242,TAX!$A$2:$A$3,TAX!$B$2:$B$3)</f>
        <v>0.002</v>
      </c>
      <c r="I242" s="39">
        <f t="array" ref="I242">XLOOKUP(COST_BUY_MONTHLY!$C242,TAX!$A$2:$A$3,TAX!$C$2:$C$3)</f>
        <v>0.2</v>
      </c>
      <c r="J242" s="39">
        <f t="array" ref="J242">XLOOKUP(COST_BUY_MONTHLY!$C242,TAX!$A$2:$A$3,TAX!$D$2:$D$3)</f>
        <v>0.1</v>
      </c>
      <c r="K242" s="35">
        <f t="shared" si="2"/>
        <v>5799.63091</v>
      </c>
    </row>
    <row r="243" ht="14.25" customHeight="1">
      <c r="A243" s="33" t="s">
        <v>260</v>
      </c>
      <c r="B243" s="33" t="s">
        <v>18</v>
      </c>
      <c r="C243" s="33" t="s">
        <v>237</v>
      </c>
      <c r="D243" s="35">
        <v>2173.3</v>
      </c>
      <c r="E243" s="33">
        <v>40.0</v>
      </c>
      <c r="F243" s="35">
        <f t="array" ref="F243">IF(C243 ="FOB_JP", XLOOKUP(A243,CONTAINER_COST_MONTH!$A$2:$A$13,CONTAINER_COST_MONTH!$B$2:$B$13), 285)</f>
        <v>285</v>
      </c>
      <c r="G243" s="35">
        <f t="shared" si="1"/>
        <v>7.125</v>
      </c>
      <c r="H243" s="38">
        <f t="array" ref="H243">XLOOKUP(COST_BUY_MONTHLY!$C243,TAX!$A$2:$A$3,TAX!$B$2:$B$3)</f>
        <v>0</v>
      </c>
      <c r="I243" s="39">
        <f t="array" ref="I243">XLOOKUP(COST_BUY_MONTHLY!$C243,TAX!$A$2:$A$3,TAX!$C$2:$C$3)</f>
        <v>0</v>
      </c>
      <c r="J243" s="39">
        <f t="array" ref="J243">XLOOKUP(COST_BUY_MONTHLY!$C243,TAX!$A$2:$A$3,TAX!$D$2:$D$3)</f>
        <v>0.1</v>
      </c>
      <c r="K243" s="35">
        <f t="shared" si="2"/>
        <v>2398.4675</v>
      </c>
    </row>
    <row r="244" ht="14.25" customHeight="1">
      <c r="A244" s="33" t="s">
        <v>260</v>
      </c>
      <c r="B244" s="33" t="s">
        <v>22</v>
      </c>
      <c r="C244" s="33" t="s">
        <v>236</v>
      </c>
      <c r="D244" s="35">
        <v>4048.09</v>
      </c>
      <c r="E244" s="33">
        <v>20.0</v>
      </c>
      <c r="F244" s="35">
        <f t="array" ref="F244">IF(C244 ="FOB_JP", XLOOKUP(A244,CONTAINER_COST_MONTH!$A$2:$A$13,CONTAINER_COST_MONTH!$B$2:$B$13), 285)</f>
        <v>3368</v>
      </c>
      <c r="G244" s="35">
        <f t="shared" si="1"/>
        <v>168.4</v>
      </c>
      <c r="H244" s="38">
        <f t="array" ref="H244">XLOOKUP(COST_BUY_MONTHLY!$C244,TAX!$A$2:$A$3,TAX!$B$2:$B$3)</f>
        <v>0.002</v>
      </c>
      <c r="I244" s="39">
        <f t="array" ref="I244">XLOOKUP(COST_BUY_MONTHLY!$C244,TAX!$A$2:$A$3,TAX!$C$2:$C$3)</f>
        <v>0.2</v>
      </c>
      <c r="J244" s="39">
        <f t="array" ref="J244">XLOOKUP(COST_BUY_MONTHLY!$C244,TAX!$A$2:$A$3,TAX!$D$2:$D$3)</f>
        <v>0.1</v>
      </c>
      <c r="K244" s="35">
        <f t="shared" si="2"/>
        <v>5576.898334</v>
      </c>
    </row>
    <row r="245" ht="14.25" customHeight="1">
      <c r="A245" s="33" t="s">
        <v>260</v>
      </c>
      <c r="B245" s="33" t="s">
        <v>24</v>
      </c>
      <c r="C245" s="33" t="s">
        <v>236</v>
      </c>
      <c r="D245" s="35">
        <v>4048.09</v>
      </c>
      <c r="E245" s="33">
        <v>15.0</v>
      </c>
      <c r="F245" s="35">
        <f t="array" ref="F245">IF(C245 ="FOB_JP", XLOOKUP(A245,CONTAINER_COST_MONTH!$A$2:$A$13,CONTAINER_COST_MONTH!$B$2:$B$13), 285)</f>
        <v>3368</v>
      </c>
      <c r="G245" s="35">
        <f t="shared" si="1"/>
        <v>224.5333333</v>
      </c>
      <c r="H245" s="38">
        <f t="array" ref="H245">XLOOKUP(COST_BUY_MONTHLY!$C245,TAX!$A$2:$A$3,TAX!$B$2:$B$3)</f>
        <v>0.002</v>
      </c>
      <c r="I245" s="39">
        <f t="array" ref="I245">XLOOKUP(COST_BUY_MONTHLY!$C245,TAX!$A$2:$A$3,TAX!$C$2:$C$3)</f>
        <v>0.2</v>
      </c>
      <c r="J245" s="39">
        <f t="array" ref="J245">XLOOKUP(COST_BUY_MONTHLY!$C245,TAX!$A$2:$A$3,TAX!$D$2:$D$3)</f>
        <v>0.1</v>
      </c>
      <c r="K245" s="35">
        <f t="shared" si="2"/>
        <v>5651.142526</v>
      </c>
    </row>
    <row r="246" ht="14.25" customHeight="1">
      <c r="A246" s="33" t="s">
        <v>260</v>
      </c>
      <c r="B246" s="33" t="s">
        <v>26</v>
      </c>
      <c r="C246" s="33" t="s">
        <v>237</v>
      </c>
      <c r="D246" s="35">
        <v>2173.3</v>
      </c>
      <c r="E246" s="33">
        <v>120.0</v>
      </c>
      <c r="F246" s="35">
        <f t="array" ref="F246">IF(C246 ="FOB_JP", XLOOKUP(A246,CONTAINER_COST_MONTH!$A$2:$A$13,CONTAINER_COST_MONTH!$B$2:$B$13), 285)</f>
        <v>285</v>
      </c>
      <c r="G246" s="35">
        <f t="shared" si="1"/>
        <v>2.375</v>
      </c>
      <c r="H246" s="38">
        <f t="array" ref="H246">XLOOKUP(COST_BUY_MONTHLY!$C246,TAX!$A$2:$A$3,TAX!$B$2:$B$3)</f>
        <v>0</v>
      </c>
      <c r="I246" s="39">
        <f t="array" ref="I246">XLOOKUP(COST_BUY_MONTHLY!$C246,TAX!$A$2:$A$3,TAX!$C$2:$C$3)</f>
        <v>0</v>
      </c>
      <c r="J246" s="39">
        <f t="array" ref="J246">XLOOKUP(COST_BUY_MONTHLY!$C246,TAX!$A$2:$A$3,TAX!$D$2:$D$3)</f>
        <v>0.1</v>
      </c>
      <c r="K246" s="35">
        <f t="shared" si="2"/>
        <v>2393.2425</v>
      </c>
    </row>
    <row r="247" ht="14.25" customHeight="1">
      <c r="A247" s="33" t="s">
        <v>260</v>
      </c>
      <c r="B247" s="33" t="s">
        <v>30</v>
      </c>
      <c r="C247" s="33" t="s">
        <v>236</v>
      </c>
      <c r="D247" s="35">
        <v>11025.48</v>
      </c>
      <c r="E247" s="33">
        <v>7.0</v>
      </c>
      <c r="F247" s="35">
        <f t="array" ref="F247">IF(C247 ="FOB_JP", XLOOKUP(A247,CONTAINER_COST_MONTH!$A$2:$A$13,CONTAINER_COST_MONTH!$B$2:$B$13), 285)</f>
        <v>3368</v>
      </c>
      <c r="G247" s="35">
        <f t="shared" si="1"/>
        <v>481.1428571</v>
      </c>
      <c r="H247" s="38">
        <f t="array" ref="H247">XLOOKUP(COST_BUY_MONTHLY!$C247,TAX!$A$2:$A$3,TAX!$B$2:$B$3)</f>
        <v>0.002</v>
      </c>
      <c r="I247" s="39">
        <f t="array" ref="I247">XLOOKUP(COST_BUY_MONTHLY!$C247,TAX!$A$2:$A$3,TAX!$C$2:$C$3)</f>
        <v>0.2</v>
      </c>
      <c r="J247" s="39">
        <f t="array" ref="J247">XLOOKUP(COST_BUY_MONTHLY!$C247,TAX!$A$2:$A$3,TAX!$D$2:$D$3)</f>
        <v>0.1</v>
      </c>
      <c r="K247" s="35">
        <f t="shared" si="2"/>
        <v>15219.11966</v>
      </c>
    </row>
    <row r="248" ht="14.25" customHeight="1">
      <c r="A248" s="33" t="s">
        <v>260</v>
      </c>
      <c r="B248" s="33" t="s">
        <v>33</v>
      </c>
      <c r="C248" s="33" t="s">
        <v>237</v>
      </c>
      <c r="D248" s="35">
        <v>6364.62</v>
      </c>
      <c r="E248" s="33">
        <v>28.0</v>
      </c>
      <c r="F248" s="35">
        <f t="array" ref="F248">IF(C248 ="FOB_JP", XLOOKUP(A248,CONTAINER_COST_MONTH!$A$2:$A$13,CONTAINER_COST_MONTH!$B$2:$B$13), 285)</f>
        <v>285</v>
      </c>
      <c r="G248" s="35">
        <f t="shared" si="1"/>
        <v>10.17857143</v>
      </c>
      <c r="H248" s="38">
        <f t="array" ref="H248">XLOOKUP(COST_BUY_MONTHLY!$C248,TAX!$A$2:$A$3,TAX!$B$2:$B$3)</f>
        <v>0</v>
      </c>
      <c r="I248" s="39">
        <f t="array" ref="I248">XLOOKUP(COST_BUY_MONTHLY!$C248,TAX!$A$2:$A$3,TAX!$C$2:$C$3)</f>
        <v>0</v>
      </c>
      <c r="J248" s="39">
        <f t="array" ref="J248">XLOOKUP(COST_BUY_MONTHLY!$C248,TAX!$A$2:$A$3,TAX!$D$2:$D$3)</f>
        <v>0.1</v>
      </c>
      <c r="K248" s="35">
        <f t="shared" si="2"/>
        <v>7012.278429</v>
      </c>
    </row>
    <row r="249" ht="14.25" customHeight="1">
      <c r="A249" s="33" t="s">
        <v>260</v>
      </c>
      <c r="B249" s="33" t="s">
        <v>35</v>
      </c>
      <c r="C249" s="33" t="s">
        <v>236</v>
      </c>
      <c r="D249" s="35">
        <v>11025.48</v>
      </c>
      <c r="E249" s="33">
        <v>14.0</v>
      </c>
      <c r="F249" s="35">
        <f t="array" ref="F249">IF(C249 ="FOB_JP", XLOOKUP(A249,CONTAINER_COST_MONTH!$A$2:$A$13,CONTAINER_COST_MONTH!$B$2:$B$13), 285)</f>
        <v>3368</v>
      </c>
      <c r="G249" s="35">
        <f t="shared" si="1"/>
        <v>240.5714286</v>
      </c>
      <c r="H249" s="38">
        <f t="array" ref="H249">XLOOKUP(COST_BUY_MONTHLY!$C249,TAX!$A$2:$A$3,TAX!$B$2:$B$3)</f>
        <v>0.002</v>
      </c>
      <c r="I249" s="39">
        <f t="array" ref="I249">XLOOKUP(COST_BUY_MONTHLY!$C249,TAX!$A$2:$A$3,TAX!$C$2:$C$3)</f>
        <v>0.2</v>
      </c>
      <c r="J249" s="39">
        <f t="array" ref="J249">XLOOKUP(COST_BUY_MONTHLY!$C249,TAX!$A$2:$A$3,TAX!$D$2:$D$3)</f>
        <v>0.1</v>
      </c>
      <c r="K249" s="35">
        <f t="shared" si="2"/>
        <v>14900.93026</v>
      </c>
    </row>
    <row r="250" ht="14.25" customHeight="1">
      <c r="A250" s="33" t="s">
        <v>260</v>
      </c>
      <c r="B250" s="33" t="s">
        <v>37</v>
      </c>
      <c r="C250" s="33" t="s">
        <v>236</v>
      </c>
      <c r="D250" s="35">
        <v>11025.48</v>
      </c>
      <c r="E250" s="33">
        <v>10.0</v>
      </c>
      <c r="F250" s="35">
        <f t="array" ref="F250">IF(C250 ="FOB_JP", XLOOKUP(A250,CONTAINER_COST_MONTH!$A$2:$A$13,CONTAINER_COST_MONTH!$B$2:$B$13), 285)</f>
        <v>3368</v>
      </c>
      <c r="G250" s="35">
        <f t="shared" si="1"/>
        <v>336.8</v>
      </c>
      <c r="H250" s="38">
        <f t="array" ref="H250">XLOOKUP(COST_BUY_MONTHLY!$C250,TAX!$A$2:$A$3,TAX!$B$2:$B$3)</f>
        <v>0.002</v>
      </c>
      <c r="I250" s="39">
        <f t="array" ref="I250">XLOOKUP(COST_BUY_MONTHLY!$C250,TAX!$A$2:$A$3,TAX!$C$2:$C$3)</f>
        <v>0.2</v>
      </c>
      <c r="J250" s="39">
        <f t="array" ref="J250">XLOOKUP(COST_BUY_MONTHLY!$C250,TAX!$A$2:$A$3,TAX!$D$2:$D$3)</f>
        <v>0.1</v>
      </c>
      <c r="K250" s="35">
        <f t="shared" si="2"/>
        <v>15028.20602</v>
      </c>
    </row>
    <row r="251" ht="14.25" customHeight="1">
      <c r="A251" s="33" t="s">
        <v>260</v>
      </c>
      <c r="B251" s="33" t="s">
        <v>39</v>
      </c>
      <c r="C251" s="33" t="s">
        <v>237</v>
      </c>
      <c r="D251" s="35">
        <v>6364.62</v>
      </c>
      <c r="E251" s="33">
        <v>84.0</v>
      </c>
      <c r="F251" s="35">
        <f t="array" ref="F251">IF(C251 ="FOB_JP", XLOOKUP(A251,CONTAINER_COST_MONTH!$A$2:$A$13,CONTAINER_COST_MONTH!$B$2:$B$13), 285)</f>
        <v>285</v>
      </c>
      <c r="G251" s="35">
        <f t="shared" si="1"/>
        <v>3.392857143</v>
      </c>
      <c r="H251" s="38">
        <f t="array" ref="H251">XLOOKUP(COST_BUY_MONTHLY!$C251,TAX!$A$2:$A$3,TAX!$B$2:$B$3)</f>
        <v>0</v>
      </c>
      <c r="I251" s="39">
        <f t="array" ref="I251">XLOOKUP(COST_BUY_MONTHLY!$C251,TAX!$A$2:$A$3,TAX!$C$2:$C$3)</f>
        <v>0</v>
      </c>
      <c r="J251" s="39">
        <f t="array" ref="J251">XLOOKUP(COST_BUY_MONTHLY!$C251,TAX!$A$2:$A$3,TAX!$D$2:$D$3)</f>
        <v>0.1</v>
      </c>
      <c r="K251" s="35">
        <f t="shared" si="2"/>
        <v>7004.814143</v>
      </c>
    </row>
    <row r="252" ht="14.25" customHeight="1">
      <c r="A252" s="33" t="s">
        <v>260</v>
      </c>
      <c r="B252" s="33" t="s">
        <v>42</v>
      </c>
      <c r="C252" s="33" t="s">
        <v>236</v>
      </c>
      <c r="D252" s="35">
        <v>5577.37</v>
      </c>
      <c r="E252" s="33">
        <v>10.0</v>
      </c>
      <c r="F252" s="35">
        <f t="array" ref="F252">IF(C252 ="FOB_JP", XLOOKUP(A252,CONTAINER_COST_MONTH!$A$2:$A$13,CONTAINER_COST_MONTH!$B$2:$B$13), 285)</f>
        <v>3368</v>
      </c>
      <c r="G252" s="35">
        <f t="shared" si="1"/>
        <v>336.8</v>
      </c>
      <c r="H252" s="38">
        <f t="array" ref="H252">XLOOKUP(COST_BUY_MONTHLY!$C252,TAX!$A$2:$A$3,TAX!$B$2:$B$3)</f>
        <v>0.002</v>
      </c>
      <c r="I252" s="39">
        <f t="array" ref="I252">XLOOKUP(COST_BUY_MONTHLY!$C252,TAX!$A$2:$A$3,TAX!$C$2:$C$3)</f>
        <v>0.2</v>
      </c>
      <c r="J252" s="39">
        <f t="array" ref="J252">XLOOKUP(COST_BUY_MONTHLY!$C252,TAX!$A$2:$A$3,TAX!$D$2:$D$3)</f>
        <v>0.1</v>
      </c>
      <c r="K252" s="35">
        <f t="shared" si="2"/>
        <v>7822.317809</v>
      </c>
    </row>
    <row r="253" ht="14.25" customHeight="1">
      <c r="A253" s="33" t="s">
        <v>260</v>
      </c>
      <c r="B253" s="33" t="s">
        <v>45</v>
      </c>
      <c r="C253" s="33" t="s">
        <v>237</v>
      </c>
      <c r="D253" s="35">
        <v>2994.32</v>
      </c>
      <c r="E253" s="33">
        <v>40.0</v>
      </c>
      <c r="F253" s="35">
        <f t="array" ref="F253">IF(C253 ="FOB_JP", XLOOKUP(A253,CONTAINER_COST_MONTH!$A$2:$A$13,CONTAINER_COST_MONTH!$B$2:$B$13), 285)</f>
        <v>285</v>
      </c>
      <c r="G253" s="35">
        <f t="shared" si="1"/>
        <v>7.125</v>
      </c>
      <c r="H253" s="38">
        <f t="array" ref="H253">XLOOKUP(COST_BUY_MONTHLY!$C253,TAX!$A$2:$A$3,TAX!$B$2:$B$3)</f>
        <v>0</v>
      </c>
      <c r="I253" s="39">
        <f t="array" ref="I253">XLOOKUP(COST_BUY_MONTHLY!$C253,TAX!$A$2:$A$3,TAX!$C$2:$C$3)</f>
        <v>0</v>
      </c>
      <c r="J253" s="39">
        <f t="array" ref="J253">XLOOKUP(COST_BUY_MONTHLY!$C253,TAX!$A$2:$A$3,TAX!$D$2:$D$3)</f>
        <v>0.1</v>
      </c>
      <c r="K253" s="35">
        <f t="shared" si="2"/>
        <v>3301.5895</v>
      </c>
    </row>
    <row r="254" ht="14.25" customHeight="1">
      <c r="A254" s="33" t="s">
        <v>260</v>
      </c>
      <c r="B254" s="33" t="s">
        <v>47</v>
      </c>
      <c r="C254" s="33" t="s">
        <v>236</v>
      </c>
      <c r="D254" s="35">
        <v>5577.37</v>
      </c>
      <c r="E254" s="33">
        <v>20.0</v>
      </c>
      <c r="F254" s="35">
        <f t="array" ref="F254">IF(C254 ="FOB_JP", XLOOKUP(A254,CONTAINER_COST_MONTH!$A$2:$A$13,CONTAINER_COST_MONTH!$B$2:$B$13), 285)</f>
        <v>3368</v>
      </c>
      <c r="G254" s="35">
        <f t="shared" si="1"/>
        <v>168.4</v>
      </c>
      <c r="H254" s="38">
        <f t="array" ref="H254">XLOOKUP(COST_BUY_MONTHLY!$C254,TAX!$A$2:$A$3,TAX!$B$2:$B$3)</f>
        <v>0.002</v>
      </c>
      <c r="I254" s="39">
        <f t="array" ref="I254">XLOOKUP(COST_BUY_MONTHLY!$C254,TAX!$A$2:$A$3,TAX!$C$2:$C$3)</f>
        <v>0.2</v>
      </c>
      <c r="J254" s="39">
        <f t="array" ref="J254">XLOOKUP(COST_BUY_MONTHLY!$C254,TAX!$A$2:$A$3,TAX!$D$2:$D$3)</f>
        <v>0.1</v>
      </c>
      <c r="K254" s="35">
        <f t="shared" si="2"/>
        <v>7599.585233</v>
      </c>
    </row>
    <row r="255" ht="14.25" customHeight="1">
      <c r="A255" s="33" t="s">
        <v>260</v>
      </c>
      <c r="B255" s="33" t="s">
        <v>49</v>
      </c>
      <c r="C255" s="33" t="s">
        <v>236</v>
      </c>
      <c r="D255" s="35">
        <v>5577.37</v>
      </c>
      <c r="E255" s="33">
        <v>15.0</v>
      </c>
      <c r="F255" s="35">
        <f t="array" ref="F255">IF(C255 ="FOB_JP", XLOOKUP(A255,CONTAINER_COST_MONTH!$A$2:$A$13,CONTAINER_COST_MONTH!$B$2:$B$13), 285)</f>
        <v>3368</v>
      </c>
      <c r="G255" s="35">
        <f t="shared" si="1"/>
        <v>224.5333333</v>
      </c>
      <c r="H255" s="38">
        <f t="array" ref="H255">XLOOKUP(COST_BUY_MONTHLY!$C255,TAX!$A$2:$A$3,TAX!$B$2:$B$3)</f>
        <v>0.002</v>
      </c>
      <c r="I255" s="39">
        <f t="array" ref="I255">XLOOKUP(COST_BUY_MONTHLY!$C255,TAX!$A$2:$A$3,TAX!$C$2:$C$3)</f>
        <v>0.2</v>
      </c>
      <c r="J255" s="39">
        <f t="array" ref="J255">XLOOKUP(COST_BUY_MONTHLY!$C255,TAX!$A$2:$A$3,TAX!$D$2:$D$3)</f>
        <v>0.1</v>
      </c>
      <c r="K255" s="35">
        <f t="shared" si="2"/>
        <v>7673.829425</v>
      </c>
    </row>
    <row r="256" ht="14.25" customHeight="1">
      <c r="A256" s="33" t="s">
        <v>260</v>
      </c>
      <c r="B256" s="33" t="s">
        <v>51</v>
      </c>
      <c r="C256" s="33" t="s">
        <v>237</v>
      </c>
      <c r="D256" s="35">
        <v>2994.32</v>
      </c>
      <c r="E256" s="33">
        <v>120.0</v>
      </c>
      <c r="F256" s="35">
        <f t="array" ref="F256">IF(C256 ="FOB_JP", XLOOKUP(A256,CONTAINER_COST_MONTH!$A$2:$A$13,CONTAINER_COST_MONTH!$B$2:$B$13), 285)</f>
        <v>285</v>
      </c>
      <c r="G256" s="35">
        <f t="shared" si="1"/>
        <v>2.375</v>
      </c>
      <c r="H256" s="38">
        <f t="array" ref="H256">XLOOKUP(COST_BUY_MONTHLY!$C256,TAX!$A$2:$A$3,TAX!$B$2:$B$3)</f>
        <v>0</v>
      </c>
      <c r="I256" s="39">
        <f t="array" ref="I256">XLOOKUP(COST_BUY_MONTHLY!$C256,TAX!$A$2:$A$3,TAX!$C$2:$C$3)</f>
        <v>0</v>
      </c>
      <c r="J256" s="39">
        <f t="array" ref="J256">XLOOKUP(COST_BUY_MONTHLY!$C256,TAX!$A$2:$A$3,TAX!$D$2:$D$3)</f>
        <v>0.1</v>
      </c>
      <c r="K256" s="35">
        <f t="shared" si="2"/>
        <v>3296.3645</v>
      </c>
    </row>
    <row r="257" ht="14.25" customHeight="1">
      <c r="A257" s="33" t="s">
        <v>260</v>
      </c>
      <c r="B257" s="33" t="s">
        <v>54</v>
      </c>
      <c r="C257" s="33" t="s">
        <v>236</v>
      </c>
      <c r="D257" s="35">
        <v>8643.97</v>
      </c>
      <c r="E257" s="33">
        <v>7.0</v>
      </c>
      <c r="F257" s="35">
        <f t="array" ref="F257">IF(C257 ="FOB_JP", XLOOKUP(A257,CONTAINER_COST_MONTH!$A$2:$A$13,CONTAINER_COST_MONTH!$B$2:$B$13), 285)</f>
        <v>3368</v>
      </c>
      <c r="G257" s="35">
        <f t="shared" si="1"/>
        <v>481.1428571</v>
      </c>
      <c r="H257" s="38">
        <f t="array" ref="H257">XLOOKUP(COST_BUY_MONTHLY!$C257,TAX!$A$2:$A$3,TAX!$B$2:$B$3)</f>
        <v>0.002</v>
      </c>
      <c r="I257" s="39">
        <f t="array" ref="I257">XLOOKUP(COST_BUY_MONTHLY!$C257,TAX!$A$2:$A$3,TAX!$C$2:$C$3)</f>
        <v>0.2</v>
      </c>
      <c r="J257" s="39">
        <f t="array" ref="J257">XLOOKUP(COST_BUY_MONTHLY!$C257,TAX!$A$2:$A$3,TAX!$D$2:$D$3)</f>
        <v>0.1</v>
      </c>
      <c r="K257" s="35">
        <f t="shared" si="2"/>
        <v>12069.23927</v>
      </c>
    </row>
    <row r="258" ht="14.25" customHeight="1">
      <c r="A258" s="33" t="s">
        <v>260</v>
      </c>
      <c r="B258" s="33" t="s">
        <v>57</v>
      </c>
      <c r="C258" s="33" t="s">
        <v>237</v>
      </c>
      <c r="D258" s="35">
        <v>4989.86</v>
      </c>
      <c r="E258" s="33">
        <v>28.0</v>
      </c>
      <c r="F258" s="35">
        <f t="array" ref="F258">IF(C258 ="FOB_JP", XLOOKUP(A258,CONTAINER_COST_MONTH!$A$2:$A$13,CONTAINER_COST_MONTH!$B$2:$B$13), 285)</f>
        <v>285</v>
      </c>
      <c r="G258" s="35">
        <f t="shared" si="1"/>
        <v>10.17857143</v>
      </c>
      <c r="H258" s="38">
        <f t="array" ref="H258">XLOOKUP(COST_BUY_MONTHLY!$C258,TAX!$A$2:$A$3,TAX!$B$2:$B$3)</f>
        <v>0</v>
      </c>
      <c r="I258" s="39">
        <f t="array" ref="I258">XLOOKUP(COST_BUY_MONTHLY!$C258,TAX!$A$2:$A$3,TAX!$C$2:$C$3)</f>
        <v>0</v>
      </c>
      <c r="J258" s="39">
        <f t="array" ref="J258">XLOOKUP(COST_BUY_MONTHLY!$C258,TAX!$A$2:$A$3,TAX!$D$2:$D$3)</f>
        <v>0.1</v>
      </c>
      <c r="K258" s="35">
        <f t="shared" si="2"/>
        <v>5500.042429</v>
      </c>
    </row>
    <row r="259" ht="14.25" customHeight="1">
      <c r="A259" s="33" t="s">
        <v>260</v>
      </c>
      <c r="B259" s="33" t="s">
        <v>59</v>
      </c>
      <c r="C259" s="33" t="s">
        <v>236</v>
      </c>
      <c r="D259" s="35">
        <v>8643.97</v>
      </c>
      <c r="E259" s="33">
        <v>14.0</v>
      </c>
      <c r="F259" s="35">
        <f t="array" ref="F259">IF(C259 ="FOB_JP", XLOOKUP(A259,CONTAINER_COST_MONTH!$A$2:$A$13,CONTAINER_COST_MONTH!$B$2:$B$13), 285)</f>
        <v>3368</v>
      </c>
      <c r="G259" s="35">
        <f t="shared" si="1"/>
        <v>240.5714286</v>
      </c>
      <c r="H259" s="38">
        <f t="array" ref="H259">XLOOKUP(COST_BUY_MONTHLY!$C259,TAX!$A$2:$A$3,TAX!$B$2:$B$3)</f>
        <v>0.002</v>
      </c>
      <c r="I259" s="39">
        <f t="array" ref="I259">XLOOKUP(COST_BUY_MONTHLY!$C259,TAX!$A$2:$A$3,TAX!$C$2:$C$3)</f>
        <v>0.2</v>
      </c>
      <c r="J259" s="39">
        <f t="array" ref="J259">XLOOKUP(COST_BUY_MONTHLY!$C259,TAX!$A$2:$A$3,TAX!$D$2:$D$3)</f>
        <v>0.1</v>
      </c>
      <c r="K259" s="35">
        <f t="shared" si="2"/>
        <v>11751.04988</v>
      </c>
    </row>
    <row r="260" ht="14.25" customHeight="1">
      <c r="A260" s="33" t="s">
        <v>260</v>
      </c>
      <c r="B260" s="33" t="s">
        <v>61</v>
      </c>
      <c r="C260" s="33" t="s">
        <v>236</v>
      </c>
      <c r="D260" s="35">
        <v>8643.97</v>
      </c>
      <c r="E260" s="33">
        <v>10.0</v>
      </c>
      <c r="F260" s="35">
        <f t="array" ref="F260">IF(C260 ="FOB_JP", XLOOKUP(A260,CONTAINER_COST_MONTH!$A$2:$A$13,CONTAINER_COST_MONTH!$B$2:$B$13), 285)</f>
        <v>3368</v>
      </c>
      <c r="G260" s="35">
        <f t="shared" si="1"/>
        <v>336.8</v>
      </c>
      <c r="H260" s="38">
        <f t="array" ref="H260">XLOOKUP(COST_BUY_MONTHLY!$C260,TAX!$A$2:$A$3,TAX!$B$2:$B$3)</f>
        <v>0.002</v>
      </c>
      <c r="I260" s="39">
        <f t="array" ref="I260">XLOOKUP(COST_BUY_MONTHLY!$C260,TAX!$A$2:$A$3,TAX!$C$2:$C$3)</f>
        <v>0.2</v>
      </c>
      <c r="J260" s="39">
        <f t="array" ref="J260">XLOOKUP(COST_BUY_MONTHLY!$C260,TAX!$A$2:$A$3,TAX!$D$2:$D$3)</f>
        <v>0.1</v>
      </c>
      <c r="K260" s="35">
        <f t="shared" si="2"/>
        <v>11878.32563</v>
      </c>
    </row>
    <row r="261" ht="14.25" customHeight="1">
      <c r="A261" s="33" t="s">
        <v>260</v>
      </c>
      <c r="B261" s="33" t="s">
        <v>63</v>
      </c>
      <c r="C261" s="33" t="s">
        <v>237</v>
      </c>
      <c r="D261" s="35">
        <v>4989.86</v>
      </c>
      <c r="E261" s="33">
        <v>84.0</v>
      </c>
      <c r="F261" s="35">
        <f t="array" ref="F261">IF(C261 ="FOB_JP", XLOOKUP(A261,CONTAINER_COST_MONTH!$A$2:$A$13,CONTAINER_COST_MONTH!$B$2:$B$13), 285)</f>
        <v>285</v>
      </c>
      <c r="G261" s="35">
        <f t="shared" si="1"/>
        <v>3.392857143</v>
      </c>
      <c r="H261" s="38">
        <f t="array" ref="H261">XLOOKUP(COST_BUY_MONTHLY!$C261,TAX!$A$2:$A$3,TAX!$B$2:$B$3)</f>
        <v>0</v>
      </c>
      <c r="I261" s="39">
        <f t="array" ref="I261">XLOOKUP(COST_BUY_MONTHLY!$C261,TAX!$A$2:$A$3,TAX!$C$2:$C$3)</f>
        <v>0</v>
      </c>
      <c r="J261" s="39">
        <f t="array" ref="J261">XLOOKUP(COST_BUY_MONTHLY!$C261,TAX!$A$2:$A$3,TAX!$D$2:$D$3)</f>
        <v>0.1</v>
      </c>
      <c r="K261" s="35">
        <f t="shared" si="2"/>
        <v>5492.578143</v>
      </c>
    </row>
    <row r="262" ht="14.25" customHeight="1">
      <c r="A262" s="33" t="s">
        <v>260</v>
      </c>
      <c r="B262" s="33" t="s">
        <v>65</v>
      </c>
      <c r="C262" s="33" t="s">
        <v>236</v>
      </c>
      <c r="D262" s="35">
        <v>1056.55</v>
      </c>
      <c r="E262" s="33">
        <v>50.0</v>
      </c>
      <c r="F262" s="35">
        <f t="array" ref="F262">IF(C262 ="FOB_JP", XLOOKUP(A262,CONTAINER_COST_MONTH!$A$2:$A$13,CONTAINER_COST_MONTH!$B$2:$B$13), 285)</f>
        <v>3368</v>
      </c>
      <c r="G262" s="35">
        <f t="shared" si="1"/>
        <v>67.36</v>
      </c>
      <c r="H262" s="38">
        <f t="array" ref="H262">XLOOKUP(COST_BUY_MONTHLY!$C262,TAX!$A$2:$A$3,TAX!$B$2:$B$3)</f>
        <v>0.002</v>
      </c>
      <c r="I262" s="39">
        <f t="array" ref="I262">XLOOKUP(COST_BUY_MONTHLY!$C262,TAX!$A$2:$A$3,TAX!$C$2:$C$3)</f>
        <v>0.2</v>
      </c>
      <c r="J262" s="39">
        <f t="array" ref="J262">XLOOKUP(COST_BUY_MONTHLY!$C262,TAX!$A$2:$A$3,TAX!$D$2:$D$3)</f>
        <v>0.1</v>
      </c>
      <c r="K262" s="35">
        <f t="shared" si="2"/>
        <v>1486.528322</v>
      </c>
    </row>
    <row r="263" ht="14.25" customHeight="1">
      <c r="A263" s="33" t="s">
        <v>260</v>
      </c>
      <c r="B263" s="33" t="s">
        <v>67</v>
      </c>
      <c r="C263" s="33" t="s">
        <v>236</v>
      </c>
      <c r="D263" s="35">
        <v>2991.54</v>
      </c>
      <c r="E263" s="33">
        <v>50.0</v>
      </c>
      <c r="F263" s="35">
        <f t="array" ref="F263">IF(C263 ="FOB_JP", XLOOKUP(A263,CONTAINER_COST_MONTH!$A$2:$A$13,CONTAINER_COST_MONTH!$B$2:$B$13), 285)</f>
        <v>3368</v>
      </c>
      <c r="G263" s="35">
        <f t="shared" si="1"/>
        <v>67.36</v>
      </c>
      <c r="H263" s="38">
        <f t="array" ref="H263">XLOOKUP(COST_BUY_MONTHLY!$C263,TAX!$A$2:$A$3,TAX!$B$2:$B$3)</f>
        <v>0.002</v>
      </c>
      <c r="I263" s="39">
        <f t="array" ref="I263">XLOOKUP(COST_BUY_MONTHLY!$C263,TAX!$A$2:$A$3,TAX!$C$2:$C$3)</f>
        <v>0.2</v>
      </c>
      <c r="J263" s="39">
        <f t="array" ref="J263">XLOOKUP(COST_BUY_MONTHLY!$C263,TAX!$A$2:$A$3,TAX!$D$2:$D$3)</f>
        <v>0.1</v>
      </c>
      <c r="K263" s="35">
        <f t="shared" si="2"/>
        <v>4045.823496</v>
      </c>
    </row>
    <row r="264" ht="14.25" customHeight="1">
      <c r="A264" s="33" t="s">
        <v>260</v>
      </c>
      <c r="B264" s="33" t="s">
        <v>70</v>
      </c>
      <c r="C264" s="33" t="s">
        <v>237</v>
      </c>
      <c r="D264" s="35">
        <v>302.74</v>
      </c>
      <c r="E264" s="33">
        <v>50.0</v>
      </c>
      <c r="F264" s="35">
        <f t="array" ref="F264">IF(C264 ="FOB_JP", XLOOKUP(A264,CONTAINER_COST_MONTH!$A$2:$A$13,CONTAINER_COST_MONTH!$B$2:$B$13), 285)</f>
        <v>285</v>
      </c>
      <c r="G264" s="35">
        <f t="shared" si="1"/>
        <v>5.7</v>
      </c>
      <c r="H264" s="38">
        <f t="array" ref="H264">XLOOKUP(COST_BUY_MONTHLY!$C264,TAX!$A$2:$A$3,TAX!$B$2:$B$3)</f>
        <v>0</v>
      </c>
      <c r="I264" s="39">
        <f t="array" ref="I264">XLOOKUP(COST_BUY_MONTHLY!$C264,TAX!$A$2:$A$3,TAX!$C$2:$C$3)</f>
        <v>0</v>
      </c>
      <c r="J264" s="39">
        <f t="array" ref="J264">XLOOKUP(COST_BUY_MONTHLY!$C264,TAX!$A$2:$A$3,TAX!$D$2:$D$3)</f>
        <v>0.1</v>
      </c>
      <c r="K264" s="35">
        <f t="shared" si="2"/>
        <v>339.284</v>
      </c>
    </row>
    <row r="265" ht="14.25" customHeight="1">
      <c r="A265" s="33" t="s">
        <v>260</v>
      </c>
      <c r="B265" s="33" t="s">
        <v>72</v>
      </c>
      <c r="C265" s="33" t="s">
        <v>237</v>
      </c>
      <c r="D265" s="35">
        <v>1870.55</v>
      </c>
      <c r="E265" s="33">
        <v>50.0</v>
      </c>
      <c r="F265" s="35">
        <f t="array" ref="F265">IF(C265 ="FOB_JP", XLOOKUP(A265,CONTAINER_COST_MONTH!$A$2:$A$13,CONTAINER_COST_MONTH!$B$2:$B$13), 285)</f>
        <v>285</v>
      </c>
      <c r="G265" s="35">
        <f t="shared" si="1"/>
        <v>5.7</v>
      </c>
      <c r="H265" s="38">
        <f t="array" ref="H265">XLOOKUP(COST_BUY_MONTHLY!$C265,TAX!$A$2:$A$3,TAX!$B$2:$B$3)</f>
        <v>0</v>
      </c>
      <c r="I265" s="39">
        <f t="array" ref="I265">XLOOKUP(COST_BUY_MONTHLY!$C265,TAX!$A$2:$A$3,TAX!$C$2:$C$3)</f>
        <v>0</v>
      </c>
      <c r="J265" s="39">
        <f t="array" ref="J265">XLOOKUP(COST_BUY_MONTHLY!$C265,TAX!$A$2:$A$3,TAX!$D$2:$D$3)</f>
        <v>0.1</v>
      </c>
      <c r="K265" s="35">
        <f t="shared" si="2"/>
        <v>2063.875</v>
      </c>
    </row>
    <row r="266" ht="14.25" customHeight="1">
      <c r="A266" s="33" t="s">
        <v>260</v>
      </c>
      <c r="B266" s="33" t="s">
        <v>74</v>
      </c>
      <c r="C266" s="33" t="s">
        <v>236</v>
      </c>
      <c r="D266" s="35">
        <v>828.24</v>
      </c>
      <c r="E266" s="33">
        <v>20.0</v>
      </c>
      <c r="F266" s="35">
        <f t="array" ref="F266">IF(C266 ="FOB_JP", XLOOKUP(A266,CONTAINER_COST_MONTH!$A$2:$A$13,CONTAINER_COST_MONTH!$B$2:$B$13), 285)</f>
        <v>3368</v>
      </c>
      <c r="G266" s="35">
        <f t="shared" si="1"/>
        <v>168.4</v>
      </c>
      <c r="H266" s="38">
        <f t="array" ref="H266">XLOOKUP(COST_BUY_MONTHLY!$C266,TAX!$A$2:$A$3,TAX!$B$2:$B$3)</f>
        <v>0.002</v>
      </c>
      <c r="I266" s="39">
        <f t="array" ref="I266">XLOOKUP(COST_BUY_MONTHLY!$C266,TAX!$A$2:$A$3,TAX!$C$2:$C$3)</f>
        <v>0.2</v>
      </c>
      <c r="J266" s="39">
        <f t="array" ref="J266">XLOOKUP(COST_BUY_MONTHLY!$C266,TAX!$A$2:$A$3,TAX!$D$2:$D$3)</f>
        <v>0.1</v>
      </c>
      <c r="K266" s="35">
        <f t="shared" si="2"/>
        <v>1318.19593</v>
      </c>
    </row>
    <row r="267" ht="14.25" customHeight="1">
      <c r="A267" s="33" t="s">
        <v>260</v>
      </c>
      <c r="B267" s="33" t="s">
        <v>76</v>
      </c>
      <c r="C267" s="33" t="s">
        <v>236</v>
      </c>
      <c r="D267" s="35">
        <v>3219.85</v>
      </c>
      <c r="E267" s="33">
        <v>50.0</v>
      </c>
      <c r="F267" s="35">
        <f t="array" ref="F267">IF(C267 ="FOB_JP", XLOOKUP(A267,CONTAINER_COST_MONTH!$A$2:$A$13,CONTAINER_COST_MONTH!$B$2:$B$13), 285)</f>
        <v>3368</v>
      </c>
      <c r="G267" s="35">
        <f t="shared" si="1"/>
        <v>67.36</v>
      </c>
      <c r="H267" s="38">
        <f t="array" ref="H267">XLOOKUP(COST_BUY_MONTHLY!$C267,TAX!$A$2:$A$3,TAX!$B$2:$B$3)</f>
        <v>0.002</v>
      </c>
      <c r="I267" s="39">
        <f t="array" ref="I267">XLOOKUP(COST_BUY_MONTHLY!$C267,TAX!$A$2:$A$3,TAX!$C$2:$C$3)</f>
        <v>0.2</v>
      </c>
      <c r="J267" s="39">
        <f t="array" ref="J267">XLOOKUP(COST_BUY_MONTHLY!$C267,TAX!$A$2:$A$3,TAX!$D$2:$D$3)</f>
        <v>0.1</v>
      </c>
      <c r="K267" s="35">
        <f t="shared" si="2"/>
        <v>4347.795434</v>
      </c>
    </row>
    <row r="268" ht="14.25" customHeight="1">
      <c r="A268" s="33" t="s">
        <v>260</v>
      </c>
      <c r="B268" s="33" t="s">
        <v>78</v>
      </c>
      <c r="C268" s="33" t="s">
        <v>236</v>
      </c>
      <c r="D268" s="35">
        <v>664.3</v>
      </c>
      <c r="E268" s="33">
        <v>50.0</v>
      </c>
      <c r="F268" s="35">
        <f t="array" ref="F268">IF(C268 ="FOB_JP", XLOOKUP(A268,CONTAINER_COST_MONTH!$A$2:$A$13,CONTAINER_COST_MONTH!$B$2:$B$13), 285)</f>
        <v>3368</v>
      </c>
      <c r="G268" s="35">
        <f t="shared" si="1"/>
        <v>67.36</v>
      </c>
      <c r="H268" s="38">
        <f t="array" ref="H268">XLOOKUP(COST_BUY_MONTHLY!$C268,TAX!$A$2:$A$3,TAX!$B$2:$B$3)</f>
        <v>0.002</v>
      </c>
      <c r="I268" s="39">
        <f t="array" ref="I268">XLOOKUP(COST_BUY_MONTHLY!$C268,TAX!$A$2:$A$3,TAX!$C$2:$C$3)</f>
        <v>0.2</v>
      </c>
      <c r="J268" s="39">
        <f t="array" ref="J268">XLOOKUP(COST_BUY_MONTHLY!$C268,TAX!$A$2:$A$3,TAX!$D$2:$D$3)</f>
        <v>0.1</v>
      </c>
      <c r="K268" s="35">
        <f t="shared" si="2"/>
        <v>967.7227824</v>
      </c>
    </row>
    <row r="269" ht="14.25" customHeight="1">
      <c r="A269" s="33" t="s">
        <v>260</v>
      </c>
      <c r="B269" s="33" t="s">
        <v>80</v>
      </c>
      <c r="C269" s="33" t="s">
        <v>236</v>
      </c>
      <c r="D269" s="35">
        <v>3383.8</v>
      </c>
      <c r="E269" s="33">
        <v>50.0</v>
      </c>
      <c r="F269" s="35">
        <f t="array" ref="F269">IF(C269 ="FOB_JP", XLOOKUP(A269,CONTAINER_COST_MONTH!$A$2:$A$13,CONTAINER_COST_MONTH!$B$2:$B$13), 285)</f>
        <v>3368</v>
      </c>
      <c r="G269" s="35">
        <f t="shared" si="1"/>
        <v>67.36</v>
      </c>
      <c r="H269" s="38">
        <f t="array" ref="H269">XLOOKUP(COST_BUY_MONTHLY!$C269,TAX!$A$2:$A$3,TAX!$B$2:$B$3)</f>
        <v>0.002</v>
      </c>
      <c r="I269" s="39">
        <f t="array" ref="I269">XLOOKUP(COST_BUY_MONTHLY!$C269,TAX!$A$2:$A$3,TAX!$C$2:$C$3)</f>
        <v>0.2</v>
      </c>
      <c r="J269" s="39">
        <f t="array" ref="J269">XLOOKUP(COST_BUY_MONTHLY!$C269,TAX!$A$2:$A$3,TAX!$D$2:$D$3)</f>
        <v>0.1</v>
      </c>
      <c r="K269" s="35">
        <f t="shared" si="2"/>
        <v>4564.642262</v>
      </c>
    </row>
    <row r="270" ht="14.25" customHeight="1">
      <c r="A270" s="33" t="s">
        <v>260</v>
      </c>
      <c r="B270" s="33" t="s">
        <v>82</v>
      </c>
      <c r="C270" s="33" t="s">
        <v>237</v>
      </c>
      <c r="D270" s="35">
        <v>1056.87</v>
      </c>
      <c r="E270" s="33">
        <v>50.0</v>
      </c>
      <c r="F270" s="35">
        <f t="array" ref="F270">IF(C270 ="FOB_JP", XLOOKUP(A270,CONTAINER_COST_MONTH!$A$2:$A$13,CONTAINER_COST_MONTH!$B$2:$B$13), 285)</f>
        <v>285</v>
      </c>
      <c r="G270" s="35">
        <f t="shared" si="1"/>
        <v>5.7</v>
      </c>
      <c r="H270" s="38">
        <f t="array" ref="H270">XLOOKUP(COST_BUY_MONTHLY!$C270,TAX!$A$2:$A$3,TAX!$B$2:$B$3)</f>
        <v>0</v>
      </c>
      <c r="I270" s="39">
        <f t="array" ref="I270">XLOOKUP(COST_BUY_MONTHLY!$C270,TAX!$A$2:$A$3,TAX!$C$2:$C$3)</f>
        <v>0</v>
      </c>
      <c r="J270" s="39">
        <f t="array" ref="J270">XLOOKUP(COST_BUY_MONTHLY!$C270,TAX!$A$2:$A$3,TAX!$D$2:$D$3)</f>
        <v>0.1</v>
      </c>
      <c r="K270" s="35">
        <f t="shared" si="2"/>
        <v>1168.827</v>
      </c>
    </row>
    <row r="271" ht="14.25" customHeight="1">
      <c r="A271" s="33" t="s">
        <v>260</v>
      </c>
      <c r="B271" s="33" t="s">
        <v>84</v>
      </c>
      <c r="C271" s="33" t="s">
        <v>237</v>
      </c>
      <c r="D271" s="35">
        <v>1116.42</v>
      </c>
      <c r="E271" s="33">
        <v>50.0</v>
      </c>
      <c r="F271" s="35">
        <f t="array" ref="F271">IF(C271 ="FOB_JP", XLOOKUP(A271,CONTAINER_COST_MONTH!$A$2:$A$13,CONTAINER_COST_MONTH!$B$2:$B$13), 285)</f>
        <v>285</v>
      </c>
      <c r="G271" s="35">
        <f t="shared" si="1"/>
        <v>5.7</v>
      </c>
      <c r="H271" s="38">
        <f t="array" ref="H271">XLOOKUP(COST_BUY_MONTHLY!$C271,TAX!$A$2:$A$3,TAX!$B$2:$B$3)</f>
        <v>0</v>
      </c>
      <c r="I271" s="39">
        <f t="array" ref="I271">XLOOKUP(COST_BUY_MONTHLY!$C271,TAX!$A$2:$A$3,TAX!$C$2:$C$3)</f>
        <v>0</v>
      </c>
      <c r="J271" s="39">
        <f t="array" ref="J271">XLOOKUP(COST_BUY_MONTHLY!$C271,TAX!$A$2:$A$3,TAX!$D$2:$D$3)</f>
        <v>0.1</v>
      </c>
      <c r="K271" s="35">
        <f t="shared" si="2"/>
        <v>1234.332</v>
      </c>
    </row>
    <row r="272" ht="14.25" customHeight="1">
      <c r="A272" s="33" t="s">
        <v>260</v>
      </c>
      <c r="B272" s="33" t="s">
        <v>86</v>
      </c>
      <c r="C272" s="33" t="s">
        <v>236</v>
      </c>
      <c r="D272" s="35">
        <v>4221.66</v>
      </c>
      <c r="E272" s="33">
        <v>35.0</v>
      </c>
      <c r="F272" s="35">
        <f t="array" ref="F272">IF(C272 ="FOB_JP", XLOOKUP(A272,CONTAINER_COST_MONTH!$A$2:$A$13,CONTAINER_COST_MONTH!$B$2:$B$13), 285)</f>
        <v>3368</v>
      </c>
      <c r="G272" s="35">
        <f t="shared" si="1"/>
        <v>96.22857143</v>
      </c>
      <c r="H272" s="38">
        <f t="array" ref="H272">XLOOKUP(COST_BUY_MONTHLY!$C272,TAX!$A$2:$A$3,TAX!$B$2:$B$3)</f>
        <v>0.002</v>
      </c>
      <c r="I272" s="39">
        <f t="array" ref="I272">XLOOKUP(COST_BUY_MONTHLY!$C272,TAX!$A$2:$A$3,TAX!$C$2:$C$3)</f>
        <v>0.2</v>
      </c>
      <c r="J272" s="39">
        <f t="array" ref="J272">XLOOKUP(COST_BUY_MONTHLY!$C272,TAX!$A$2:$A$3,TAX!$D$2:$D$3)</f>
        <v>0.1</v>
      </c>
      <c r="K272" s="35">
        <f t="shared" si="2"/>
        <v>5711.01214</v>
      </c>
    </row>
    <row r="273" ht="14.25" customHeight="1">
      <c r="A273" s="33" t="s">
        <v>260</v>
      </c>
      <c r="B273" s="33" t="s">
        <v>88</v>
      </c>
      <c r="C273" s="33" t="s">
        <v>236</v>
      </c>
      <c r="D273" s="35">
        <v>6803.82</v>
      </c>
      <c r="E273" s="33">
        <v>35.0</v>
      </c>
      <c r="F273" s="35">
        <f t="array" ref="F273">IF(C273 ="FOB_JP", XLOOKUP(A273,CONTAINER_COST_MONTH!$A$2:$A$13,CONTAINER_COST_MONTH!$B$2:$B$13), 285)</f>
        <v>3368</v>
      </c>
      <c r="G273" s="35">
        <f t="shared" si="1"/>
        <v>96.22857143</v>
      </c>
      <c r="H273" s="38">
        <f t="array" ref="H273">XLOOKUP(COST_BUY_MONTHLY!$C273,TAX!$A$2:$A$3,TAX!$B$2:$B$3)</f>
        <v>0.002</v>
      </c>
      <c r="I273" s="39">
        <f t="array" ref="I273">XLOOKUP(COST_BUY_MONTHLY!$C273,TAX!$A$2:$A$3,TAX!$C$2:$C$3)</f>
        <v>0.2</v>
      </c>
      <c r="J273" s="39">
        <f t="array" ref="J273">XLOOKUP(COST_BUY_MONTHLY!$C273,TAX!$A$2:$A$3,TAX!$D$2:$D$3)</f>
        <v>0.1</v>
      </c>
      <c r="K273" s="35">
        <f t="shared" si="2"/>
        <v>9126.280243</v>
      </c>
    </row>
    <row r="274" ht="14.25" customHeight="1">
      <c r="A274" s="33" t="s">
        <v>260</v>
      </c>
      <c r="B274" s="33" t="s">
        <v>90</v>
      </c>
      <c r="C274" s="33" t="s">
        <v>237</v>
      </c>
      <c r="D274" s="35">
        <v>4065.72</v>
      </c>
      <c r="E274" s="33">
        <v>35.0</v>
      </c>
      <c r="F274" s="35">
        <f t="array" ref="F274">IF(C274 ="FOB_JP", XLOOKUP(A274,CONTAINER_COST_MONTH!$A$2:$A$13,CONTAINER_COST_MONTH!$B$2:$B$13), 285)</f>
        <v>285</v>
      </c>
      <c r="G274" s="35">
        <f t="shared" si="1"/>
        <v>8.142857143</v>
      </c>
      <c r="H274" s="38">
        <f t="array" ref="H274">XLOOKUP(COST_BUY_MONTHLY!$C274,TAX!$A$2:$A$3,TAX!$B$2:$B$3)</f>
        <v>0</v>
      </c>
      <c r="I274" s="39">
        <f t="array" ref="I274">XLOOKUP(COST_BUY_MONTHLY!$C274,TAX!$A$2:$A$3,TAX!$C$2:$C$3)</f>
        <v>0</v>
      </c>
      <c r="J274" s="39">
        <f t="array" ref="J274">XLOOKUP(COST_BUY_MONTHLY!$C274,TAX!$A$2:$A$3,TAX!$D$2:$D$3)</f>
        <v>0.1</v>
      </c>
      <c r="K274" s="35">
        <f t="shared" si="2"/>
        <v>4481.249143</v>
      </c>
    </row>
    <row r="275" ht="14.25" customHeight="1">
      <c r="A275" s="33" t="s">
        <v>260</v>
      </c>
      <c r="B275" s="33" t="s">
        <v>92</v>
      </c>
      <c r="C275" s="33" t="s">
        <v>237</v>
      </c>
      <c r="D275" s="35">
        <v>2298.9</v>
      </c>
      <c r="E275" s="33">
        <v>35.0</v>
      </c>
      <c r="F275" s="35">
        <f t="array" ref="F275">IF(C275 ="FOB_JP", XLOOKUP(A275,CONTAINER_COST_MONTH!$A$2:$A$13,CONTAINER_COST_MONTH!$B$2:$B$13), 285)</f>
        <v>285</v>
      </c>
      <c r="G275" s="35">
        <f t="shared" si="1"/>
        <v>8.142857143</v>
      </c>
      <c r="H275" s="38">
        <f t="array" ref="H275">XLOOKUP(COST_BUY_MONTHLY!$C275,TAX!$A$2:$A$3,TAX!$B$2:$B$3)</f>
        <v>0</v>
      </c>
      <c r="I275" s="39">
        <f t="array" ref="I275">XLOOKUP(COST_BUY_MONTHLY!$C275,TAX!$A$2:$A$3,TAX!$C$2:$C$3)</f>
        <v>0</v>
      </c>
      <c r="J275" s="39">
        <f t="array" ref="J275">XLOOKUP(COST_BUY_MONTHLY!$C275,TAX!$A$2:$A$3,TAX!$D$2:$D$3)</f>
        <v>0.1</v>
      </c>
      <c r="K275" s="35">
        <f t="shared" si="2"/>
        <v>2537.747143</v>
      </c>
    </row>
    <row r="276" ht="14.25" customHeight="1">
      <c r="A276" s="33" t="s">
        <v>260</v>
      </c>
      <c r="B276" s="33" t="s">
        <v>94</v>
      </c>
      <c r="C276" s="33" t="s">
        <v>236</v>
      </c>
      <c r="D276" s="35">
        <v>5824.76</v>
      </c>
      <c r="E276" s="33">
        <v>14.0</v>
      </c>
      <c r="F276" s="35">
        <f t="array" ref="F276">IF(C276 ="FOB_JP", XLOOKUP(A276,CONTAINER_COST_MONTH!$A$2:$A$13,CONTAINER_COST_MONTH!$B$2:$B$13), 285)</f>
        <v>3368</v>
      </c>
      <c r="G276" s="35">
        <f t="shared" si="1"/>
        <v>240.5714286</v>
      </c>
      <c r="H276" s="38">
        <f t="array" ref="H276">XLOOKUP(COST_BUY_MONTHLY!$C276,TAX!$A$2:$A$3,TAX!$B$2:$B$3)</f>
        <v>0.002</v>
      </c>
      <c r="I276" s="39">
        <f t="array" ref="I276">XLOOKUP(COST_BUY_MONTHLY!$C276,TAX!$A$2:$A$3,TAX!$C$2:$C$3)</f>
        <v>0.2</v>
      </c>
      <c r="J276" s="39">
        <f t="array" ref="J276">XLOOKUP(COST_BUY_MONTHLY!$C276,TAX!$A$2:$A$3,TAX!$D$2:$D$3)</f>
        <v>0.1</v>
      </c>
      <c r="K276" s="35">
        <f t="shared" si="2"/>
        <v>8022.249961</v>
      </c>
    </row>
    <row r="277" ht="14.25" customHeight="1">
      <c r="A277" s="33" t="s">
        <v>260</v>
      </c>
      <c r="B277" s="33" t="s">
        <v>96</v>
      </c>
      <c r="C277" s="33" t="s">
        <v>236</v>
      </c>
      <c r="D277" s="35">
        <v>5200.72</v>
      </c>
      <c r="E277" s="33">
        <v>35.0</v>
      </c>
      <c r="F277" s="35">
        <f t="array" ref="F277">IF(C277 ="FOB_JP", XLOOKUP(A277,CONTAINER_COST_MONTH!$A$2:$A$13,CONTAINER_COST_MONTH!$B$2:$B$13), 285)</f>
        <v>3368</v>
      </c>
      <c r="G277" s="35">
        <f t="shared" si="1"/>
        <v>96.22857143</v>
      </c>
      <c r="H277" s="38">
        <f t="array" ref="H277">XLOOKUP(COST_BUY_MONTHLY!$C277,TAX!$A$2:$A$3,TAX!$B$2:$B$3)</f>
        <v>0.002</v>
      </c>
      <c r="I277" s="39">
        <f t="array" ref="I277">XLOOKUP(COST_BUY_MONTHLY!$C277,TAX!$A$2:$A$3,TAX!$C$2:$C$3)</f>
        <v>0.2</v>
      </c>
      <c r="J277" s="39">
        <f t="array" ref="J277">XLOOKUP(COST_BUY_MONTHLY!$C277,TAX!$A$2:$A$3,TAX!$D$2:$D$3)</f>
        <v>0.1</v>
      </c>
      <c r="K277" s="35">
        <f t="shared" si="2"/>
        <v>7005.956059</v>
      </c>
    </row>
    <row r="278" ht="14.25" customHeight="1">
      <c r="A278" s="33" t="s">
        <v>260</v>
      </c>
      <c r="B278" s="33" t="s">
        <v>98</v>
      </c>
      <c r="C278" s="33" t="s">
        <v>236</v>
      </c>
      <c r="D278" s="35">
        <v>8465.36</v>
      </c>
      <c r="E278" s="33">
        <v>35.0</v>
      </c>
      <c r="F278" s="35">
        <f t="array" ref="F278">IF(C278 ="FOB_JP", XLOOKUP(A278,CONTAINER_COST_MONTH!$A$2:$A$13,CONTAINER_COST_MONTH!$B$2:$B$13), 285)</f>
        <v>3368</v>
      </c>
      <c r="G278" s="35">
        <f t="shared" si="1"/>
        <v>96.22857143</v>
      </c>
      <c r="H278" s="38">
        <f t="array" ref="H278">XLOOKUP(COST_BUY_MONTHLY!$C278,TAX!$A$2:$A$3,TAX!$B$2:$B$3)</f>
        <v>0.002</v>
      </c>
      <c r="I278" s="39">
        <f t="array" ref="I278">XLOOKUP(COST_BUY_MONTHLY!$C278,TAX!$A$2:$A$3,TAX!$C$2:$C$3)</f>
        <v>0.2</v>
      </c>
      <c r="J278" s="39">
        <f t="array" ref="J278">XLOOKUP(COST_BUY_MONTHLY!$C278,TAX!$A$2:$A$3,TAX!$D$2:$D$3)</f>
        <v>0.1</v>
      </c>
      <c r="K278" s="35">
        <f t="shared" si="2"/>
        <v>11323.89951</v>
      </c>
    </row>
    <row r="279" ht="14.25" customHeight="1">
      <c r="A279" s="33" t="s">
        <v>260</v>
      </c>
      <c r="B279" s="33" t="s">
        <v>100</v>
      </c>
      <c r="C279" s="33" t="s">
        <v>236</v>
      </c>
      <c r="D279" s="35">
        <v>2560.12</v>
      </c>
      <c r="E279" s="33">
        <v>35.0</v>
      </c>
      <c r="F279" s="35">
        <f t="array" ref="F279">IF(C279 ="FOB_JP", XLOOKUP(A279,CONTAINER_COST_MONTH!$A$2:$A$13,CONTAINER_COST_MONTH!$B$2:$B$13), 285)</f>
        <v>3368</v>
      </c>
      <c r="G279" s="35">
        <f t="shared" si="1"/>
        <v>96.22857143</v>
      </c>
      <c r="H279" s="38">
        <f t="array" ref="H279">XLOOKUP(COST_BUY_MONTHLY!$C279,TAX!$A$2:$A$3,TAX!$B$2:$B$3)</f>
        <v>0.002</v>
      </c>
      <c r="I279" s="39">
        <f t="array" ref="I279">XLOOKUP(COST_BUY_MONTHLY!$C279,TAX!$A$2:$A$3,TAX!$C$2:$C$3)</f>
        <v>0.2</v>
      </c>
      <c r="J279" s="39">
        <f t="array" ref="J279">XLOOKUP(COST_BUY_MONTHLY!$C279,TAX!$A$2:$A$3,TAX!$D$2:$D$3)</f>
        <v>0.1</v>
      </c>
      <c r="K279" s="35">
        <f t="shared" si="2"/>
        <v>3513.392875</v>
      </c>
    </row>
    <row r="280" ht="14.25" customHeight="1">
      <c r="A280" s="33" t="s">
        <v>260</v>
      </c>
      <c r="B280" s="33" t="s">
        <v>102</v>
      </c>
      <c r="C280" s="33" t="s">
        <v>237</v>
      </c>
      <c r="D280" s="35">
        <v>2395.64</v>
      </c>
      <c r="E280" s="33">
        <v>35.0</v>
      </c>
      <c r="F280" s="35">
        <f t="array" ref="F280">IF(C280 ="FOB_JP", XLOOKUP(A280,CONTAINER_COST_MONTH!$A$2:$A$13,CONTAINER_COST_MONTH!$B$2:$B$13), 285)</f>
        <v>285</v>
      </c>
      <c r="G280" s="35">
        <f t="shared" si="1"/>
        <v>8.142857143</v>
      </c>
      <c r="H280" s="38">
        <f t="array" ref="H280">XLOOKUP(COST_BUY_MONTHLY!$C280,TAX!$A$2:$A$3,TAX!$B$2:$B$3)</f>
        <v>0</v>
      </c>
      <c r="I280" s="39">
        <f t="array" ref="I280">XLOOKUP(COST_BUY_MONTHLY!$C280,TAX!$A$2:$A$3,TAX!$C$2:$C$3)</f>
        <v>0</v>
      </c>
      <c r="J280" s="39">
        <f t="array" ref="J280">XLOOKUP(COST_BUY_MONTHLY!$C280,TAX!$A$2:$A$3,TAX!$D$2:$D$3)</f>
        <v>0.1</v>
      </c>
      <c r="K280" s="35">
        <f t="shared" si="2"/>
        <v>2644.161143</v>
      </c>
    </row>
    <row r="281" ht="14.25" customHeight="1">
      <c r="A281" s="33" t="s">
        <v>260</v>
      </c>
      <c r="B281" s="33" t="s">
        <v>104</v>
      </c>
      <c r="C281" s="33" t="s">
        <v>237</v>
      </c>
      <c r="D281" s="35">
        <v>3968.98</v>
      </c>
      <c r="E281" s="33">
        <v>35.0</v>
      </c>
      <c r="F281" s="35">
        <f t="array" ref="F281">IF(C281 ="FOB_JP", XLOOKUP(A281,CONTAINER_COST_MONTH!$A$2:$A$13,CONTAINER_COST_MONTH!$B$2:$B$13), 285)</f>
        <v>285</v>
      </c>
      <c r="G281" s="35">
        <f t="shared" si="1"/>
        <v>8.142857143</v>
      </c>
      <c r="H281" s="38">
        <f t="array" ref="H281">XLOOKUP(COST_BUY_MONTHLY!$C281,TAX!$A$2:$A$3,TAX!$B$2:$B$3)</f>
        <v>0</v>
      </c>
      <c r="I281" s="39">
        <f t="array" ref="I281">XLOOKUP(COST_BUY_MONTHLY!$C281,TAX!$A$2:$A$3,TAX!$C$2:$C$3)</f>
        <v>0</v>
      </c>
      <c r="J281" s="39">
        <f t="array" ref="J281">XLOOKUP(COST_BUY_MONTHLY!$C281,TAX!$A$2:$A$3,TAX!$D$2:$D$3)</f>
        <v>0.1</v>
      </c>
      <c r="K281" s="35">
        <f t="shared" si="2"/>
        <v>4374.835143</v>
      </c>
    </row>
    <row r="282" ht="14.25" customHeight="1">
      <c r="A282" s="33" t="s">
        <v>260</v>
      </c>
      <c r="B282" s="33" t="s">
        <v>106</v>
      </c>
      <c r="C282" s="33" t="s">
        <v>236</v>
      </c>
      <c r="D282" s="35">
        <v>3818.27</v>
      </c>
      <c r="E282" s="33">
        <v>50.0</v>
      </c>
      <c r="F282" s="35">
        <f t="array" ref="F282">IF(C282 ="FOB_JP", XLOOKUP(A282,CONTAINER_COST_MONTH!$A$2:$A$13,CONTAINER_COST_MONTH!$B$2:$B$13), 285)</f>
        <v>3368</v>
      </c>
      <c r="G282" s="35">
        <f t="shared" si="1"/>
        <v>67.36</v>
      </c>
      <c r="H282" s="38">
        <f t="array" ref="H282">XLOOKUP(COST_BUY_MONTHLY!$C282,TAX!$A$2:$A$3,TAX!$B$2:$B$3)</f>
        <v>0.002</v>
      </c>
      <c r="I282" s="39">
        <f t="array" ref="I282">XLOOKUP(COST_BUY_MONTHLY!$C282,TAX!$A$2:$A$3,TAX!$C$2:$C$3)</f>
        <v>0.2</v>
      </c>
      <c r="J282" s="39">
        <f t="array" ref="J282">XLOOKUP(COST_BUY_MONTHLY!$C282,TAX!$A$2:$A$3,TAX!$D$2:$D$3)</f>
        <v>0.1</v>
      </c>
      <c r="K282" s="35">
        <f t="shared" si="2"/>
        <v>5139.289663</v>
      </c>
    </row>
    <row r="283" ht="14.25" customHeight="1">
      <c r="A283" s="33" t="s">
        <v>260</v>
      </c>
      <c r="B283" s="33" t="s">
        <v>108</v>
      </c>
      <c r="C283" s="33" t="s">
        <v>236</v>
      </c>
      <c r="D283" s="35">
        <v>1759.11</v>
      </c>
      <c r="E283" s="33">
        <v>50.0</v>
      </c>
      <c r="F283" s="35">
        <f t="array" ref="F283">IF(C283 ="FOB_JP", XLOOKUP(A283,CONTAINER_COST_MONTH!$A$2:$A$13,CONTAINER_COST_MONTH!$B$2:$B$13), 285)</f>
        <v>3368</v>
      </c>
      <c r="G283" s="35">
        <f t="shared" si="1"/>
        <v>67.36</v>
      </c>
      <c r="H283" s="38">
        <f t="array" ref="H283">XLOOKUP(COST_BUY_MONTHLY!$C283,TAX!$A$2:$A$3,TAX!$B$2:$B$3)</f>
        <v>0.002</v>
      </c>
      <c r="I283" s="39">
        <f t="array" ref="I283">XLOOKUP(COST_BUY_MONTHLY!$C283,TAX!$A$2:$A$3,TAX!$C$2:$C$3)</f>
        <v>0.2</v>
      </c>
      <c r="J283" s="39">
        <f t="array" ref="J283">XLOOKUP(COST_BUY_MONTHLY!$C283,TAX!$A$2:$A$3,TAX!$D$2:$D$3)</f>
        <v>0.1</v>
      </c>
      <c r="K283" s="35">
        <f t="shared" si="2"/>
        <v>2415.762281</v>
      </c>
    </row>
    <row r="284" ht="14.25" customHeight="1">
      <c r="A284" s="33" t="s">
        <v>260</v>
      </c>
      <c r="B284" s="33" t="s">
        <v>110</v>
      </c>
      <c r="C284" s="33" t="s">
        <v>237</v>
      </c>
      <c r="D284" s="35">
        <v>1351.63</v>
      </c>
      <c r="E284" s="33">
        <v>50.0</v>
      </c>
      <c r="F284" s="35">
        <f t="array" ref="F284">IF(C284 ="FOB_JP", XLOOKUP(A284,CONTAINER_COST_MONTH!$A$2:$A$13,CONTAINER_COST_MONTH!$B$2:$B$13), 285)</f>
        <v>285</v>
      </c>
      <c r="G284" s="35">
        <f t="shared" si="1"/>
        <v>5.7</v>
      </c>
      <c r="H284" s="38">
        <f t="array" ref="H284">XLOOKUP(COST_BUY_MONTHLY!$C284,TAX!$A$2:$A$3,TAX!$B$2:$B$3)</f>
        <v>0</v>
      </c>
      <c r="I284" s="39">
        <f t="array" ref="I284">XLOOKUP(COST_BUY_MONTHLY!$C284,TAX!$A$2:$A$3,TAX!$C$2:$C$3)</f>
        <v>0</v>
      </c>
      <c r="J284" s="39">
        <f t="array" ref="J284">XLOOKUP(COST_BUY_MONTHLY!$C284,TAX!$A$2:$A$3,TAX!$D$2:$D$3)</f>
        <v>0.1</v>
      </c>
      <c r="K284" s="35">
        <f t="shared" si="2"/>
        <v>1493.063</v>
      </c>
    </row>
    <row r="285" ht="14.25" customHeight="1">
      <c r="A285" s="33" t="s">
        <v>260</v>
      </c>
      <c r="B285" s="33" t="s">
        <v>112</v>
      </c>
      <c r="C285" s="33" t="s">
        <v>237</v>
      </c>
      <c r="D285" s="35">
        <v>1642.68</v>
      </c>
      <c r="E285" s="33">
        <v>50.0</v>
      </c>
      <c r="F285" s="35">
        <f t="array" ref="F285">IF(C285 ="FOB_JP", XLOOKUP(A285,CONTAINER_COST_MONTH!$A$2:$A$13,CONTAINER_COST_MONTH!$B$2:$B$13), 285)</f>
        <v>285</v>
      </c>
      <c r="G285" s="35">
        <f t="shared" si="1"/>
        <v>5.7</v>
      </c>
      <c r="H285" s="38">
        <f t="array" ref="H285">XLOOKUP(COST_BUY_MONTHLY!$C285,TAX!$A$2:$A$3,TAX!$B$2:$B$3)</f>
        <v>0</v>
      </c>
      <c r="I285" s="39">
        <f t="array" ref="I285">XLOOKUP(COST_BUY_MONTHLY!$C285,TAX!$A$2:$A$3,TAX!$C$2:$C$3)</f>
        <v>0</v>
      </c>
      <c r="J285" s="39">
        <f t="array" ref="J285">XLOOKUP(COST_BUY_MONTHLY!$C285,TAX!$A$2:$A$3,TAX!$D$2:$D$3)</f>
        <v>0.1</v>
      </c>
      <c r="K285" s="35">
        <f t="shared" si="2"/>
        <v>1813.218</v>
      </c>
    </row>
    <row r="286" ht="14.25" customHeight="1">
      <c r="A286" s="33" t="s">
        <v>260</v>
      </c>
      <c r="B286" s="33" t="s">
        <v>114</v>
      </c>
      <c r="C286" s="33" t="s">
        <v>236</v>
      </c>
      <c r="D286" s="35">
        <v>4859.01</v>
      </c>
      <c r="E286" s="33">
        <v>20.0</v>
      </c>
      <c r="F286" s="35">
        <f t="array" ref="F286">IF(C286 ="FOB_JP", XLOOKUP(A286,CONTAINER_COST_MONTH!$A$2:$A$13,CONTAINER_COST_MONTH!$B$2:$B$13), 285)</f>
        <v>3368</v>
      </c>
      <c r="G286" s="35">
        <f t="shared" si="1"/>
        <v>168.4</v>
      </c>
      <c r="H286" s="38">
        <f t="array" ref="H286">XLOOKUP(COST_BUY_MONTHLY!$C286,TAX!$A$2:$A$3,TAX!$B$2:$B$3)</f>
        <v>0.002</v>
      </c>
      <c r="I286" s="39">
        <f t="array" ref="I286">XLOOKUP(COST_BUY_MONTHLY!$C286,TAX!$A$2:$A$3,TAX!$C$2:$C$3)</f>
        <v>0.2</v>
      </c>
      <c r="J286" s="39">
        <f t="array" ref="J286">XLOOKUP(COST_BUY_MONTHLY!$C286,TAX!$A$2:$A$3,TAX!$D$2:$D$3)</f>
        <v>0.1</v>
      </c>
      <c r="K286" s="35">
        <f t="shared" si="2"/>
        <v>6649.453562</v>
      </c>
    </row>
    <row r="287" ht="14.25" customHeight="1">
      <c r="A287" s="33" t="s">
        <v>260</v>
      </c>
      <c r="B287" s="33" t="s">
        <v>116</v>
      </c>
      <c r="C287" s="33" t="s">
        <v>236</v>
      </c>
      <c r="D287" s="35">
        <v>718.36</v>
      </c>
      <c r="E287" s="33">
        <v>50.0</v>
      </c>
      <c r="F287" s="35">
        <f t="array" ref="F287">IF(C287 ="FOB_JP", XLOOKUP(A287,CONTAINER_COST_MONTH!$A$2:$A$13,CONTAINER_COST_MONTH!$B$2:$B$13), 285)</f>
        <v>3368</v>
      </c>
      <c r="G287" s="35">
        <f t="shared" si="1"/>
        <v>67.36</v>
      </c>
      <c r="H287" s="38">
        <f t="array" ref="H287">XLOOKUP(COST_BUY_MONTHLY!$C287,TAX!$A$2:$A$3,TAX!$B$2:$B$3)</f>
        <v>0.002</v>
      </c>
      <c r="I287" s="39">
        <f t="array" ref="I287">XLOOKUP(COST_BUY_MONTHLY!$C287,TAX!$A$2:$A$3,TAX!$C$2:$C$3)</f>
        <v>0.2</v>
      </c>
      <c r="J287" s="39">
        <f t="array" ref="J287">XLOOKUP(COST_BUY_MONTHLY!$C287,TAX!$A$2:$A$3,TAX!$D$2:$D$3)</f>
        <v>0.1</v>
      </c>
      <c r="K287" s="35">
        <f t="shared" si="2"/>
        <v>1039.224701</v>
      </c>
    </row>
    <row r="288" ht="14.25" customHeight="1">
      <c r="A288" s="33" t="s">
        <v>260</v>
      </c>
      <c r="B288" s="33" t="s">
        <v>118</v>
      </c>
      <c r="C288" s="33" t="s">
        <v>236</v>
      </c>
      <c r="D288" s="35">
        <v>2169.04</v>
      </c>
      <c r="E288" s="33">
        <v>50.0</v>
      </c>
      <c r="F288" s="35">
        <f t="array" ref="F288">IF(C288 ="FOB_JP", XLOOKUP(A288,CONTAINER_COST_MONTH!$A$2:$A$13,CONTAINER_COST_MONTH!$B$2:$B$13), 285)</f>
        <v>3368</v>
      </c>
      <c r="G288" s="35">
        <f t="shared" si="1"/>
        <v>67.36</v>
      </c>
      <c r="H288" s="38">
        <f t="array" ref="H288">XLOOKUP(COST_BUY_MONTHLY!$C288,TAX!$A$2:$A$3,TAX!$B$2:$B$3)</f>
        <v>0.002</v>
      </c>
      <c r="I288" s="39">
        <f t="array" ref="I288">XLOOKUP(COST_BUY_MONTHLY!$C288,TAX!$A$2:$A$3,TAX!$C$2:$C$3)</f>
        <v>0.2</v>
      </c>
      <c r="J288" s="39">
        <f t="array" ref="J288">XLOOKUP(COST_BUY_MONTHLY!$C288,TAX!$A$2:$A$3,TAX!$D$2:$D$3)</f>
        <v>0.1</v>
      </c>
      <c r="K288" s="35">
        <f t="shared" si="2"/>
        <v>2957.952096</v>
      </c>
    </row>
    <row r="289" ht="14.25" customHeight="1">
      <c r="A289" s="33" t="s">
        <v>260</v>
      </c>
      <c r="B289" s="33" t="s">
        <v>120</v>
      </c>
      <c r="C289" s="33" t="s">
        <v>236</v>
      </c>
      <c r="D289" s="35">
        <v>3408.33</v>
      </c>
      <c r="E289" s="33">
        <v>50.0</v>
      </c>
      <c r="F289" s="35">
        <f t="array" ref="F289">IF(C289 ="FOB_JP", XLOOKUP(A289,CONTAINER_COST_MONTH!$A$2:$A$13,CONTAINER_COST_MONTH!$B$2:$B$13), 285)</f>
        <v>3368</v>
      </c>
      <c r="G289" s="35">
        <f t="shared" si="1"/>
        <v>67.36</v>
      </c>
      <c r="H289" s="38">
        <f t="array" ref="H289">XLOOKUP(COST_BUY_MONTHLY!$C289,TAX!$A$2:$A$3,TAX!$B$2:$B$3)</f>
        <v>0.002</v>
      </c>
      <c r="I289" s="39">
        <f t="array" ref="I289">XLOOKUP(COST_BUY_MONTHLY!$C289,TAX!$A$2:$A$3,TAX!$C$2:$C$3)</f>
        <v>0.2</v>
      </c>
      <c r="J289" s="39">
        <f t="array" ref="J289">XLOOKUP(COST_BUY_MONTHLY!$C289,TAX!$A$2:$A$3,TAX!$D$2:$D$3)</f>
        <v>0.1</v>
      </c>
      <c r="K289" s="35">
        <f t="shared" si="2"/>
        <v>4597.086622</v>
      </c>
    </row>
    <row r="290" ht="14.25" customHeight="1">
      <c r="A290" s="33" t="s">
        <v>260</v>
      </c>
      <c r="B290" s="33" t="s">
        <v>122</v>
      </c>
      <c r="C290" s="33" t="s">
        <v>237</v>
      </c>
      <c r="D290" s="35">
        <v>647.07</v>
      </c>
      <c r="E290" s="33">
        <v>50.0</v>
      </c>
      <c r="F290" s="35">
        <f t="array" ref="F290">IF(C290 ="FOB_JP", XLOOKUP(A290,CONTAINER_COST_MONTH!$A$2:$A$13,CONTAINER_COST_MONTH!$B$2:$B$13), 285)</f>
        <v>285</v>
      </c>
      <c r="G290" s="35">
        <f t="shared" si="1"/>
        <v>5.7</v>
      </c>
      <c r="H290" s="38">
        <f t="array" ref="H290">XLOOKUP(COST_BUY_MONTHLY!$C290,TAX!$A$2:$A$3,TAX!$B$2:$B$3)</f>
        <v>0</v>
      </c>
      <c r="I290" s="39">
        <f t="array" ref="I290">XLOOKUP(COST_BUY_MONTHLY!$C290,TAX!$A$2:$A$3,TAX!$C$2:$C$3)</f>
        <v>0</v>
      </c>
      <c r="J290" s="39">
        <f t="array" ref="J290">XLOOKUP(COST_BUY_MONTHLY!$C290,TAX!$A$2:$A$3,TAX!$D$2:$D$3)</f>
        <v>0.1</v>
      </c>
      <c r="K290" s="35">
        <f t="shared" si="2"/>
        <v>718.047</v>
      </c>
    </row>
    <row r="291" ht="14.25" customHeight="1">
      <c r="A291" s="33" t="s">
        <v>260</v>
      </c>
      <c r="B291" s="33" t="s">
        <v>124</v>
      </c>
      <c r="C291" s="33" t="s">
        <v>237</v>
      </c>
      <c r="D291" s="35">
        <v>2347.24</v>
      </c>
      <c r="E291" s="33">
        <v>50.0</v>
      </c>
      <c r="F291" s="35">
        <f t="array" ref="F291">IF(C291 ="FOB_JP", XLOOKUP(A291,CONTAINER_COST_MONTH!$A$2:$A$13,CONTAINER_COST_MONTH!$B$2:$B$13), 285)</f>
        <v>285</v>
      </c>
      <c r="G291" s="35">
        <f t="shared" si="1"/>
        <v>5.7</v>
      </c>
      <c r="H291" s="38">
        <f t="array" ref="H291">XLOOKUP(COST_BUY_MONTHLY!$C291,TAX!$A$2:$A$3,TAX!$B$2:$B$3)</f>
        <v>0</v>
      </c>
      <c r="I291" s="39">
        <f t="array" ref="I291">XLOOKUP(COST_BUY_MONTHLY!$C291,TAX!$A$2:$A$3,TAX!$C$2:$C$3)</f>
        <v>0</v>
      </c>
      <c r="J291" s="39">
        <f t="array" ref="J291">XLOOKUP(COST_BUY_MONTHLY!$C291,TAX!$A$2:$A$3,TAX!$D$2:$D$3)</f>
        <v>0.1</v>
      </c>
      <c r="K291" s="35">
        <f t="shared" si="2"/>
        <v>2588.234</v>
      </c>
    </row>
    <row r="292" ht="14.25" customHeight="1">
      <c r="A292" s="33" t="s">
        <v>260</v>
      </c>
      <c r="B292" s="33" t="s">
        <v>126</v>
      </c>
      <c r="C292" s="33" t="s">
        <v>236</v>
      </c>
      <c r="D292" s="35">
        <v>3638.25</v>
      </c>
      <c r="E292" s="33">
        <v>35.0</v>
      </c>
      <c r="F292" s="35">
        <f t="array" ref="F292">IF(C292 ="FOB_JP", XLOOKUP(A292,CONTAINER_COST_MONTH!$A$2:$A$13,CONTAINER_COST_MONTH!$B$2:$B$13), 285)</f>
        <v>3368</v>
      </c>
      <c r="G292" s="35">
        <f t="shared" si="1"/>
        <v>96.22857143</v>
      </c>
      <c r="H292" s="38">
        <f t="array" ref="H292">XLOOKUP(COST_BUY_MONTHLY!$C292,TAX!$A$2:$A$3,TAX!$B$2:$B$3)</f>
        <v>0.002</v>
      </c>
      <c r="I292" s="39">
        <f t="array" ref="I292">XLOOKUP(COST_BUY_MONTHLY!$C292,TAX!$A$2:$A$3,TAX!$C$2:$C$3)</f>
        <v>0.2</v>
      </c>
      <c r="J292" s="39">
        <f t="array" ref="J292">XLOOKUP(COST_BUY_MONTHLY!$C292,TAX!$A$2:$A$3,TAX!$D$2:$D$3)</f>
        <v>0.1</v>
      </c>
      <c r="K292" s="35">
        <f t="shared" si="2"/>
        <v>4939.370738</v>
      </c>
    </row>
    <row r="293" ht="14.25" customHeight="1">
      <c r="A293" s="33" t="s">
        <v>260</v>
      </c>
      <c r="B293" s="33" t="s">
        <v>128</v>
      </c>
      <c r="C293" s="33" t="s">
        <v>236</v>
      </c>
      <c r="D293" s="35">
        <v>5005.73</v>
      </c>
      <c r="E293" s="33">
        <v>35.0</v>
      </c>
      <c r="F293" s="35">
        <f t="array" ref="F293">IF(C293 ="FOB_JP", XLOOKUP(A293,CONTAINER_COST_MONTH!$A$2:$A$13,CONTAINER_COST_MONTH!$B$2:$B$13), 285)</f>
        <v>3368</v>
      </c>
      <c r="G293" s="35">
        <f t="shared" si="1"/>
        <v>96.22857143</v>
      </c>
      <c r="H293" s="38">
        <f t="array" ref="H293">XLOOKUP(COST_BUY_MONTHLY!$C293,TAX!$A$2:$A$3,TAX!$B$2:$B$3)</f>
        <v>0.002</v>
      </c>
      <c r="I293" s="39">
        <f t="array" ref="I293">XLOOKUP(COST_BUY_MONTHLY!$C293,TAX!$A$2:$A$3,TAX!$C$2:$C$3)</f>
        <v>0.2</v>
      </c>
      <c r="J293" s="39">
        <f t="array" ref="J293">XLOOKUP(COST_BUY_MONTHLY!$C293,TAX!$A$2:$A$3,TAX!$D$2:$D$3)</f>
        <v>0.1</v>
      </c>
      <c r="K293" s="35">
        <f t="shared" si="2"/>
        <v>6748.054485</v>
      </c>
    </row>
    <row r="294" ht="14.25" customHeight="1">
      <c r="A294" s="33" t="s">
        <v>260</v>
      </c>
      <c r="B294" s="33" t="s">
        <v>130</v>
      </c>
      <c r="C294" s="33" t="s">
        <v>237</v>
      </c>
      <c r="D294" s="35">
        <v>3760.36</v>
      </c>
      <c r="E294" s="33">
        <v>35.0</v>
      </c>
      <c r="F294" s="35">
        <f t="array" ref="F294">IF(C294 ="FOB_JP", XLOOKUP(A294,CONTAINER_COST_MONTH!$A$2:$A$13,CONTAINER_COST_MONTH!$B$2:$B$13), 285)</f>
        <v>285</v>
      </c>
      <c r="G294" s="35">
        <f t="shared" si="1"/>
        <v>8.142857143</v>
      </c>
      <c r="H294" s="38">
        <f t="array" ref="H294">XLOOKUP(COST_BUY_MONTHLY!$C294,TAX!$A$2:$A$3,TAX!$B$2:$B$3)</f>
        <v>0</v>
      </c>
      <c r="I294" s="39">
        <f t="array" ref="I294">XLOOKUP(COST_BUY_MONTHLY!$C294,TAX!$A$2:$A$3,TAX!$C$2:$C$3)</f>
        <v>0</v>
      </c>
      <c r="J294" s="39">
        <f t="array" ref="J294">XLOOKUP(COST_BUY_MONTHLY!$C294,TAX!$A$2:$A$3,TAX!$D$2:$D$3)</f>
        <v>0.1</v>
      </c>
      <c r="K294" s="35">
        <f t="shared" si="2"/>
        <v>4145.353143</v>
      </c>
    </row>
    <row r="295" ht="14.25" customHeight="1">
      <c r="A295" s="33" t="s">
        <v>260</v>
      </c>
      <c r="B295" s="33" t="s">
        <v>132</v>
      </c>
      <c r="C295" s="33" t="s">
        <v>237</v>
      </c>
      <c r="D295" s="35">
        <v>1229.5</v>
      </c>
      <c r="E295" s="33">
        <v>35.0</v>
      </c>
      <c r="F295" s="35">
        <f t="array" ref="F295">IF(C295 ="FOB_JP", XLOOKUP(A295,CONTAINER_COST_MONTH!$A$2:$A$13,CONTAINER_COST_MONTH!$B$2:$B$13), 285)</f>
        <v>285</v>
      </c>
      <c r="G295" s="35">
        <f t="shared" si="1"/>
        <v>8.142857143</v>
      </c>
      <c r="H295" s="38">
        <f t="array" ref="H295">XLOOKUP(COST_BUY_MONTHLY!$C295,TAX!$A$2:$A$3,TAX!$B$2:$B$3)</f>
        <v>0</v>
      </c>
      <c r="I295" s="39">
        <f t="array" ref="I295">XLOOKUP(COST_BUY_MONTHLY!$C295,TAX!$A$2:$A$3,TAX!$C$2:$C$3)</f>
        <v>0</v>
      </c>
      <c r="J295" s="39">
        <f t="array" ref="J295">XLOOKUP(COST_BUY_MONTHLY!$C295,TAX!$A$2:$A$3,TAX!$D$2:$D$3)</f>
        <v>0.1</v>
      </c>
      <c r="K295" s="35">
        <f t="shared" si="2"/>
        <v>1361.407143</v>
      </c>
    </row>
    <row r="296" ht="14.25" customHeight="1">
      <c r="A296" s="33" t="s">
        <v>260</v>
      </c>
      <c r="B296" s="33" t="s">
        <v>134</v>
      </c>
      <c r="C296" s="33" t="s">
        <v>236</v>
      </c>
      <c r="D296" s="35">
        <v>4169.85</v>
      </c>
      <c r="E296" s="33">
        <v>14.0</v>
      </c>
      <c r="F296" s="35">
        <f t="array" ref="F296">IF(C296 ="FOB_JP", XLOOKUP(A296,CONTAINER_COST_MONTH!$A$2:$A$13,CONTAINER_COST_MONTH!$B$2:$B$13), 285)</f>
        <v>3368</v>
      </c>
      <c r="G296" s="35">
        <f t="shared" si="1"/>
        <v>240.5714286</v>
      </c>
      <c r="H296" s="38">
        <f t="array" ref="H296">XLOOKUP(COST_BUY_MONTHLY!$C296,TAX!$A$2:$A$3,TAX!$B$2:$B$3)</f>
        <v>0.002</v>
      </c>
      <c r="I296" s="39">
        <f t="array" ref="I296">XLOOKUP(COST_BUY_MONTHLY!$C296,TAX!$A$2:$A$3,TAX!$C$2:$C$3)</f>
        <v>0.2</v>
      </c>
      <c r="J296" s="39">
        <f t="array" ref="J296">XLOOKUP(COST_BUY_MONTHLY!$C296,TAX!$A$2:$A$3,TAX!$D$2:$D$3)</f>
        <v>0.1</v>
      </c>
      <c r="K296" s="35">
        <f t="shared" si="2"/>
        <v>5833.399798</v>
      </c>
    </row>
    <row r="297" ht="14.25" customHeight="1">
      <c r="A297" s="33" t="s">
        <v>260</v>
      </c>
      <c r="B297" s="33" t="s">
        <v>136</v>
      </c>
      <c r="C297" s="33" t="s">
        <v>236</v>
      </c>
      <c r="D297" s="35">
        <v>4474.12</v>
      </c>
      <c r="E297" s="33">
        <v>35.0</v>
      </c>
      <c r="F297" s="35">
        <f t="array" ref="F297">IF(C297 ="FOB_JP", XLOOKUP(A297,CONTAINER_COST_MONTH!$A$2:$A$13,CONTAINER_COST_MONTH!$B$2:$B$13), 285)</f>
        <v>3368</v>
      </c>
      <c r="G297" s="35">
        <f t="shared" si="1"/>
        <v>96.22857143</v>
      </c>
      <c r="H297" s="38">
        <f t="array" ref="H297">XLOOKUP(COST_BUY_MONTHLY!$C297,TAX!$A$2:$A$3,TAX!$B$2:$B$3)</f>
        <v>0.002</v>
      </c>
      <c r="I297" s="39">
        <f t="array" ref="I297">XLOOKUP(COST_BUY_MONTHLY!$C297,TAX!$A$2:$A$3,TAX!$C$2:$C$3)</f>
        <v>0.2</v>
      </c>
      <c r="J297" s="39">
        <f t="array" ref="J297">XLOOKUP(COST_BUY_MONTHLY!$C297,TAX!$A$2:$A$3,TAX!$D$2:$D$3)</f>
        <v>0.1</v>
      </c>
      <c r="K297" s="35">
        <f t="shared" si="2"/>
        <v>6044.925835</v>
      </c>
    </row>
    <row r="298" ht="14.25" customHeight="1">
      <c r="A298" s="33" t="s">
        <v>260</v>
      </c>
      <c r="B298" s="33" t="s">
        <v>138</v>
      </c>
      <c r="C298" s="33" t="s">
        <v>236</v>
      </c>
      <c r="D298" s="35">
        <v>1857.59</v>
      </c>
      <c r="E298" s="33">
        <v>35.0</v>
      </c>
      <c r="F298" s="35">
        <f t="array" ref="F298">IF(C298 ="FOB_JP", XLOOKUP(A298,CONTAINER_COST_MONTH!$A$2:$A$13,CONTAINER_COST_MONTH!$B$2:$B$13), 285)</f>
        <v>3368</v>
      </c>
      <c r="G298" s="35">
        <f t="shared" si="1"/>
        <v>96.22857143</v>
      </c>
      <c r="H298" s="38">
        <f t="array" ref="H298">XLOOKUP(COST_BUY_MONTHLY!$C298,TAX!$A$2:$A$3,TAX!$B$2:$B$3)</f>
        <v>0.002</v>
      </c>
      <c r="I298" s="39">
        <f t="array" ref="I298">XLOOKUP(COST_BUY_MONTHLY!$C298,TAX!$A$2:$A$3,TAX!$C$2:$C$3)</f>
        <v>0.2</v>
      </c>
      <c r="J298" s="39">
        <f t="array" ref="J298">XLOOKUP(COST_BUY_MONTHLY!$C298,TAX!$A$2:$A$3,TAX!$D$2:$D$3)</f>
        <v>0.1</v>
      </c>
      <c r="K298" s="35">
        <f t="shared" si="2"/>
        <v>2584.198595</v>
      </c>
    </row>
    <row r="299" ht="14.25" customHeight="1">
      <c r="A299" s="33" t="s">
        <v>260</v>
      </c>
      <c r="B299" s="33" t="s">
        <v>140</v>
      </c>
      <c r="C299" s="33" t="s">
        <v>236</v>
      </c>
      <c r="D299" s="35">
        <v>6786.38</v>
      </c>
      <c r="E299" s="33">
        <v>35.0</v>
      </c>
      <c r="F299" s="35">
        <f t="array" ref="F299">IF(C299 ="FOB_JP", XLOOKUP(A299,CONTAINER_COST_MONTH!$A$2:$A$13,CONTAINER_COST_MONTH!$B$2:$B$13), 285)</f>
        <v>3368</v>
      </c>
      <c r="G299" s="35">
        <f t="shared" si="1"/>
        <v>96.22857143</v>
      </c>
      <c r="H299" s="38">
        <f t="array" ref="H299">XLOOKUP(COST_BUY_MONTHLY!$C299,TAX!$A$2:$A$3,TAX!$B$2:$B$3)</f>
        <v>0.002</v>
      </c>
      <c r="I299" s="39">
        <f t="array" ref="I299">XLOOKUP(COST_BUY_MONTHLY!$C299,TAX!$A$2:$A$3,TAX!$C$2:$C$3)</f>
        <v>0.2</v>
      </c>
      <c r="J299" s="39">
        <f t="array" ref="J299">XLOOKUP(COST_BUY_MONTHLY!$C299,TAX!$A$2:$A$3,TAX!$D$2:$D$3)</f>
        <v>0.1</v>
      </c>
      <c r="K299" s="35">
        <f t="shared" si="2"/>
        <v>9103.213401</v>
      </c>
    </row>
    <row r="300" ht="14.25" customHeight="1">
      <c r="A300" s="33" t="s">
        <v>260</v>
      </c>
      <c r="B300" s="33" t="s">
        <v>142</v>
      </c>
      <c r="C300" s="33" t="s">
        <v>237</v>
      </c>
      <c r="D300" s="35">
        <v>2264.4</v>
      </c>
      <c r="E300" s="33">
        <v>35.0</v>
      </c>
      <c r="F300" s="35">
        <f t="array" ref="F300">IF(C300 ="FOB_JP", XLOOKUP(A300,CONTAINER_COST_MONTH!$A$2:$A$13,CONTAINER_COST_MONTH!$B$2:$B$13), 285)</f>
        <v>285</v>
      </c>
      <c r="G300" s="35">
        <f t="shared" si="1"/>
        <v>8.142857143</v>
      </c>
      <c r="H300" s="38">
        <f t="array" ref="H300">XLOOKUP(COST_BUY_MONTHLY!$C300,TAX!$A$2:$A$3,TAX!$B$2:$B$3)</f>
        <v>0</v>
      </c>
      <c r="I300" s="39">
        <f t="array" ref="I300">XLOOKUP(COST_BUY_MONTHLY!$C300,TAX!$A$2:$A$3,TAX!$C$2:$C$3)</f>
        <v>0</v>
      </c>
      <c r="J300" s="39">
        <f t="array" ref="J300">XLOOKUP(COST_BUY_MONTHLY!$C300,TAX!$A$2:$A$3,TAX!$D$2:$D$3)</f>
        <v>0.1</v>
      </c>
      <c r="K300" s="35">
        <f t="shared" si="2"/>
        <v>2499.797143</v>
      </c>
    </row>
    <row r="301" ht="14.25" customHeight="1">
      <c r="A301" s="33" t="s">
        <v>260</v>
      </c>
      <c r="B301" s="33" t="s">
        <v>144</v>
      </c>
      <c r="C301" s="33" t="s">
        <v>237</v>
      </c>
      <c r="D301" s="35">
        <v>2725.46</v>
      </c>
      <c r="E301" s="33">
        <v>35.0</v>
      </c>
      <c r="F301" s="35">
        <f t="array" ref="F301">IF(C301 ="FOB_JP", XLOOKUP(A301,CONTAINER_COST_MONTH!$A$2:$A$13,CONTAINER_COST_MONTH!$B$2:$B$13), 285)</f>
        <v>285</v>
      </c>
      <c r="G301" s="35">
        <f t="shared" si="1"/>
        <v>8.142857143</v>
      </c>
      <c r="H301" s="38">
        <f t="array" ref="H301">XLOOKUP(COST_BUY_MONTHLY!$C301,TAX!$A$2:$A$3,TAX!$B$2:$B$3)</f>
        <v>0</v>
      </c>
      <c r="I301" s="39">
        <f t="array" ref="I301">XLOOKUP(COST_BUY_MONTHLY!$C301,TAX!$A$2:$A$3,TAX!$C$2:$C$3)</f>
        <v>0</v>
      </c>
      <c r="J301" s="39">
        <f t="array" ref="J301">XLOOKUP(COST_BUY_MONTHLY!$C301,TAX!$A$2:$A$3,TAX!$D$2:$D$3)</f>
        <v>0.1</v>
      </c>
      <c r="K301" s="35">
        <f t="shared" si="2"/>
        <v>3006.963143</v>
      </c>
    </row>
    <row r="302" ht="14.25" customHeight="1">
      <c r="A302" s="33" t="s">
        <v>261</v>
      </c>
      <c r="B302" s="33" t="s">
        <v>11</v>
      </c>
      <c r="C302" s="33" t="s">
        <v>236</v>
      </c>
      <c r="D302" s="35">
        <v>4048.09</v>
      </c>
      <c r="E302" s="33">
        <v>10.0</v>
      </c>
      <c r="F302" s="35">
        <f t="array" ref="F302">IF(C302 ="FOB_JP", XLOOKUP(A302,CONTAINER_COST_MONTH!$A$2:$A$13,CONTAINER_COST_MONTH!$B$2:$B$13), 285)</f>
        <v>3456</v>
      </c>
      <c r="G302" s="35">
        <f t="shared" si="1"/>
        <v>345.6</v>
      </c>
      <c r="H302" s="38">
        <f t="array" ref="H302">XLOOKUP(COST_BUY_MONTHLY!$C302,TAX!$A$2:$A$3,TAX!$B$2:$B$3)</f>
        <v>0.002</v>
      </c>
      <c r="I302" s="39">
        <f t="array" ref="I302">XLOOKUP(COST_BUY_MONTHLY!$C302,TAX!$A$2:$A$3,TAX!$C$2:$C$3)</f>
        <v>0.2</v>
      </c>
      <c r="J302" s="39">
        <f t="array" ref="J302">XLOOKUP(COST_BUY_MONTHLY!$C302,TAX!$A$2:$A$3,TAX!$D$2:$D$3)</f>
        <v>0.1</v>
      </c>
      <c r="K302" s="35">
        <f t="shared" si="2"/>
        <v>5811.270142</v>
      </c>
    </row>
    <row r="303" ht="14.25" customHeight="1">
      <c r="A303" s="33" t="s">
        <v>261</v>
      </c>
      <c r="B303" s="33" t="s">
        <v>18</v>
      </c>
      <c r="C303" s="33" t="s">
        <v>237</v>
      </c>
      <c r="D303" s="35">
        <v>2173.3</v>
      </c>
      <c r="E303" s="33">
        <v>40.0</v>
      </c>
      <c r="F303" s="35">
        <f t="array" ref="F303">IF(C303 ="FOB_JP", XLOOKUP(A303,CONTAINER_COST_MONTH!$A$2:$A$13,CONTAINER_COST_MONTH!$B$2:$B$13), 285)</f>
        <v>285</v>
      </c>
      <c r="G303" s="35">
        <f t="shared" si="1"/>
        <v>7.125</v>
      </c>
      <c r="H303" s="38">
        <f t="array" ref="H303">XLOOKUP(COST_BUY_MONTHLY!$C303,TAX!$A$2:$A$3,TAX!$B$2:$B$3)</f>
        <v>0</v>
      </c>
      <c r="I303" s="39">
        <f t="array" ref="I303">XLOOKUP(COST_BUY_MONTHLY!$C303,TAX!$A$2:$A$3,TAX!$C$2:$C$3)</f>
        <v>0</v>
      </c>
      <c r="J303" s="39">
        <f t="array" ref="J303">XLOOKUP(COST_BUY_MONTHLY!$C303,TAX!$A$2:$A$3,TAX!$D$2:$D$3)</f>
        <v>0.1</v>
      </c>
      <c r="K303" s="35">
        <f t="shared" si="2"/>
        <v>2398.4675</v>
      </c>
    </row>
    <row r="304" ht="14.25" customHeight="1">
      <c r="A304" s="33" t="s">
        <v>261</v>
      </c>
      <c r="B304" s="33" t="s">
        <v>22</v>
      </c>
      <c r="C304" s="33" t="s">
        <v>236</v>
      </c>
      <c r="D304" s="35">
        <v>4048.09</v>
      </c>
      <c r="E304" s="33">
        <v>20.0</v>
      </c>
      <c r="F304" s="35">
        <f t="array" ref="F304">IF(C304 ="FOB_JP", XLOOKUP(A304,CONTAINER_COST_MONTH!$A$2:$A$13,CONTAINER_COST_MONTH!$B$2:$B$13), 285)</f>
        <v>3456</v>
      </c>
      <c r="G304" s="35">
        <f t="shared" si="1"/>
        <v>172.8</v>
      </c>
      <c r="H304" s="38">
        <f t="array" ref="H304">XLOOKUP(COST_BUY_MONTHLY!$C304,TAX!$A$2:$A$3,TAX!$B$2:$B$3)</f>
        <v>0.002</v>
      </c>
      <c r="I304" s="39">
        <f t="array" ref="I304">XLOOKUP(COST_BUY_MONTHLY!$C304,TAX!$A$2:$A$3,TAX!$C$2:$C$3)</f>
        <v>0.2</v>
      </c>
      <c r="J304" s="39">
        <f t="array" ref="J304">XLOOKUP(COST_BUY_MONTHLY!$C304,TAX!$A$2:$A$3,TAX!$D$2:$D$3)</f>
        <v>0.1</v>
      </c>
      <c r="K304" s="35">
        <f t="shared" si="2"/>
        <v>5582.71795</v>
      </c>
    </row>
    <row r="305" ht="14.25" customHeight="1">
      <c r="A305" s="33" t="s">
        <v>261</v>
      </c>
      <c r="B305" s="33" t="s">
        <v>24</v>
      </c>
      <c r="C305" s="33" t="s">
        <v>236</v>
      </c>
      <c r="D305" s="35">
        <v>4048.09</v>
      </c>
      <c r="E305" s="33">
        <v>15.0</v>
      </c>
      <c r="F305" s="35">
        <f t="array" ref="F305">IF(C305 ="FOB_JP", XLOOKUP(A305,CONTAINER_COST_MONTH!$A$2:$A$13,CONTAINER_COST_MONTH!$B$2:$B$13), 285)</f>
        <v>3456</v>
      </c>
      <c r="G305" s="35">
        <f t="shared" si="1"/>
        <v>230.4</v>
      </c>
      <c r="H305" s="38">
        <f t="array" ref="H305">XLOOKUP(COST_BUY_MONTHLY!$C305,TAX!$A$2:$A$3,TAX!$B$2:$B$3)</f>
        <v>0.002</v>
      </c>
      <c r="I305" s="39">
        <f t="array" ref="I305">XLOOKUP(COST_BUY_MONTHLY!$C305,TAX!$A$2:$A$3,TAX!$C$2:$C$3)</f>
        <v>0.2</v>
      </c>
      <c r="J305" s="39">
        <f t="array" ref="J305">XLOOKUP(COST_BUY_MONTHLY!$C305,TAX!$A$2:$A$3,TAX!$D$2:$D$3)</f>
        <v>0.1</v>
      </c>
      <c r="K305" s="35">
        <f t="shared" si="2"/>
        <v>5658.902014</v>
      </c>
    </row>
    <row r="306" ht="14.25" customHeight="1">
      <c r="A306" s="33" t="s">
        <v>261</v>
      </c>
      <c r="B306" s="33" t="s">
        <v>26</v>
      </c>
      <c r="C306" s="33" t="s">
        <v>237</v>
      </c>
      <c r="D306" s="35">
        <v>2173.3</v>
      </c>
      <c r="E306" s="33">
        <v>120.0</v>
      </c>
      <c r="F306" s="35">
        <f t="array" ref="F306">IF(C306 ="FOB_JP", XLOOKUP(A306,CONTAINER_COST_MONTH!$A$2:$A$13,CONTAINER_COST_MONTH!$B$2:$B$13), 285)</f>
        <v>285</v>
      </c>
      <c r="G306" s="35">
        <f t="shared" si="1"/>
        <v>2.375</v>
      </c>
      <c r="H306" s="38">
        <f t="array" ref="H306">XLOOKUP(COST_BUY_MONTHLY!$C306,TAX!$A$2:$A$3,TAX!$B$2:$B$3)</f>
        <v>0</v>
      </c>
      <c r="I306" s="39">
        <f t="array" ref="I306">XLOOKUP(COST_BUY_MONTHLY!$C306,TAX!$A$2:$A$3,TAX!$C$2:$C$3)</f>
        <v>0</v>
      </c>
      <c r="J306" s="39">
        <f t="array" ref="J306">XLOOKUP(COST_BUY_MONTHLY!$C306,TAX!$A$2:$A$3,TAX!$D$2:$D$3)</f>
        <v>0.1</v>
      </c>
      <c r="K306" s="35">
        <f t="shared" si="2"/>
        <v>2393.2425</v>
      </c>
    </row>
    <row r="307" ht="14.25" customHeight="1">
      <c r="A307" s="33" t="s">
        <v>261</v>
      </c>
      <c r="B307" s="33" t="s">
        <v>30</v>
      </c>
      <c r="C307" s="33" t="s">
        <v>236</v>
      </c>
      <c r="D307" s="35">
        <v>11025.48</v>
      </c>
      <c r="E307" s="33">
        <v>7.0</v>
      </c>
      <c r="F307" s="35">
        <f t="array" ref="F307">IF(C307 ="FOB_JP", XLOOKUP(A307,CONTAINER_COST_MONTH!$A$2:$A$13,CONTAINER_COST_MONTH!$B$2:$B$13), 285)</f>
        <v>3456</v>
      </c>
      <c r="G307" s="35">
        <f t="shared" si="1"/>
        <v>493.7142857</v>
      </c>
      <c r="H307" s="38">
        <f t="array" ref="H307">XLOOKUP(COST_BUY_MONTHLY!$C307,TAX!$A$2:$A$3,TAX!$B$2:$B$3)</f>
        <v>0.002</v>
      </c>
      <c r="I307" s="39">
        <f t="array" ref="I307">XLOOKUP(COST_BUY_MONTHLY!$C307,TAX!$A$2:$A$3,TAX!$C$2:$C$3)</f>
        <v>0.2</v>
      </c>
      <c r="J307" s="39">
        <f t="array" ref="J307">XLOOKUP(COST_BUY_MONTHLY!$C307,TAX!$A$2:$A$3,TAX!$D$2:$D$3)</f>
        <v>0.1</v>
      </c>
      <c r="K307" s="35">
        <f t="shared" si="2"/>
        <v>15235.74713</v>
      </c>
    </row>
    <row r="308" ht="14.25" customHeight="1">
      <c r="A308" s="33" t="s">
        <v>261</v>
      </c>
      <c r="B308" s="33" t="s">
        <v>33</v>
      </c>
      <c r="C308" s="33" t="s">
        <v>237</v>
      </c>
      <c r="D308" s="35">
        <v>6364.62</v>
      </c>
      <c r="E308" s="33">
        <v>28.0</v>
      </c>
      <c r="F308" s="35">
        <f t="array" ref="F308">IF(C308 ="FOB_JP", XLOOKUP(A308,CONTAINER_COST_MONTH!$A$2:$A$13,CONTAINER_COST_MONTH!$B$2:$B$13), 285)</f>
        <v>285</v>
      </c>
      <c r="G308" s="35">
        <f t="shared" si="1"/>
        <v>10.17857143</v>
      </c>
      <c r="H308" s="38">
        <f t="array" ref="H308">XLOOKUP(COST_BUY_MONTHLY!$C308,TAX!$A$2:$A$3,TAX!$B$2:$B$3)</f>
        <v>0</v>
      </c>
      <c r="I308" s="39">
        <f t="array" ref="I308">XLOOKUP(COST_BUY_MONTHLY!$C308,TAX!$A$2:$A$3,TAX!$C$2:$C$3)</f>
        <v>0</v>
      </c>
      <c r="J308" s="39">
        <f t="array" ref="J308">XLOOKUP(COST_BUY_MONTHLY!$C308,TAX!$A$2:$A$3,TAX!$D$2:$D$3)</f>
        <v>0.1</v>
      </c>
      <c r="K308" s="35">
        <f t="shared" si="2"/>
        <v>7012.278429</v>
      </c>
    </row>
    <row r="309" ht="14.25" customHeight="1">
      <c r="A309" s="33" t="s">
        <v>261</v>
      </c>
      <c r="B309" s="33" t="s">
        <v>35</v>
      </c>
      <c r="C309" s="33" t="s">
        <v>236</v>
      </c>
      <c r="D309" s="35">
        <v>11025.48</v>
      </c>
      <c r="E309" s="33">
        <v>14.0</v>
      </c>
      <c r="F309" s="35">
        <f t="array" ref="F309">IF(C309 ="FOB_JP", XLOOKUP(A309,CONTAINER_COST_MONTH!$A$2:$A$13,CONTAINER_COST_MONTH!$B$2:$B$13), 285)</f>
        <v>3456</v>
      </c>
      <c r="G309" s="35">
        <f t="shared" si="1"/>
        <v>246.8571429</v>
      </c>
      <c r="H309" s="38">
        <f t="array" ref="H309">XLOOKUP(COST_BUY_MONTHLY!$C309,TAX!$A$2:$A$3,TAX!$B$2:$B$3)</f>
        <v>0.002</v>
      </c>
      <c r="I309" s="39">
        <f t="array" ref="I309">XLOOKUP(COST_BUY_MONTHLY!$C309,TAX!$A$2:$A$3,TAX!$C$2:$C$3)</f>
        <v>0.2</v>
      </c>
      <c r="J309" s="39">
        <f t="array" ref="J309">XLOOKUP(COST_BUY_MONTHLY!$C309,TAX!$A$2:$A$3,TAX!$D$2:$D$3)</f>
        <v>0.1</v>
      </c>
      <c r="K309" s="35">
        <f t="shared" si="2"/>
        <v>14909.244</v>
      </c>
    </row>
    <row r="310" ht="14.25" customHeight="1">
      <c r="A310" s="33" t="s">
        <v>261</v>
      </c>
      <c r="B310" s="33" t="s">
        <v>37</v>
      </c>
      <c r="C310" s="33" t="s">
        <v>236</v>
      </c>
      <c r="D310" s="35">
        <v>11025.48</v>
      </c>
      <c r="E310" s="33">
        <v>10.0</v>
      </c>
      <c r="F310" s="35">
        <f t="array" ref="F310">IF(C310 ="FOB_JP", XLOOKUP(A310,CONTAINER_COST_MONTH!$A$2:$A$13,CONTAINER_COST_MONTH!$B$2:$B$13), 285)</f>
        <v>3456</v>
      </c>
      <c r="G310" s="35">
        <f t="shared" si="1"/>
        <v>345.6</v>
      </c>
      <c r="H310" s="38">
        <f t="array" ref="H310">XLOOKUP(COST_BUY_MONTHLY!$C310,TAX!$A$2:$A$3,TAX!$B$2:$B$3)</f>
        <v>0.002</v>
      </c>
      <c r="I310" s="39">
        <f t="array" ref="I310">XLOOKUP(COST_BUY_MONTHLY!$C310,TAX!$A$2:$A$3,TAX!$C$2:$C$3)</f>
        <v>0.2</v>
      </c>
      <c r="J310" s="39">
        <f t="array" ref="J310">XLOOKUP(COST_BUY_MONTHLY!$C310,TAX!$A$2:$A$3,TAX!$D$2:$D$3)</f>
        <v>0.1</v>
      </c>
      <c r="K310" s="35">
        <f t="shared" si="2"/>
        <v>15039.84525</v>
      </c>
    </row>
    <row r="311" ht="14.25" customHeight="1">
      <c r="A311" s="33" t="s">
        <v>261</v>
      </c>
      <c r="B311" s="33" t="s">
        <v>39</v>
      </c>
      <c r="C311" s="33" t="s">
        <v>237</v>
      </c>
      <c r="D311" s="35">
        <v>6364.62</v>
      </c>
      <c r="E311" s="33">
        <v>84.0</v>
      </c>
      <c r="F311" s="35">
        <f t="array" ref="F311">IF(C311 ="FOB_JP", XLOOKUP(A311,CONTAINER_COST_MONTH!$A$2:$A$13,CONTAINER_COST_MONTH!$B$2:$B$13), 285)</f>
        <v>285</v>
      </c>
      <c r="G311" s="35">
        <f t="shared" si="1"/>
        <v>3.392857143</v>
      </c>
      <c r="H311" s="38">
        <f t="array" ref="H311">XLOOKUP(COST_BUY_MONTHLY!$C311,TAX!$A$2:$A$3,TAX!$B$2:$B$3)</f>
        <v>0</v>
      </c>
      <c r="I311" s="39">
        <f t="array" ref="I311">XLOOKUP(COST_BUY_MONTHLY!$C311,TAX!$A$2:$A$3,TAX!$C$2:$C$3)</f>
        <v>0</v>
      </c>
      <c r="J311" s="39">
        <f t="array" ref="J311">XLOOKUP(COST_BUY_MONTHLY!$C311,TAX!$A$2:$A$3,TAX!$D$2:$D$3)</f>
        <v>0.1</v>
      </c>
      <c r="K311" s="35">
        <f t="shared" si="2"/>
        <v>7004.814143</v>
      </c>
    </row>
    <row r="312" ht="14.25" customHeight="1">
      <c r="A312" s="33" t="s">
        <v>261</v>
      </c>
      <c r="B312" s="33" t="s">
        <v>42</v>
      </c>
      <c r="C312" s="33" t="s">
        <v>236</v>
      </c>
      <c r="D312" s="35">
        <v>5577.37</v>
      </c>
      <c r="E312" s="33">
        <v>10.0</v>
      </c>
      <c r="F312" s="35">
        <f t="array" ref="F312">IF(C312 ="FOB_JP", XLOOKUP(A312,CONTAINER_COST_MONTH!$A$2:$A$13,CONTAINER_COST_MONTH!$B$2:$B$13), 285)</f>
        <v>3456</v>
      </c>
      <c r="G312" s="35">
        <f t="shared" si="1"/>
        <v>345.6</v>
      </c>
      <c r="H312" s="38">
        <f t="array" ref="H312">XLOOKUP(COST_BUY_MONTHLY!$C312,TAX!$A$2:$A$3,TAX!$B$2:$B$3)</f>
        <v>0.002</v>
      </c>
      <c r="I312" s="39">
        <f t="array" ref="I312">XLOOKUP(COST_BUY_MONTHLY!$C312,TAX!$A$2:$A$3,TAX!$C$2:$C$3)</f>
        <v>0.2</v>
      </c>
      <c r="J312" s="39">
        <f t="array" ref="J312">XLOOKUP(COST_BUY_MONTHLY!$C312,TAX!$A$2:$A$3,TAX!$D$2:$D$3)</f>
        <v>0.1</v>
      </c>
      <c r="K312" s="35">
        <f t="shared" si="2"/>
        <v>7833.957041</v>
      </c>
    </row>
    <row r="313" ht="14.25" customHeight="1">
      <c r="A313" s="33" t="s">
        <v>261</v>
      </c>
      <c r="B313" s="33" t="s">
        <v>45</v>
      </c>
      <c r="C313" s="33" t="s">
        <v>237</v>
      </c>
      <c r="D313" s="35">
        <v>2994.32</v>
      </c>
      <c r="E313" s="33">
        <v>40.0</v>
      </c>
      <c r="F313" s="35">
        <f t="array" ref="F313">IF(C313 ="FOB_JP", XLOOKUP(A313,CONTAINER_COST_MONTH!$A$2:$A$13,CONTAINER_COST_MONTH!$B$2:$B$13), 285)</f>
        <v>285</v>
      </c>
      <c r="G313" s="35">
        <f t="shared" si="1"/>
        <v>7.125</v>
      </c>
      <c r="H313" s="38">
        <f t="array" ref="H313">XLOOKUP(COST_BUY_MONTHLY!$C313,TAX!$A$2:$A$3,TAX!$B$2:$B$3)</f>
        <v>0</v>
      </c>
      <c r="I313" s="39">
        <f t="array" ref="I313">XLOOKUP(COST_BUY_MONTHLY!$C313,TAX!$A$2:$A$3,TAX!$C$2:$C$3)</f>
        <v>0</v>
      </c>
      <c r="J313" s="39">
        <f t="array" ref="J313">XLOOKUP(COST_BUY_MONTHLY!$C313,TAX!$A$2:$A$3,TAX!$D$2:$D$3)</f>
        <v>0.1</v>
      </c>
      <c r="K313" s="35">
        <f t="shared" si="2"/>
        <v>3301.5895</v>
      </c>
    </row>
    <row r="314" ht="14.25" customHeight="1">
      <c r="A314" s="33" t="s">
        <v>261</v>
      </c>
      <c r="B314" s="33" t="s">
        <v>47</v>
      </c>
      <c r="C314" s="33" t="s">
        <v>236</v>
      </c>
      <c r="D314" s="35">
        <v>5577.37</v>
      </c>
      <c r="E314" s="33">
        <v>20.0</v>
      </c>
      <c r="F314" s="35">
        <f t="array" ref="F314">IF(C314 ="FOB_JP", XLOOKUP(A314,CONTAINER_COST_MONTH!$A$2:$A$13,CONTAINER_COST_MONTH!$B$2:$B$13), 285)</f>
        <v>3456</v>
      </c>
      <c r="G314" s="35">
        <f t="shared" si="1"/>
        <v>172.8</v>
      </c>
      <c r="H314" s="38">
        <f t="array" ref="H314">XLOOKUP(COST_BUY_MONTHLY!$C314,TAX!$A$2:$A$3,TAX!$B$2:$B$3)</f>
        <v>0.002</v>
      </c>
      <c r="I314" s="39">
        <f t="array" ref="I314">XLOOKUP(COST_BUY_MONTHLY!$C314,TAX!$A$2:$A$3,TAX!$C$2:$C$3)</f>
        <v>0.2</v>
      </c>
      <c r="J314" s="39">
        <f t="array" ref="J314">XLOOKUP(COST_BUY_MONTHLY!$C314,TAX!$A$2:$A$3,TAX!$D$2:$D$3)</f>
        <v>0.1</v>
      </c>
      <c r="K314" s="35">
        <f t="shared" si="2"/>
        <v>7605.404849</v>
      </c>
    </row>
    <row r="315" ht="14.25" customHeight="1">
      <c r="A315" s="33" t="s">
        <v>261</v>
      </c>
      <c r="B315" s="33" t="s">
        <v>49</v>
      </c>
      <c r="C315" s="33" t="s">
        <v>236</v>
      </c>
      <c r="D315" s="35">
        <v>5577.37</v>
      </c>
      <c r="E315" s="33">
        <v>15.0</v>
      </c>
      <c r="F315" s="35">
        <f t="array" ref="F315">IF(C315 ="FOB_JP", XLOOKUP(A315,CONTAINER_COST_MONTH!$A$2:$A$13,CONTAINER_COST_MONTH!$B$2:$B$13), 285)</f>
        <v>3456</v>
      </c>
      <c r="G315" s="35">
        <f t="shared" si="1"/>
        <v>230.4</v>
      </c>
      <c r="H315" s="38">
        <f t="array" ref="H315">XLOOKUP(COST_BUY_MONTHLY!$C315,TAX!$A$2:$A$3,TAX!$B$2:$B$3)</f>
        <v>0.002</v>
      </c>
      <c r="I315" s="39">
        <f t="array" ref="I315">XLOOKUP(COST_BUY_MONTHLY!$C315,TAX!$A$2:$A$3,TAX!$C$2:$C$3)</f>
        <v>0.2</v>
      </c>
      <c r="J315" s="39">
        <f t="array" ref="J315">XLOOKUP(COST_BUY_MONTHLY!$C315,TAX!$A$2:$A$3,TAX!$D$2:$D$3)</f>
        <v>0.1</v>
      </c>
      <c r="K315" s="35">
        <f t="shared" si="2"/>
        <v>7681.588913</v>
      </c>
    </row>
    <row r="316" ht="14.25" customHeight="1">
      <c r="A316" s="33" t="s">
        <v>261</v>
      </c>
      <c r="B316" s="33" t="s">
        <v>51</v>
      </c>
      <c r="C316" s="33" t="s">
        <v>237</v>
      </c>
      <c r="D316" s="35">
        <v>2994.32</v>
      </c>
      <c r="E316" s="33">
        <v>120.0</v>
      </c>
      <c r="F316" s="35">
        <f t="array" ref="F316">IF(C316 ="FOB_JP", XLOOKUP(A316,CONTAINER_COST_MONTH!$A$2:$A$13,CONTAINER_COST_MONTH!$B$2:$B$13), 285)</f>
        <v>285</v>
      </c>
      <c r="G316" s="35">
        <f t="shared" si="1"/>
        <v>2.375</v>
      </c>
      <c r="H316" s="38">
        <f t="array" ref="H316">XLOOKUP(COST_BUY_MONTHLY!$C316,TAX!$A$2:$A$3,TAX!$B$2:$B$3)</f>
        <v>0</v>
      </c>
      <c r="I316" s="39">
        <f t="array" ref="I316">XLOOKUP(COST_BUY_MONTHLY!$C316,TAX!$A$2:$A$3,TAX!$C$2:$C$3)</f>
        <v>0</v>
      </c>
      <c r="J316" s="39">
        <f t="array" ref="J316">XLOOKUP(COST_BUY_MONTHLY!$C316,TAX!$A$2:$A$3,TAX!$D$2:$D$3)</f>
        <v>0.1</v>
      </c>
      <c r="K316" s="35">
        <f t="shared" si="2"/>
        <v>3296.3645</v>
      </c>
    </row>
    <row r="317" ht="14.25" customHeight="1">
      <c r="A317" s="33" t="s">
        <v>261</v>
      </c>
      <c r="B317" s="33" t="s">
        <v>54</v>
      </c>
      <c r="C317" s="33" t="s">
        <v>236</v>
      </c>
      <c r="D317" s="35">
        <v>8643.97</v>
      </c>
      <c r="E317" s="33">
        <v>7.0</v>
      </c>
      <c r="F317" s="35">
        <f t="array" ref="F317">IF(C317 ="FOB_JP", XLOOKUP(A317,CONTAINER_COST_MONTH!$A$2:$A$13,CONTAINER_COST_MONTH!$B$2:$B$13), 285)</f>
        <v>3456</v>
      </c>
      <c r="G317" s="35">
        <f t="shared" si="1"/>
        <v>493.7142857</v>
      </c>
      <c r="H317" s="38">
        <f t="array" ref="H317">XLOOKUP(COST_BUY_MONTHLY!$C317,TAX!$A$2:$A$3,TAX!$B$2:$B$3)</f>
        <v>0.002</v>
      </c>
      <c r="I317" s="39">
        <f t="array" ref="I317">XLOOKUP(COST_BUY_MONTHLY!$C317,TAX!$A$2:$A$3,TAX!$C$2:$C$3)</f>
        <v>0.2</v>
      </c>
      <c r="J317" s="39">
        <f t="array" ref="J317">XLOOKUP(COST_BUY_MONTHLY!$C317,TAX!$A$2:$A$3,TAX!$D$2:$D$3)</f>
        <v>0.1</v>
      </c>
      <c r="K317" s="35">
        <f t="shared" si="2"/>
        <v>12085.86674</v>
      </c>
    </row>
    <row r="318" ht="14.25" customHeight="1">
      <c r="A318" s="33" t="s">
        <v>261</v>
      </c>
      <c r="B318" s="33" t="s">
        <v>57</v>
      </c>
      <c r="C318" s="33" t="s">
        <v>237</v>
      </c>
      <c r="D318" s="35">
        <v>4989.86</v>
      </c>
      <c r="E318" s="33">
        <v>28.0</v>
      </c>
      <c r="F318" s="35">
        <f t="array" ref="F318">IF(C318 ="FOB_JP", XLOOKUP(A318,CONTAINER_COST_MONTH!$A$2:$A$13,CONTAINER_COST_MONTH!$B$2:$B$13), 285)</f>
        <v>285</v>
      </c>
      <c r="G318" s="35">
        <f t="shared" si="1"/>
        <v>10.17857143</v>
      </c>
      <c r="H318" s="38">
        <f t="array" ref="H318">XLOOKUP(COST_BUY_MONTHLY!$C318,TAX!$A$2:$A$3,TAX!$B$2:$B$3)</f>
        <v>0</v>
      </c>
      <c r="I318" s="39">
        <f t="array" ref="I318">XLOOKUP(COST_BUY_MONTHLY!$C318,TAX!$A$2:$A$3,TAX!$C$2:$C$3)</f>
        <v>0</v>
      </c>
      <c r="J318" s="39">
        <f t="array" ref="J318">XLOOKUP(COST_BUY_MONTHLY!$C318,TAX!$A$2:$A$3,TAX!$D$2:$D$3)</f>
        <v>0.1</v>
      </c>
      <c r="K318" s="35">
        <f t="shared" si="2"/>
        <v>5500.042429</v>
      </c>
    </row>
    <row r="319" ht="14.25" customHeight="1">
      <c r="A319" s="33" t="s">
        <v>261</v>
      </c>
      <c r="B319" s="33" t="s">
        <v>59</v>
      </c>
      <c r="C319" s="33" t="s">
        <v>236</v>
      </c>
      <c r="D319" s="35">
        <v>8643.97</v>
      </c>
      <c r="E319" s="33">
        <v>14.0</v>
      </c>
      <c r="F319" s="35">
        <f t="array" ref="F319">IF(C319 ="FOB_JP", XLOOKUP(A319,CONTAINER_COST_MONTH!$A$2:$A$13,CONTAINER_COST_MONTH!$B$2:$B$13), 285)</f>
        <v>3456</v>
      </c>
      <c r="G319" s="35">
        <f t="shared" si="1"/>
        <v>246.8571429</v>
      </c>
      <c r="H319" s="38">
        <f t="array" ref="H319">XLOOKUP(COST_BUY_MONTHLY!$C319,TAX!$A$2:$A$3,TAX!$B$2:$B$3)</f>
        <v>0.002</v>
      </c>
      <c r="I319" s="39">
        <f t="array" ref="I319">XLOOKUP(COST_BUY_MONTHLY!$C319,TAX!$A$2:$A$3,TAX!$C$2:$C$3)</f>
        <v>0.2</v>
      </c>
      <c r="J319" s="39">
        <f t="array" ref="J319">XLOOKUP(COST_BUY_MONTHLY!$C319,TAX!$A$2:$A$3,TAX!$D$2:$D$3)</f>
        <v>0.1</v>
      </c>
      <c r="K319" s="35">
        <f t="shared" si="2"/>
        <v>11759.36361</v>
      </c>
    </row>
    <row r="320" ht="14.25" customHeight="1">
      <c r="A320" s="33" t="s">
        <v>261</v>
      </c>
      <c r="B320" s="33" t="s">
        <v>61</v>
      </c>
      <c r="C320" s="33" t="s">
        <v>236</v>
      </c>
      <c r="D320" s="35">
        <v>8643.97</v>
      </c>
      <c r="E320" s="33">
        <v>10.0</v>
      </c>
      <c r="F320" s="35">
        <f t="array" ref="F320">IF(C320 ="FOB_JP", XLOOKUP(A320,CONTAINER_COST_MONTH!$A$2:$A$13,CONTAINER_COST_MONTH!$B$2:$B$13), 285)</f>
        <v>3456</v>
      </c>
      <c r="G320" s="35">
        <f t="shared" si="1"/>
        <v>345.6</v>
      </c>
      <c r="H320" s="38">
        <f t="array" ref="H320">XLOOKUP(COST_BUY_MONTHLY!$C320,TAX!$A$2:$A$3,TAX!$B$2:$B$3)</f>
        <v>0.002</v>
      </c>
      <c r="I320" s="39">
        <f t="array" ref="I320">XLOOKUP(COST_BUY_MONTHLY!$C320,TAX!$A$2:$A$3,TAX!$C$2:$C$3)</f>
        <v>0.2</v>
      </c>
      <c r="J320" s="39">
        <f t="array" ref="J320">XLOOKUP(COST_BUY_MONTHLY!$C320,TAX!$A$2:$A$3,TAX!$D$2:$D$3)</f>
        <v>0.1</v>
      </c>
      <c r="K320" s="35">
        <f t="shared" si="2"/>
        <v>11889.96486</v>
      </c>
    </row>
    <row r="321" ht="14.25" customHeight="1">
      <c r="A321" s="33" t="s">
        <v>261</v>
      </c>
      <c r="B321" s="33" t="s">
        <v>63</v>
      </c>
      <c r="C321" s="33" t="s">
        <v>237</v>
      </c>
      <c r="D321" s="35">
        <v>4989.86</v>
      </c>
      <c r="E321" s="33">
        <v>84.0</v>
      </c>
      <c r="F321" s="35">
        <f t="array" ref="F321">IF(C321 ="FOB_JP", XLOOKUP(A321,CONTAINER_COST_MONTH!$A$2:$A$13,CONTAINER_COST_MONTH!$B$2:$B$13), 285)</f>
        <v>285</v>
      </c>
      <c r="G321" s="35">
        <f t="shared" si="1"/>
        <v>3.392857143</v>
      </c>
      <c r="H321" s="38">
        <f t="array" ref="H321">XLOOKUP(COST_BUY_MONTHLY!$C321,TAX!$A$2:$A$3,TAX!$B$2:$B$3)</f>
        <v>0</v>
      </c>
      <c r="I321" s="39">
        <f t="array" ref="I321">XLOOKUP(COST_BUY_MONTHLY!$C321,TAX!$A$2:$A$3,TAX!$C$2:$C$3)</f>
        <v>0</v>
      </c>
      <c r="J321" s="39">
        <f t="array" ref="J321">XLOOKUP(COST_BUY_MONTHLY!$C321,TAX!$A$2:$A$3,TAX!$D$2:$D$3)</f>
        <v>0.1</v>
      </c>
      <c r="K321" s="35">
        <f t="shared" si="2"/>
        <v>5492.578143</v>
      </c>
    </row>
    <row r="322" ht="14.25" customHeight="1">
      <c r="A322" s="33" t="s">
        <v>261</v>
      </c>
      <c r="B322" s="33" t="s">
        <v>65</v>
      </c>
      <c r="C322" s="33" t="s">
        <v>236</v>
      </c>
      <c r="D322" s="35">
        <v>1056.55</v>
      </c>
      <c r="E322" s="33">
        <v>50.0</v>
      </c>
      <c r="F322" s="35">
        <f t="array" ref="F322">IF(C322 ="FOB_JP", XLOOKUP(A322,CONTAINER_COST_MONTH!$A$2:$A$13,CONTAINER_COST_MONTH!$B$2:$B$13), 285)</f>
        <v>3456</v>
      </c>
      <c r="G322" s="35">
        <f t="shared" si="1"/>
        <v>69.12</v>
      </c>
      <c r="H322" s="38">
        <f t="array" ref="H322">XLOOKUP(COST_BUY_MONTHLY!$C322,TAX!$A$2:$A$3,TAX!$B$2:$B$3)</f>
        <v>0.002</v>
      </c>
      <c r="I322" s="39">
        <f t="array" ref="I322">XLOOKUP(COST_BUY_MONTHLY!$C322,TAX!$A$2:$A$3,TAX!$C$2:$C$3)</f>
        <v>0.2</v>
      </c>
      <c r="J322" s="39">
        <f t="array" ref="J322">XLOOKUP(COST_BUY_MONTHLY!$C322,TAX!$A$2:$A$3,TAX!$D$2:$D$3)</f>
        <v>0.1</v>
      </c>
      <c r="K322" s="35">
        <f t="shared" si="2"/>
        <v>1488.856169</v>
      </c>
    </row>
    <row r="323" ht="14.25" customHeight="1">
      <c r="A323" s="33" t="s">
        <v>261</v>
      </c>
      <c r="B323" s="33" t="s">
        <v>67</v>
      </c>
      <c r="C323" s="33" t="s">
        <v>236</v>
      </c>
      <c r="D323" s="35">
        <v>2991.54</v>
      </c>
      <c r="E323" s="33">
        <v>50.0</v>
      </c>
      <c r="F323" s="35">
        <f t="array" ref="F323">IF(C323 ="FOB_JP", XLOOKUP(A323,CONTAINER_COST_MONTH!$A$2:$A$13,CONTAINER_COST_MONTH!$B$2:$B$13), 285)</f>
        <v>3456</v>
      </c>
      <c r="G323" s="35">
        <f t="shared" si="1"/>
        <v>69.12</v>
      </c>
      <c r="H323" s="38">
        <f t="array" ref="H323">XLOOKUP(COST_BUY_MONTHLY!$C323,TAX!$A$2:$A$3,TAX!$B$2:$B$3)</f>
        <v>0.002</v>
      </c>
      <c r="I323" s="39">
        <f t="array" ref="I323">XLOOKUP(COST_BUY_MONTHLY!$C323,TAX!$A$2:$A$3,TAX!$C$2:$C$3)</f>
        <v>0.2</v>
      </c>
      <c r="J323" s="39">
        <f t="array" ref="J323">XLOOKUP(COST_BUY_MONTHLY!$C323,TAX!$A$2:$A$3,TAX!$D$2:$D$3)</f>
        <v>0.1</v>
      </c>
      <c r="K323" s="35">
        <f t="shared" si="2"/>
        <v>4048.151342</v>
      </c>
    </row>
    <row r="324" ht="14.25" customHeight="1">
      <c r="A324" s="33" t="s">
        <v>261</v>
      </c>
      <c r="B324" s="33" t="s">
        <v>70</v>
      </c>
      <c r="C324" s="33" t="s">
        <v>237</v>
      </c>
      <c r="D324" s="35">
        <v>302.74</v>
      </c>
      <c r="E324" s="33">
        <v>50.0</v>
      </c>
      <c r="F324" s="35">
        <f t="array" ref="F324">IF(C324 ="FOB_JP", XLOOKUP(A324,CONTAINER_COST_MONTH!$A$2:$A$13,CONTAINER_COST_MONTH!$B$2:$B$13), 285)</f>
        <v>285</v>
      </c>
      <c r="G324" s="35">
        <f t="shared" si="1"/>
        <v>5.7</v>
      </c>
      <c r="H324" s="38">
        <f t="array" ref="H324">XLOOKUP(COST_BUY_MONTHLY!$C324,TAX!$A$2:$A$3,TAX!$B$2:$B$3)</f>
        <v>0</v>
      </c>
      <c r="I324" s="39">
        <f t="array" ref="I324">XLOOKUP(COST_BUY_MONTHLY!$C324,TAX!$A$2:$A$3,TAX!$C$2:$C$3)</f>
        <v>0</v>
      </c>
      <c r="J324" s="39">
        <f t="array" ref="J324">XLOOKUP(COST_BUY_MONTHLY!$C324,TAX!$A$2:$A$3,TAX!$D$2:$D$3)</f>
        <v>0.1</v>
      </c>
      <c r="K324" s="35">
        <f t="shared" si="2"/>
        <v>339.284</v>
      </c>
    </row>
    <row r="325" ht="14.25" customHeight="1">
      <c r="A325" s="33" t="s">
        <v>261</v>
      </c>
      <c r="B325" s="33" t="s">
        <v>72</v>
      </c>
      <c r="C325" s="33" t="s">
        <v>237</v>
      </c>
      <c r="D325" s="35">
        <v>1870.55</v>
      </c>
      <c r="E325" s="33">
        <v>50.0</v>
      </c>
      <c r="F325" s="35">
        <f t="array" ref="F325">IF(C325 ="FOB_JP", XLOOKUP(A325,CONTAINER_COST_MONTH!$A$2:$A$13,CONTAINER_COST_MONTH!$B$2:$B$13), 285)</f>
        <v>285</v>
      </c>
      <c r="G325" s="35">
        <f t="shared" si="1"/>
        <v>5.7</v>
      </c>
      <c r="H325" s="38">
        <f t="array" ref="H325">XLOOKUP(COST_BUY_MONTHLY!$C325,TAX!$A$2:$A$3,TAX!$B$2:$B$3)</f>
        <v>0</v>
      </c>
      <c r="I325" s="39">
        <f t="array" ref="I325">XLOOKUP(COST_BUY_MONTHLY!$C325,TAX!$A$2:$A$3,TAX!$C$2:$C$3)</f>
        <v>0</v>
      </c>
      <c r="J325" s="39">
        <f t="array" ref="J325">XLOOKUP(COST_BUY_MONTHLY!$C325,TAX!$A$2:$A$3,TAX!$D$2:$D$3)</f>
        <v>0.1</v>
      </c>
      <c r="K325" s="35">
        <f t="shared" si="2"/>
        <v>2063.875</v>
      </c>
    </row>
    <row r="326" ht="14.25" customHeight="1">
      <c r="A326" s="33" t="s">
        <v>261</v>
      </c>
      <c r="B326" s="33" t="s">
        <v>74</v>
      </c>
      <c r="C326" s="33" t="s">
        <v>236</v>
      </c>
      <c r="D326" s="35">
        <v>828.24</v>
      </c>
      <c r="E326" s="33">
        <v>20.0</v>
      </c>
      <c r="F326" s="35">
        <f t="array" ref="F326">IF(C326 ="FOB_JP", XLOOKUP(A326,CONTAINER_COST_MONTH!$A$2:$A$13,CONTAINER_COST_MONTH!$B$2:$B$13), 285)</f>
        <v>3456</v>
      </c>
      <c r="G326" s="35">
        <f t="shared" si="1"/>
        <v>172.8</v>
      </c>
      <c r="H326" s="38">
        <f t="array" ref="H326">XLOOKUP(COST_BUY_MONTHLY!$C326,TAX!$A$2:$A$3,TAX!$B$2:$B$3)</f>
        <v>0.002</v>
      </c>
      <c r="I326" s="39">
        <f t="array" ref="I326">XLOOKUP(COST_BUY_MONTHLY!$C326,TAX!$A$2:$A$3,TAX!$C$2:$C$3)</f>
        <v>0.2</v>
      </c>
      <c r="J326" s="39">
        <f t="array" ref="J326">XLOOKUP(COST_BUY_MONTHLY!$C326,TAX!$A$2:$A$3,TAX!$D$2:$D$3)</f>
        <v>0.1</v>
      </c>
      <c r="K326" s="35">
        <f t="shared" si="2"/>
        <v>1324.015546</v>
      </c>
    </row>
    <row r="327" ht="14.25" customHeight="1">
      <c r="A327" s="33" t="s">
        <v>261</v>
      </c>
      <c r="B327" s="33" t="s">
        <v>76</v>
      </c>
      <c r="C327" s="33" t="s">
        <v>236</v>
      </c>
      <c r="D327" s="35">
        <v>3219.85</v>
      </c>
      <c r="E327" s="33">
        <v>50.0</v>
      </c>
      <c r="F327" s="35">
        <f t="array" ref="F327">IF(C327 ="FOB_JP", XLOOKUP(A327,CONTAINER_COST_MONTH!$A$2:$A$13,CONTAINER_COST_MONTH!$B$2:$B$13), 285)</f>
        <v>3456</v>
      </c>
      <c r="G327" s="35">
        <f t="shared" si="1"/>
        <v>69.12</v>
      </c>
      <c r="H327" s="38">
        <f t="array" ref="H327">XLOOKUP(COST_BUY_MONTHLY!$C327,TAX!$A$2:$A$3,TAX!$B$2:$B$3)</f>
        <v>0.002</v>
      </c>
      <c r="I327" s="39">
        <f t="array" ref="I327">XLOOKUP(COST_BUY_MONTHLY!$C327,TAX!$A$2:$A$3,TAX!$C$2:$C$3)</f>
        <v>0.2</v>
      </c>
      <c r="J327" s="39">
        <f t="array" ref="J327">XLOOKUP(COST_BUY_MONTHLY!$C327,TAX!$A$2:$A$3,TAX!$D$2:$D$3)</f>
        <v>0.1</v>
      </c>
      <c r="K327" s="35">
        <f t="shared" si="2"/>
        <v>4350.123281</v>
      </c>
    </row>
    <row r="328" ht="14.25" customHeight="1">
      <c r="A328" s="33" t="s">
        <v>261</v>
      </c>
      <c r="B328" s="33" t="s">
        <v>78</v>
      </c>
      <c r="C328" s="33" t="s">
        <v>236</v>
      </c>
      <c r="D328" s="35">
        <v>664.3</v>
      </c>
      <c r="E328" s="33">
        <v>50.0</v>
      </c>
      <c r="F328" s="35">
        <f t="array" ref="F328">IF(C328 ="FOB_JP", XLOOKUP(A328,CONTAINER_COST_MONTH!$A$2:$A$13,CONTAINER_COST_MONTH!$B$2:$B$13), 285)</f>
        <v>3456</v>
      </c>
      <c r="G328" s="35">
        <f t="shared" si="1"/>
        <v>69.12</v>
      </c>
      <c r="H328" s="38">
        <f t="array" ref="H328">XLOOKUP(COST_BUY_MONTHLY!$C328,TAX!$A$2:$A$3,TAX!$B$2:$B$3)</f>
        <v>0.002</v>
      </c>
      <c r="I328" s="39">
        <f t="array" ref="I328">XLOOKUP(COST_BUY_MONTHLY!$C328,TAX!$A$2:$A$3,TAX!$C$2:$C$3)</f>
        <v>0.2</v>
      </c>
      <c r="J328" s="39">
        <f t="array" ref="J328">XLOOKUP(COST_BUY_MONTHLY!$C328,TAX!$A$2:$A$3,TAX!$D$2:$D$3)</f>
        <v>0.1</v>
      </c>
      <c r="K328" s="35">
        <f t="shared" si="2"/>
        <v>970.0506288</v>
      </c>
    </row>
    <row r="329" ht="14.25" customHeight="1">
      <c r="A329" s="33" t="s">
        <v>261</v>
      </c>
      <c r="B329" s="33" t="s">
        <v>80</v>
      </c>
      <c r="C329" s="33" t="s">
        <v>236</v>
      </c>
      <c r="D329" s="35">
        <v>3383.8</v>
      </c>
      <c r="E329" s="33">
        <v>50.0</v>
      </c>
      <c r="F329" s="35">
        <f t="array" ref="F329">IF(C329 ="FOB_JP", XLOOKUP(A329,CONTAINER_COST_MONTH!$A$2:$A$13,CONTAINER_COST_MONTH!$B$2:$B$13), 285)</f>
        <v>3456</v>
      </c>
      <c r="G329" s="35">
        <f t="shared" si="1"/>
        <v>69.12</v>
      </c>
      <c r="H329" s="38">
        <f t="array" ref="H329">XLOOKUP(COST_BUY_MONTHLY!$C329,TAX!$A$2:$A$3,TAX!$B$2:$B$3)</f>
        <v>0.002</v>
      </c>
      <c r="I329" s="39">
        <f t="array" ref="I329">XLOOKUP(COST_BUY_MONTHLY!$C329,TAX!$A$2:$A$3,TAX!$C$2:$C$3)</f>
        <v>0.2</v>
      </c>
      <c r="J329" s="39">
        <f t="array" ref="J329">XLOOKUP(COST_BUY_MONTHLY!$C329,TAX!$A$2:$A$3,TAX!$D$2:$D$3)</f>
        <v>0.1</v>
      </c>
      <c r="K329" s="35">
        <f t="shared" si="2"/>
        <v>4566.970109</v>
      </c>
    </row>
    <row r="330" ht="14.25" customHeight="1">
      <c r="A330" s="33" t="s">
        <v>261</v>
      </c>
      <c r="B330" s="33" t="s">
        <v>82</v>
      </c>
      <c r="C330" s="33" t="s">
        <v>237</v>
      </c>
      <c r="D330" s="35">
        <v>1056.87</v>
      </c>
      <c r="E330" s="33">
        <v>50.0</v>
      </c>
      <c r="F330" s="35">
        <f t="array" ref="F330">IF(C330 ="FOB_JP", XLOOKUP(A330,CONTAINER_COST_MONTH!$A$2:$A$13,CONTAINER_COST_MONTH!$B$2:$B$13), 285)</f>
        <v>285</v>
      </c>
      <c r="G330" s="35">
        <f t="shared" si="1"/>
        <v>5.7</v>
      </c>
      <c r="H330" s="38">
        <f t="array" ref="H330">XLOOKUP(COST_BUY_MONTHLY!$C330,TAX!$A$2:$A$3,TAX!$B$2:$B$3)</f>
        <v>0</v>
      </c>
      <c r="I330" s="39">
        <f t="array" ref="I330">XLOOKUP(COST_BUY_MONTHLY!$C330,TAX!$A$2:$A$3,TAX!$C$2:$C$3)</f>
        <v>0</v>
      </c>
      <c r="J330" s="39">
        <f t="array" ref="J330">XLOOKUP(COST_BUY_MONTHLY!$C330,TAX!$A$2:$A$3,TAX!$D$2:$D$3)</f>
        <v>0.1</v>
      </c>
      <c r="K330" s="35">
        <f t="shared" si="2"/>
        <v>1168.827</v>
      </c>
    </row>
    <row r="331" ht="14.25" customHeight="1">
      <c r="A331" s="33" t="s">
        <v>261</v>
      </c>
      <c r="B331" s="33" t="s">
        <v>84</v>
      </c>
      <c r="C331" s="33" t="s">
        <v>237</v>
      </c>
      <c r="D331" s="35">
        <v>1116.42</v>
      </c>
      <c r="E331" s="33">
        <v>50.0</v>
      </c>
      <c r="F331" s="35">
        <f t="array" ref="F331">IF(C331 ="FOB_JP", XLOOKUP(A331,CONTAINER_COST_MONTH!$A$2:$A$13,CONTAINER_COST_MONTH!$B$2:$B$13), 285)</f>
        <v>285</v>
      </c>
      <c r="G331" s="35">
        <f t="shared" si="1"/>
        <v>5.7</v>
      </c>
      <c r="H331" s="38">
        <f t="array" ref="H331">XLOOKUP(COST_BUY_MONTHLY!$C331,TAX!$A$2:$A$3,TAX!$B$2:$B$3)</f>
        <v>0</v>
      </c>
      <c r="I331" s="39">
        <f t="array" ref="I331">XLOOKUP(COST_BUY_MONTHLY!$C331,TAX!$A$2:$A$3,TAX!$C$2:$C$3)</f>
        <v>0</v>
      </c>
      <c r="J331" s="39">
        <f t="array" ref="J331">XLOOKUP(COST_BUY_MONTHLY!$C331,TAX!$A$2:$A$3,TAX!$D$2:$D$3)</f>
        <v>0.1</v>
      </c>
      <c r="K331" s="35">
        <f t="shared" si="2"/>
        <v>1234.332</v>
      </c>
    </row>
    <row r="332" ht="14.25" customHeight="1">
      <c r="A332" s="33" t="s">
        <v>261</v>
      </c>
      <c r="B332" s="33" t="s">
        <v>86</v>
      </c>
      <c r="C332" s="33" t="s">
        <v>236</v>
      </c>
      <c r="D332" s="35">
        <v>4221.66</v>
      </c>
      <c r="E332" s="33">
        <v>35.0</v>
      </c>
      <c r="F332" s="35">
        <f t="array" ref="F332">IF(C332 ="FOB_JP", XLOOKUP(A332,CONTAINER_COST_MONTH!$A$2:$A$13,CONTAINER_COST_MONTH!$B$2:$B$13), 285)</f>
        <v>3456</v>
      </c>
      <c r="G332" s="35">
        <f t="shared" si="1"/>
        <v>98.74285714</v>
      </c>
      <c r="H332" s="38">
        <f t="array" ref="H332">XLOOKUP(COST_BUY_MONTHLY!$C332,TAX!$A$2:$A$3,TAX!$B$2:$B$3)</f>
        <v>0.002</v>
      </c>
      <c r="I332" s="39">
        <f t="array" ref="I332">XLOOKUP(COST_BUY_MONTHLY!$C332,TAX!$A$2:$A$3,TAX!$C$2:$C$3)</f>
        <v>0.2</v>
      </c>
      <c r="J332" s="39">
        <f t="array" ref="J332">XLOOKUP(COST_BUY_MONTHLY!$C332,TAX!$A$2:$A$3,TAX!$D$2:$D$3)</f>
        <v>0.1</v>
      </c>
      <c r="K332" s="35">
        <f t="shared" si="2"/>
        <v>5714.337635</v>
      </c>
    </row>
    <row r="333" ht="14.25" customHeight="1">
      <c r="A333" s="33" t="s">
        <v>261</v>
      </c>
      <c r="B333" s="33" t="s">
        <v>88</v>
      </c>
      <c r="C333" s="33" t="s">
        <v>236</v>
      </c>
      <c r="D333" s="35">
        <v>6803.82</v>
      </c>
      <c r="E333" s="33">
        <v>35.0</v>
      </c>
      <c r="F333" s="35">
        <f t="array" ref="F333">IF(C333 ="FOB_JP", XLOOKUP(A333,CONTAINER_COST_MONTH!$A$2:$A$13,CONTAINER_COST_MONTH!$B$2:$B$13), 285)</f>
        <v>3456</v>
      </c>
      <c r="G333" s="35">
        <f t="shared" si="1"/>
        <v>98.74285714</v>
      </c>
      <c r="H333" s="38">
        <f t="array" ref="H333">XLOOKUP(COST_BUY_MONTHLY!$C333,TAX!$A$2:$A$3,TAX!$B$2:$B$3)</f>
        <v>0.002</v>
      </c>
      <c r="I333" s="39">
        <f t="array" ref="I333">XLOOKUP(COST_BUY_MONTHLY!$C333,TAX!$A$2:$A$3,TAX!$C$2:$C$3)</f>
        <v>0.2</v>
      </c>
      <c r="J333" s="39">
        <f t="array" ref="J333">XLOOKUP(COST_BUY_MONTHLY!$C333,TAX!$A$2:$A$3,TAX!$D$2:$D$3)</f>
        <v>0.1</v>
      </c>
      <c r="K333" s="35">
        <f t="shared" si="2"/>
        <v>9129.605737</v>
      </c>
    </row>
    <row r="334" ht="14.25" customHeight="1">
      <c r="A334" s="33" t="s">
        <v>261</v>
      </c>
      <c r="B334" s="33" t="s">
        <v>90</v>
      </c>
      <c r="C334" s="33" t="s">
        <v>237</v>
      </c>
      <c r="D334" s="35">
        <v>4065.72</v>
      </c>
      <c r="E334" s="33">
        <v>35.0</v>
      </c>
      <c r="F334" s="35">
        <f t="array" ref="F334">IF(C334 ="FOB_JP", XLOOKUP(A334,CONTAINER_COST_MONTH!$A$2:$A$13,CONTAINER_COST_MONTH!$B$2:$B$13), 285)</f>
        <v>285</v>
      </c>
      <c r="G334" s="35">
        <f t="shared" si="1"/>
        <v>8.142857143</v>
      </c>
      <c r="H334" s="38">
        <f t="array" ref="H334">XLOOKUP(COST_BUY_MONTHLY!$C334,TAX!$A$2:$A$3,TAX!$B$2:$B$3)</f>
        <v>0</v>
      </c>
      <c r="I334" s="39">
        <f t="array" ref="I334">XLOOKUP(COST_BUY_MONTHLY!$C334,TAX!$A$2:$A$3,TAX!$C$2:$C$3)</f>
        <v>0</v>
      </c>
      <c r="J334" s="39">
        <f t="array" ref="J334">XLOOKUP(COST_BUY_MONTHLY!$C334,TAX!$A$2:$A$3,TAX!$D$2:$D$3)</f>
        <v>0.1</v>
      </c>
      <c r="K334" s="35">
        <f t="shared" si="2"/>
        <v>4481.249143</v>
      </c>
    </row>
    <row r="335" ht="14.25" customHeight="1">
      <c r="A335" s="33" t="s">
        <v>261</v>
      </c>
      <c r="B335" s="33" t="s">
        <v>92</v>
      </c>
      <c r="C335" s="33" t="s">
        <v>237</v>
      </c>
      <c r="D335" s="35">
        <v>2298.9</v>
      </c>
      <c r="E335" s="33">
        <v>35.0</v>
      </c>
      <c r="F335" s="35">
        <f t="array" ref="F335">IF(C335 ="FOB_JP", XLOOKUP(A335,CONTAINER_COST_MONTH!$A$2:$A$13,CONTAINER_COST_MONTH!$B$2:$B$13), 285)</f>
        <v>285</v>
      </c>
      <c r="G335" s="35">
        <f t="shared" si="1"/>
        <v>8.142857143</v>
      </c>
      <c r="H335" s="38">
        <f t="array" ref="H335">XLOOKUP(COST_BUY_MONTHLY!$C335,TAX!$A$2:$A$3,TAX!$B$2:$B$3)</f>
        <v>0</v>
      </c>
      <c r="I335" s="39">
        <f t="array" ref="I335">XLOOKUP(COST_BUY_MONTHLY!$C335,TAX!$A$2:$A$3,TAX!$C$2:$C$3)</f>
        <v>0</v>
      </c>
      <c r="J335" s="39">
        <f t="array" ref="J335">XLOOKUP(COST_BUY_MONTHLY!$C335,TAX!$A$2:$A$3,TAX!$D$2:$D$3)</f>
        <v>0.1</v>
      </c>
      <c r="K335" s="35">
        <f t="shared" si="2"/>
        <v>2537.747143</v>
      </c>
    </row>
    <row r="336" ht="14.25" customHeight="1">
      <c r="A336" s="33" t="s">
        <v>261</v>
      </c>
      <c r="B336" s="33" t="s">
        <v>94</v>
      </c>
      <c r="C336" s="33" t="s">
        <v>236</v>
      </c>
      <c r="D336" s="35">
        <v>5824.76</v>
      </c>
      <c r="E336" s="33">
        <v>14.0</v>
      </c>
      <c r="F336" s="35">
        <f t="array" ref="F336">IF(C336 ="FOB_JP", XLOOKUP(A336,CONTAINER_COST_MONTH!$A$2:$A$13,CONTAINER_COST_MONTH!$B$2:$B$13), 285)</f>
        <v>3456</v>
      </c>
      <c r="G336" s="35">
        <f t="shared" si="1"/>
        <v>246.8571429</v>
      </c>
      <c r="H336" s="38">
        <f t="array" ref="H336">XLOOKUP(COST_BUY_MONTHLY!$C336,TAX!$A$2:$A$3,TAX!$B$2:$B$3)</f>
        <v>0.002</v>
      </c>
      <c r="I336" s="39">
        <f t="array" ref="I336">XLOOKUP(COST_BUY_MONTHLY!$C336,TAX!$A$2:$A$3,TAX!$C$2:$C$3)</f>
        <v>0.2</v>
      </c>
      <c r="J336" s="39">
        <f t="array" ref="J336">XLOOKUP(COST_BUY_MONTHLY!$C336,TAX!$A$2:$A$3,TAX!$D$2:$D$3)</f>
        <v>0.1</v>
      </c>
      <c r="K336" s="35">
        <f t="shared" si="2"/>
        <v>8030.563698</v>
      </c>
    </row>
    <row r="337" ht="14.25" customHeight="1">
      <c r="A337" s="33" t="s">
        <v>261</v>
      </c>
      <c r="B337" s="33" t="s">
        <v>96</v>
      </c>
      <c r="C337" s="33" t="s">
        <v>236</v>
      </c>
      <c r="D337" s="35">
        <v>5200.72</v>
      </c>
      <c r="E337" s="33">
        <v>35.0</v>
      </c>
      <c r="F337" s="35">
        <f t="array" ref="F337">IF(C337 ="FOB_JP", XLOOKUP(A337,CONTAINER_COST_MONTH!$A$2:$A$13,CONTAINER_COST_MONTH!$B$2:$B$13), 285)</f>
        <v>3456</v>
      </c>
      <c r="G337" s="35">
        <f t="shared" si="1"/>
        <v>98.74285714</v>
      </c>
      <c r="H337" s="38">
        <f t="array" ref="H337">XLOOKUP(COST_BUY_MONTHLY!$C337,TAX!$A$2:$A$3,TAX!$B$2:$B$3)</f>
        <v>0.002</v>
      </c>
      <c r="I337" s="39">
        <f t="array" ref="I337">XLOOKUP(COST_BUY_MONTHLY!$C337,TAX!$A$2:$A$3,TAX!$C$2:$C$3)</f>
        <v>0.2</v>
      </c>
      <c r="J337" s="39">
        <f t="array" ref="J337">XLOOKUP(COST_BUY_MONTHLY!$C337,TAX!$A$2:$A$3,TAX!$D$2:$D$3)</f>
        <v>0.1</v>
      </c>
      <c r="K337" s="35">
        <f t="shared" si="2"/>
        <v>7009.281553</v>
      </c>
    </row>
    <row r="338" ht="14.25" customHeight="1">
      <c r="A338" s="33" t="s">
        <v>261</v>
      </c>
      <c r="B338" s="33" t="s">
        <v>98</v>
      </c>
      <c r="C338" s="33" t="s">
        <v>236</v>
      </c>
      <c r="D338" s="35">
        <v>8465.36</v>
      </c>
      <c r="E338" s="33">
        <v>35.0</v>
      </c>
      <c r="F338" s="35">
        <f t="array" ref="F338">IF(C338 ="FOB_JP", XLOOKUP(A338,CONTAINER_COST_MONTH!$A$2:$A$13,CONTAINER_COST_MONTH!$B$2:$B$13), 285)</f>
        <v>3456</v>
      </c>
      <c r="G338" s="35">
        <f t="shared" si="1"/>
        <v>98.74285714</v>
      </c>
      <c r="H338" s="38">
        <f t="array" ref="H338">XLOOKUP(COST_BUY_MONTHLY!$C338,TAX!$A$2:$A$3,TAX!$B$2:$B$3)</f>
        <v>0.002</v>
      </c>
      <c r="I338" s="39">
        <f t="array" ref="I338">XLOOKUP(COST_BUY_MONTHLY!$C338,TAX!$A$2:$A$3,TAX!$C$2:$C$3)</f>
        <v>0.2</v>
      </c>
      <c r="J338" s="39">
        <f t="array" ref="J338">XLOOKUP(COST_BUY_MONTHLY!$C338,TAX!$A$2:$A$3,TAX!$D$2:$D$3)</f>
        <v>0.1</v>
      </c>
      <c r="K338" s="35">
        <f t="shared" si="2"/>
        <v>11327.225</v>
      </c>
    </row>
    <row r="339" ht="14.25" customHeight="1">
      <c r="A339" s="33" t="s">
        <v>261</v>
      </c>
      <c r="B339" s="33" t="s">
        <v>100</v>
      </c>
      <c r="C339" s="33" t="s">
        <v>236</v>
      </c>
      <c r="D339" s="35">
        <v>2560.12</v>
      </c>
      <c r="E339" s="33">
        <v>35.0</v>
      </c>
      <c r="F339" s="35">
        <f t="array" ref="F339">IF(C339 ="FOB_JP", XLOOKUP(A339,CONTAINER_COST_MONTH!$A$2:$A$13,CONTAINER_COST_MONTH!$B$2:$B$13), 285)</f>
        <v>3456</v>
      </c>
      <c r="G339" s="35">
        <f t="shared" si="1"/>
        <v>98.74285714</v>
      </c>
      <c r="H339" s="38">
        <f t="array" ref="H339">XLOOKUP(COST_BUY_MONTHLY!$C339,TAX!$A$2:$A$3,TAX!$B$2:$B$3)</f>
        <v>0.002</v>
      </c>
      <c r="I339" s="39">
        <f t="array" ref="I339">XLOOKUP(COST_BUY_MONTHLY!$C339,TAX!$A$2:$A$3,TAX!$C$2:$C$3)</f>
        <v>0.2</v>
      </c>
      <c r="J339" s="39">
        <f t="array" ref="J339">XLOOKUP(COST_BUY_MONTHLY!$C339,TAX!$A$2:$A$3,TAX!$D$2:$D$3)</f>
        <v>0.1</v>
      </c>
      <c r="K339" s="35">
        <f t="shared" si="2"/>
        <v>3516.718369</v>
      </c>
    </row>
    <row r="340" ht="14.25" customHeight="1">
      <c r="A340" s="33" t="s">
        <v>261</v>
      </c>
      <c r="B340" s="33" t="s">
        <v>102</v>
      </c>
      <c r="C340" s="33" t="s">
        <v>237</v>
      </c>
      <c r="D340" s="35">
        <v>2395.64</v>
      </c>
      <c r="E340" s="33">
        <v>35.0</v>
      </c>
      <c r="F340" s="35">
        <f t="array" ref="F340">IF(C340 ="FOB_JP", XLOOKUP(A340,CONTAINER_COST_MONTH!$A$2:$A$13,CONTAINER_COST_MONTH!$B$2:$B$13), 285)</f>
        <v>285</v>
      </c>
      <c r="G340" s="35">
        <f t="shared" si="1"/>
        <v>8.142857143</v>
      </c>
      <c r="H340" s="38">
        <f t="array" ref="H340">XLOOKUP(COST_BUY_MONTHLY!$C340,TAX!$A$2:$A$3,TAX!$B$2:$B$3)</f>
        <v>0</v>
      </c>
      <c r="I340" s="39">
        <f t="array" ref="I340">XLOOKUP(COST_BUY_MONTHLY!$C340,TAX!$A$2:$A$3,TAX!$C$2:$C$3)</f>
        <v>0</v>
      </c>
      <c r="J340" s="39">
        <f t="array" ref="J340">XLOOKUP(COST_BUY_MONTHLY!$C340,TAX!$A$2:$A$3,TAX!$D$2:$D$3)</f>
        <v>0.1</v>
      </c>
      <c r="K340" s="35">
        <f t="shared" si="2"/>
        <v>2644.161143</v>
      </c>
    </row>
    <row r="341" ht="14.25" customHeight="1">
      <c r="A341" s="33" t="s">
        <v>261</v>
      </c>
      <c r="B341" s="33" t="s">
        <v>104</v>
      </c>
      <c r="C341" s="33" t="s">
        <v>237</v>
      </c>
      <c r="D341" s="35">
        <v>3968.98</v>
      </c>
      <c r="E341" s="33">
        <v>35.0</v>
      </c>
      <c r="F341" s="35">
        <f t="array" ref="F341">IF(C341 ="FOB_JP", XLOOKUP(A341,CONTAINER_COST_MONTH!$A$2:$A$13,CONTAINER_COST_MONTH!$B$2:$B$13), 285)</f>
        <v>285</v>
      </c>
      <c r="G341" s="35">
        <f t="shared" si="1"/>
        <v>8.142857143</v>
      </c>
      <c r="H341" s="38">
        <f t="array" ref="H341">XLOOKUP(COST_BUY_MONTHLY!$C341,TAX!$A$2:$A$3,TAX!$B$2:$B$3)</f>
        <v>0</v>
      </c>
      <c r="I341" s="39">
        <f t="array" ref="I341">XLOOKUP(COST_BUY_MONTHLY!$C341,TAX!$A$2:$A$3,TAX!$C$2:$C$3)</f>
        <v>0</v>
      </c>
      <c r="J341" s="39">
        <f t="array" ref="J341">XLOOKUP(COST_BUY_MONTHLY!$C341,TAX!$A$2:$A$3,TAX!$D$2:$D$3)</f>
        <v>0.1</v>
      </c>
      <c r="K341" s="35">
        <f t="shared" si="2"/>
        <v>4374.835143</v>
      </c>
    </row>
    <row r="342" ht="14.25" customHeight="1">
      <c r="A342" s="33" t="s">
        <v>261</v>
      </c>
      <c r="B342" s="33" t="s">
        <v>106</v>
      </c>
      <c r="C342" s="33" t="s">
        <v>236</v>
      </c>
      <c r="D342" s="35">
        <v>3818.27</v>
      </c>
      <c r="E342" s="33">
        <v>50.0</v>
      </c>
      <c r="F342" s="35">
        <f t="array" ref="F342">IF(C342 ="FOB_JP", XLOOKUP(A342,CONTAINER_COST_MONTH!$A$2:$A$13,CONTAINER_COST_MONTH!$B$2:$B$13), 285)</f>
        <v>3456</v>
      </c>
      <c r="G342" s="35">
        <f t="shared" si="1"/>
        <v>69.12</v>
      </c>
      <c r="H342" s="38">
        <f t="array" ref="H342">XLOOKUP(COST_BUY_MONTHLY!$C342,TAX!$A$2:$A$3,TAX!$B$2:$B$3)</f>
        <v>0.002</v>
      </c>
      <c r="I342" s="39">
        <f t="array" ref="I342">XLOOKUP(COST_BUY_MONTHLY!$C342,TAX!$A$2:$A$3,TAX!$C$2:$C$3)</f>
        <v>0.2</v>
      </c>
      <c r="J342" s="39">
        <f t="array" ref="J342">XLOOKUP(COST_BUY_MONTHLY!$C342,TAX!$A$2:$A$3,TAX!$D$2:$D$3)</f>
        <v>0.1</v>
      </c>
      <c r="K342" s="35">
        <f t="shared" si="2"/>
        <v>5141.61751</v>
      </c>
    </row>
    <row r="343" ht="14.25" customHeight="1">
      <c r="A343" s="33" t="s">
        <v>261</v>
      </c>
      <c r="B343" s="33" t="s">
        <v>108</v>
      </c>
      <c r="C343" s="33" t="s">
        <v>236</v>
      </c>
      <c r="D343" s="35">
        <v>1759.11</v>
      </c>
      <c r="E343" s="33">
        <v>50.0</v>
      </c>
      <c r="F343" s="35">
        <f t="array" ref="F343">IF(C343 ="FOB_JP", XLOOKUP(A343,CONTAINER_COST_MONTH!$A$2:$A$13,CONTAINER_COST_MONTH!$B$2:$B$13), 285)</f>
        <v>3456</v>
      </c>
      <c r="G343" s="35">
        <f t="shared" si="1"/>
        <v>69.12</v>
      </c>
      <c r="H343" s="38">
        <f t="array" ref="H343">XLOOKUP(COST_BUY_MONTHLY!$C343,TAX!$A$2:$A$3,TAX!$B$2:$B$3)</f>
        <v>0.002</v>
      </c>
      <c r="I343" s="39">
        <f t="array" ref="I343">XLOOKUP(COST_BUY_MONTHLY!$C343,TAX!$A$2:$A$3,TAX!$C$2:$C$3)</f>
        <v>0.2</v>
      </c>
      <c r="J343" s="39">
        <f t="array" ref="J343">XLOOKUP(COST_BUY_MONTHLY!$C343,TAX!$A$2:$A$3,TAX!$D$2:$D$3)</f>
        <v>0.1</v>
      </c>
      <c r="K343" s="35">
        <f t="shared" si="2"/>
        <v>2418.090127</v>
      </c>
    </row>
    <row r="344" ht="14.25" customHeight="1">
      <c r="A344" s="33" t="s">
        <v>261</v>
      </c>
      <c r="B344" s="33" t="s">
        <v>110</v>
      </c>
      <c r="C344" s="33" t="s">
        <v>237</v>
      </c>
      <c r="D344" s="35">
        <v>1351.63</v>
      </c>
      <c r="E344" s="33">
        <v>50.0</v>
      </c>
      <c r="F344" s="35">
        <f t="array" ref="F344">IF(C344 ="FOB_JP", XLOOKUP(A344,CONTAINER_COST_MONTH!$A$2:$A$13,CONTAINER_COST_MONTH!$B$2:$B$13), 285)</f>
        <v>285</v>
      </c>
      <c r="G344" s="35">
        <f t="shared" si="1"/>
        <v>5.7</v>
      </c>
      <c r="H344" s="38">
        <f t="array" ref="H344">XLOOKUP(COST_BUY_MONTHLY!$C344,TAX!$A$2:$A$3,TAX!$B$2:$B$3)</f>
        <v>0</v>
      </c>
      <c r="I344" s="39">
        <f t="array" ref="I344">XLOOKUP(COST_BUY_MONTHLY!$C344,TAX!$A$2:$A$3,TAX!$C$2:$C$3)</f>
        <v>0</v>
      </c>
      <c r="J344" s="39">
        <f t="array" ref="J344">XLOOKUP(COST_BUY_MONTHLY!$C344,TAX!$A$2:$A$3,TAX!$D$2:$D$3)</f>
        <v>0.1</v>
      </c>
      <c r="K344" s="35">
        <f t="shared" si="2"/>
        <v>1493.063</v>
      </c>
    </row>
    <row r="345" ht="14.25" customHeight="1">
      <c r="A345" s="33" t="s">
        <v>261</v>
      </c>
      <c r="B345" s="33" t="s">
        <v>112</v>
      </c>
      <c r="C345" s="33" t="s">
        <v>237</v>
      </c>
      <c r="D345" s="35">
        <v>1642.68</v>
      </c>
      <c r="E345" s="33">
        <v>50.0</v>
      </c>
      <c r="F345" s="35">
        <f t="array" ref="F345">IF(C345 ="FOB_JP", XLOOKUP(A345,CONTAINER_COST_MONTH!$A$2:$A$13,CONTAINER_COST_MONTH!$B$2:$B$13), 285)</f>
        <v>285</v>
      </c>
      <c r="G345" s="35">
        <f t="shared" si="1"/>
        <v>5.7</v>
      </c>
      <c r="H345" s="38">
        <f t="array" ref="H345">XLOOKUP(COST_BUY_MONTHLY!$C345,TAX!$A$2:$A$3,TAX!$B$2:$B$3)</f>
        <v>0</v>
      </c>
      <c r="I345" s="39">
        <f t="array" ref="I345">XLOOKUP(COST_BUY_MONTHLY!$C345,TAX!$A$2:$A$3,TAX!$C$2:$C$3)</f>
        <v>0</v>
      </c>
      <c r="J345" s="39">
        <f t="array" ref="J345">XLOOKUP(COST_BUY_MONTHLY!$C345,TAX!$A$2:$A$3,TAX!$D$2:$D$3)</f>
        <v>0.1</v>
      </c>
      <c r="K345" s="35">
        <f t="shared" si="2"/>
        <v>1813.218</v>
      </c>
    </row>
    <row r="346" ht="14.25" customHeight="1">
      <c r="A346" s="33" t="s">
        <v>261</v>
      </c>
      <c r="B346" s="33" t="s">
        <v>114</v>
      </c>
      <c r="C346" s="33" t="s">
        <v>236</v>
      </c>
      <c r="D346" s="35">
        <v>4859.01</v>
      </c>
      <c r="E346" s="33">
        <v>20.0</v>
      </c>
      <c r="F346" s="35">
        <f t="array" ref="F346">IF(C346 ="FOB_JP", XLOOKUP(A346,CONTAINER_COST_MONTH!$A$2:$A$13,CONTAINER_COST_MONTH!$B$2:$B$13), 285)</f>
        <v>3456</v>
      </c>
      <c r="G346" s="35">
        <f t="shared" si="1"/>
        <v>172.8</v>
      </c>
      <c r="H346" s="38">
        <f t="array" ref="H346">XLOOKUP(COST_BUY_MONTHLY!$C346,TAX!$A$2:$A$3,TAX!$B$2:$B$3)</f>
        <v>0.002</v>
      </c>
      <c r="I346" s="39">
        <f t="array" ref="I346">XLOOKUP(COST_BUY_MONTHLY!$C346,TAX!$A$2:$A$3,TAX!$C$2:$C$3)</f>
        <v>0.2</v>
      </c>
      <c r="J346" s="39">
        <f t="array" ref="J346">XLOOKUP(COST_BUY_MONTHLY!$C346,TAX!$A$2:$A$3,TAX!$D$2:$D$3)</f>
        <v>0.1</v>
      </c>
      <c r="K346" s="35">
        <f t="shared" si="2"/>
        <v>6655.273178</v>
      </c>
    </row>
    <row r="347" ht="14.25" customHeight="1">
      <c r="A347" s="33" t="s">
        <v>261</v>
      </c>
      <c r="B347" s="33" t="s">
        <v>116</v>
      </c>
      <c r="C347" s="33" t="s">
        <v>236</v>
      </c>
      <c r="D347" s="35">
        <v>718.36</v>
      </c>
      <c r="E347" s="33">
        <v>50.0</v>
      </c>
      <c r="F347" s="35">
        <f t="array" ref="F347">IF(C347 ="FOB_JP", XLOOKUP(A347,CONTAINER_COST_MONTH!$A$2:$A$13,CONTAINER_COST_MONTH!$B$2:$B$13), 285)</f>
        <v>3456</v>
      </c>
      <c r="G347" s="35">
        <f t="shared" si="1"/>
        <v>69.12</v>
      </c>
      <c r="H347" s="38">
        <f t="array" ref="H347">XLOOKUP(COST_BUY_MONTHLY!$C347,TAX!$A$2:$A$3,TAX!$B$2:$B$3)</f>
        <v>0.002</v>
      </c>
      <c r="I347" s="39">
        <f t="array" ref="I347">XLOOKUP(COST_BUY_MONTHLY!$C347,TAX!$A$2:$A$3,TAX!$C$2:$C$3)</f>
        <v>0.2</v>
      </c>
      <c r="J347" s="39">
        <f t="array" ref="J347">XLOOKUP(COST_BUY_MONTHLY!$C347,TAX!$A$2:$A$3,TAX!$D$2:$D$3)</f>
        <v>0.1</v>
      </c>
      <c r="K347" s="35">
        <f t="shared" si="2"/>
        <v>1041.552547</v>
      </c>
    </row>
    <row r="348" ht="14.25" customHeight="1">
      <c r="A348" s="33" t="s">
        <v>261</v>
      </c>
      <c r="B348" s="33" t="s">
        <v>118</v>
      </c>
      <c r="C348" s="33" t="s">
        <v>236</v>
      </c>
      <c r="D348" s="35">
        <v>2169.04</v>
      </c>
      <c r="E348" s="33">
        <v>50.0</v>
      </c>
      <c r="F348" s="35">
        <f t="array" ref="F348">IF(C348 ="FOB_JP", XLOOKUP(A348,CONTAINER_COST_MONTH!$A$2:$A$13,CONTAINER_COST_MONTH!$B$2:$B$13), 285)</f>
        <v>3456</v>
      </c>
      <c r="G348" s="35">
        <f t="shared" si="1"/>
        <v>69.12</v>
      </c>
      <c r="H348" s="38">
        <f t="array" ref="H348">XLOOKUP(COST_BUY_MONTHLY!$C348,TAX!$A$2:$A$3,TAX!$B$2:$B$3)</f>
        <v>0.002</v>
      </c>
      <c r="I348" s="39">
        <f t="array" ref="I348">XLOOKUP(COST_BUY_MONTHLY!$C348,TAX!$A$2:$A$3,TAX!$C$2:$C$3)</f>
        <v>0.2</v>
      </c>
      <c r="J348" s="39">
        <f t="array" ref="J348">XLOOKUP(COST_BUY_MONTHLY!$C348,TAX!$A$2:$A$3,TAX!$D$2:$D$3)</f>
        <v>0.1</v>
      </c>
      <c r="K348" s="35">
        <f t="shared" si="2"/>
        <v>2960.279942</v>
      </c>
    </row>
    <row r="349" ht="14.25" customHeight="1">
      <c r="A349" s="33" t="s">
        <v>261</v>
      </c>
      <c r="B349" s="33" t="s">
        <v>120</v>
      </c>
      <c r="C349" s="33" t="s">
        <v>236</v>
      </c>
      <c r="D349" s="35">
        <v>3408.33</v>
      </c>
      <c r="E349" s="33">
        <v>50.0</v>
      </c>
      <c r="F349" s="35">
        <f t="array" ref="F349">IF(C349 ="FOB_JP", XLOOKUP(A349,CONTAINER_COST_MONTH!$A$2:$A$13,CONTAINER_COST_MONTH!$B$2:$B$13), 285)</f>
        <v>3456</v>
      </c>
      <c r="G349" s="35">
        <f t="shared" si="1"/>
        <v>69.12</v>
      </c>
      <c r="H349" s="38">
        <f t="array" ref="H349">XLOOKUP(COST_BUY_MONTHLY!$C349,TAX!$A$2:$A$3,TAX!$B$2:$B$3)</f>
        <v>0.002</v>
      </c>
      <c r="I349" s="39">
        <f t="array" ref="I349">XLOOKUP(COST_BUY_MONTHLY!$C349,TAX!$A$2:$A$3,TAX!$C$2:$C$3)</f>
        <v>0.2</v>
      </c>
      <c r="J349" s="39">
        <f t="array" ref="J349">XLOOKUP(COST_BUY_MONTHLY!$C349,TAX!$A$2:$A$3,TAX!$D$2:$D$3)</f>
        <v>0.1</v>
      </c>
      <c r="K349" s="35">
        <f t="shared" si="2"/>
        <v>4599.414468</v>
      </c>
    </row>
    <row r="350" ht="14.25" customHeight="1">
      <c r="A350" s="33" t="s">
        <v>261</v>
      </c>
      <c r="B350" s="33" t="s">
        <v>122</v>
      </c>
      <c r="C350" s="33" t="s">
        <v>237</v>
      </c>
      <c r="D350" s="35">
        <v>647.07</v>
      </c>
      <c r="E350" s="33">
        <v>50.0</v>
      </c>
      <c r="F350" s="35">
        <f t="array" ref="F350">IF(C350 ="FOB_JP", XLOOKUP(A350,CONTAINER_COST_MONTH!$A$2:$A$13,CONTAINER_COST_MONTH!$B$2:$B$13), 285)</f>
        <v>285</v>
      </c>
      <c r="G350" s="35">
        <f t="shared" si="1"/>
        <v>5.7</v>
      </c>
      <c r="H350" s="38">
        <f t="array" ref="H350">XLOOKUP(COST_BUY_MONTHLY!$C350,TAX!$A$2:$A$3,TAX!$B$2:$B$3)</f>
        <v>0</v>
      </c>
      <c r="I350" s="39">
        <f t="array" ref="I350">XLOOKUP(COST_BUY_MONTHLY!$C350,TAX!$A$2:$A$3,TAX!$C$2:$C$3)</f>
        <v>0</v>
      </c>
      <c r="J350" s="39">
        <f t="array" ref="J350">XLOOKUP(COST_BUY_MONTHLY!$C350,TAX!$A$2:$A$3,TAX!$D$2:$D$3)</f>
        <v>0.1</v>
      </c>
      <c r="K350" s="35">
        <f t="shared" si="2"/>
        <v>718.047</v>
      </c>
    </row>
    <row r="351" ht="14.25" customHeight="1">
      <c r="A351" s="33" t="s">
        <v>261</v>
      </c>
      <c r="B351" s="33" t="s">
        <v>124</v>
      </c>
      <c r="C351" s="33" t="s">
        <v>237</v>
      </c>
      <c r="D351" s="35">
        <v>2347.24</v>
      </c>
      <c r="E351" s="33">
        <v>50.0</v>
      </c>
      <c r="F351" s="35">
        <f t="array" ref="F351">IF(C351 ="FOB_JP", XLOOKUP(A351,CONTAINER_COST_MONTH!$A$2:$A$13,CONTAINER_COST_MONTH!$B$2:$B$13), 285)</f>
        <v>285</v>
      </c>
      <c r="G351" s="35">
        <f t="shared" si="1"/>
        <v>5.7</v>
      </c>
      <c r="H351" s="38">
        <f t="array" ref="H351">XLOOKUP(COST_BUY_MONTHLY!$C351,TAX!$A$2:$A$3,TAX!$B$2:$B$3)</f>
        <v>0</v>
      </c>
      <c r="I351" s="39">
        <f t="array" ref="I351">XLOOKUP(COST_BUY_MONTHLY!$C351,TAX!$A$2:$A$3,TAX!$C$2:$C$3)</f>
        <v>0</v>
      </c>
      <c r="J351" s="39">
        <f t="array" ref="J351">XLOOKUP(COST_BUY_MONTHLY!$C351,TAX!$A$2:$A$3,TAX!$D$2:$D$3)</f>
        <v>0.1</v>
      </c>
      <c r="K351" s="35">
        <f t="shared" si="2"/>
        <v>2588.234</v>
      </c>
    </row>
    <row r="352" ht="14.25" customHeight="1">
      <c r="A352" s="33" t="s">
        <v>261</v>
      </c>
      <c r="B352" s="33" t="s">
        <v>126</v>
      </c>
      <c r="C352" s="33" t="s">
        <v>236</v>
      </c>
      <c r="D352" s="35">
        <v>3638.25</v>
      </c>
      <c r="E352" s="33">
        <v>35.0</v>
      </c>
      <c r="F352" s="35">
        <f t="array" ref="F352">IF(C352 ="FOB_JP", XLOOKUP(A352,CONTAINER_COST_MONTH!$A$2:$A$13,CONTAINER_COST_MONTH!$B$2:$B$13), 285)</f>
        <v>3456</v>
      </c>
      <c r="G352" s="35">
        <f t="shared" si="1"/>
        <v>98.74285714</v>
      </c>
      <c r="H352" s="38">
        <f t="array" ref="H352">XLOOKUP(COST_BUY_MONTHLY!$C352,TAX!$A$2:$A$3,TAX!$B$2:$B$3)</f>
        <v>0.002</v>
      </c>
      <c r="I352" s="39">
        <f t="array" ref="I352">XLOOKUP(COST_BUY_MONTHLY!$C352,TAX!$A$2:$A$3,TAX!$C$2:$C$3)</f>
        <v>0.2</v>
      </c>
      <c r="J352" s="39">
        <f t="array" ref="J352">XLOOKUP(COST_BUY_MONTHLY!$C352,TAX!$A$2:$A$3,TAX!$D$2:$D$3)</f>
        <v>0.1</v>
      </c>
      <c r="K352" s="35">
        <f t="shared" si="2"/>
        <v>4942.696233</v>
      </c>
    </row>
    <row r="353" ht="14.25" customHeight="1">
      <c r="A353" s="33" t="s">
        <v>261</v>
      </c>
      <c r="B353" s="33" t="s">
        <v>128</v>
      </c>
      <c r="C353" s="33" t="s">
        <v>236</v>
      </c>
      <c r="D353" s="35">
        <v>5005.73</v>
      </c>
      <c r="E353" s="33">
        <v>35.0</v>
      </c>
      <c r="F353" s="35">
        <f t="array" ref="F353">IF(C353 ="FOB_JP", XLOOKUP(A353,CONTAINER_COST_MONTH!$A$2:$A$13,CONTAINER_COST_MONTH!$B$2:$B$13), 285)</f>
        <v>3456</v>
      </c>
      <c r="G353" s="35">
        <f t="shared" si="1"/>
        <v>98.74285714</v>
      </c>
      <c r="H353" s="38">
        <f t="array" ref="H353">XLOOKUP(COST_BUY_MONTHLY!$C353,TAX!$A$2:$A$3,TAX!$B$2:$B$3)</f>
        <v>0.002</v>
      </c>
      <c r="I353" s="39">
        <f t="array" ref="I353">XLOOKUP(COST_BUY_MONTHLY!$C353,TAX!$A$2:$A$3,TAX!$C$2:$C$3)</f>
        <v>0.2</v>
      </c>
      <c r="J353" s="39">
        <f t="array" ref="J353">XLOOKUP(COST_BUY_MONTHLY!$C353,TAX!$A$2:$A$3,TAX!$D$2:$D$3)</f>
        <v>0.1</v>
      </c>
      <c r="K353" s="35">
        <f t="shared" si="2"/>
        <v>6751.37998</v>
      </c>
    </row>
    <row r="354" ht="14.25" customHeight="1">
      <c r="A354" s="33" t="s">
        <v>261</v>
      </c>
      <c r="B354" s="33" t="s">
        <v>130</v>
      </c>
      <c r="C354" s="33" t="s">
        <v>237</v>
      </c>
      <c r="D354" s="35">
        <v>3760.36</v>
      </c>
      <c r="E354" s="33">
        <v>35.0</v>
      </c>
      <c r="F354" s="35">
        <f t="array" ref="F354">IF(C354 ="FOB_JP", XLOOKUP(A354,CONTAINER_COST_MONTH!$A$2:$A$13,CONTAINER_COST_MONTH!$B$2:$B$13), 285)</f>
        <v>285</v>
      </c>
      <c r="G354" s="35">
        <f t="shared" si="1"/>
        <v>8.142857143</v>
      </c>
      <c r="H354" s="38">
        <f t="array" ref="H354">XLOOKUP(COST_BUY_MONTHLY!$C354,TAX!$A$2:$A$3,TAX!$B$2:$B$3)</f>
        <v>0</v>
      </c>
      <c r="I354" s="39">
        <f t="array" ref="I354">XLOOKUP(COST_BUY_MONTHLY!$C354,TAX!$A$2:$A$3,TAX!$C$2:$C$3)</f>
        <v>0</v>
      </c>
      <c r="J354" s="39">
        <f t="array" ref="J354">XLOOKUP(COST_BUY_MONTHLY!$C354,TAX!$A$2:$A$3,TAX!$D$2:$D$3)</f>
        <v>0.1</v>
      </c>
      <c r="K354" s="35">
        <f t="shared" si="2"/>
        <v>4145.353143</v>
      </c>
    </row>
    <row r="355" ht="14.25" customHeight="1">
      <c r="A355" s="33" t="s">
        <v>261</v>
      </c>
      <c r="B355" s="33" t="s">
        <v>132</v>
      </c>
      <c r="C355" s="33" t="s">
        <v>237</v>
      </c>
      <c r="D355" s="35">
        <v>1229.5</v>
      </c>
      <c r="E355" s="33">
        <v>35.0</v>
      </c>
      <c r="F355" s="35">
        <f t="array" ref="F355">IF(C355 ="FOB_JP", XLOOKUP(A355,CONTAINER_COST_MONTH!$A$2:$A$13,CONTAINER_COST_MONTH!$B$2:$B$13), 285)</f>
        <v>285</v>
      </c>
      <c r="G355" s="35">
        <f t="shared" si="1"/>
        <v>8.142857143</v>
      </c>
      <c r="H355" s="38">
        <f t="array" ref="H355">XLOOKUP(COST_BUY_MONTHLY!$C355,TAX!$A$2:$A$3,TAX!$B$2:$B$3)</f>
        <v>0</v>
      </c>
      <c r="I355" s="39">
        <f t="array" ref="I355">XLOOKUP(COST_BUY_MONTHLY!$C355,TAX!$A$2:$A$3,TAX!$C$2:$C$3)</f>
        <v>0</v>
      </c>
      <c r="J355" s="39">
        <f t="array" ref="J355">XLOOKUP(COST_BUY_MONTHLY!$C355,TAX!$A$2:$A$3,TAX!$D$2:$D$3)</f>
        <v>0.1</v>
      </c>
      <c r="K355" s="35">
        <f t="shared" si="2"/>
        <v>1361.407143</v>
      </c>
    </row>
    <row r="356" ht="14.25" customHeight="1">
      <c r="A356" s="33" t="s">
        <v>261</v>
      </c>
      <c r="B356" s="33" t="s">
        <v>134</v>
      </c>
      <c r="C356" s="33" t="s">
        <v>236</v>
      </c>
      <c r="D356" s="35">
        <v>4169.85</v>
      </c>
      <c r="E356" s="33">
        <v>14.0</v>
      </c>
      <c r="F356" s="35">
        <f t="array" ref="F356">IF(C356 ="FOB_JP", XLOOKUP(A356,CONTAINER_COST_MONTH!$A$2:$A$13,CONTAINER_COST_MONTH!$B$2:$B$13), 285)</f>
        <v>3456</v>
      </c>
      <c r="G356" s="35">
        <f t="shared" si="1"/>
        <v>246.8571429</v>
      </c>
      <c r="H356" s="38">
        <f t="array" ref="H356">XLOOKUP(COST_BUY_MONTHLY!$C356,TAX!$A$2:$A$3,TAX!$B$2:$B$3)</f>
        <v>0.002</v>
      </c>
      <c r="I356" s="39">
        <f t="array" ref="I356">XLOOKUP(COST_BUY_MONTHLY!$C356,TAX!$A$2:$A$3,TAX!$C$2:$C$3)</f>
        <v>0.2</v>
      </c>
      <c r="J356" s="39">
        <f t="array" ref="J356">XLOOKUP(COST_BUY_MONTHLY!$C356,TAX!$A$2:$A$3,TAX!$D$2:$D$3)</f>
        <v>0.1</v>
      </c>
      <c r="K356" s="35">
        <f t="shared" si="2"/>
        <v>5841.713535</v>
      </c>
    </row>
    <row r="357" ht="14.25" customHeight="1">
      <c r="A357" s="33" t="s">
        <v>261</v>
      </c>
      <c r="B357" s="33" t="s">
        <v>136</v>
      </c>
      <c r="C357" s="33" t="s">
        <v>236</v>
      </c>
      <c r="D357" s="35">
        <v>4474.12</v>
      </c>
      <c r="E357" s="33">
        <v>35.0</v>
      </c>
      <c r="F357" s="35">
        <f t="array" ref="F357">IF(C357 ="FOB_JP", XLOOKUP(A357,CONTAINER_COST_MONTH!$A$2:$A$13,CONTAINER_COST_MONTH!$B$2:$B$13), 285)</f>
        <v>3456</v>
      </c>
      <c r="G357" s="35">
        <f t="shared" si="1"/>
        <v>98.74285714</v>
      </c>
      <c r="H357" s="38">
        <f t="array" ref="H357">XLOOKUP(COST_BUY_MONTHLY!$C357,TAX!$A$2:$A$3,TAX!$B$2:$B$3)</f>
        <v>0.002</v>
      </c>
      <c r="I357" s="39">
        <f t="array" ref="I357">XLOOKUP(COST_BUY_MONTHLY!$C357,TAX!$A$2:$A$3,TAX!$C$2:$C$3)</f>
        <v>0.2</v>
      </c>
      <c r="J357" s="39">
        <f t="array" ref="J357">XLOOKUP(COST_BUY_MONTHLY!$C357,TAX!$A$2:$A$3,TAX!$D$2:$D$3)</f>
        <v>0.1</v>
      </c>
      <c r="K357" s="35">
        <f t="shared" si="2"/>
        <v>6048.251329</v>
      </c>
    </row>
    <row r="358" ht="14.25" customHeight="1">
      <c r="A358" s="33" t="s">
        <v>261</v>
      </c>
      <c r="B358" s="33" t="s">
        <v>138</v>
      </c>
      <c r="C358" s="33" t="s">
        <v>236</v>
      </c>
      <c r="D358" s="35">
        <v>1857.59</v>
      </c>
      <c r="E358" s="33">
        <v>35.0</v>
      </c>
      <c r="F358" s="35">
        <f t="array" ref="F358">IF(C358 ="FOB_JP", XLOOKUP(A358,CONTAINER_COST_MONTH!$A$2:$A$13,CONTAINER_COST_MONTH!$B$2:$B$13), 285)</f>
        <v>3456</v>
      </c>
      <c r="G358" s="35">
        <f t="shared" si="1"/>
        <v>98.74285714</v>
      </c>
      <c r="H358" s="38">
        <f t="array" ref="H358">XLOOKUP(COST_BUY_MONTHLY!$C358,TAX!$A$2:$A$3,TAX!$B$2:$B$3)</f>
        <v>0.002</v>
      </c>
      <c r="I358" s="39">
        <f t="array" ref="I358">XLOOKUP(COST_BUY_MONTHLY!$C358,TAX!$A$2:$A$3,TAX!$C$2:$C$3)</f>
        <v>0.2</v>
      </c>
      <c r="J358" s="39">
        <f t="array" ref="J358">XLOOKUP(COST_BUY_MONTHLY!$C358,TAX!$A$2:$A$3,TAX!$D$2:$D$3)</f>
        <v>0.1</v>
      </c>
      <c r="K358" s="35">
        <f t="shared" si="2"/>
        <v>2587.52409</v>
      </c>
    </row>
    <row r="359" ht="14.25" customHeight="1">
      <c r="A359" s="33" t="s">
        <v>261</v>
      </c>
      <c r="B359" s="33" t="s">
        <v>140</v>
      </c>
      <c r="C359" s="33" t="s">
        <v>236</v>
      </c>
      <c r="D359" s="35">
        <v>6786.38</v>
      </c>
      <c r="E359" s="33">
        <v>35.0</v>
      </c>
      <c r="F359" s="35">
        <f t="array" ref="F359">IF(C359 ="FOB_JP", XLOOKUP(A359,CONTAINER_COST_MONTH!$A$2:$A$13,CONTAINER_COST_MONTH!$B$2:$B$13), 285)</f>
        <v>3456</v>
      </c>
      <c r="G359" s="35">
        <f t="shared" si="1"/>
        <v>98.74285714</v>
      </c>
      <c r="H359" s="38">
        <f t="array" ref="H359">XLOOKUP(COST_BUY_MONTHLY!$C359,TAX!$A$2:$A$3,TAX!$B$2:$B$3)</f>
        <v>0.002</v>
      </c>
      <c r="I359" s="39">
        <f t="array" ref="I359">XLOOKUP(COST_BUY_MONTHLY!$C359,TAX!$A$2:$A$3,TAX!$C$2:$C$3)</f>
        <v>0.2</v>
      </c>
      <c r="J359" s="39">
        <f t="array" ref="J359">XLOOKUP(COST_BUY_MONTHLY!$C359,TAX!$A$2:$A$3,TAX!$D$2:$D$3)</f>
        <v>0.1</v>
      </c>
      <c r="K359" s="35">
        <f t="shared" si="2"/>
        <v>9106.538896</v>
      </c>
    </row>
    <row r="360" ht="14.25" customHeight="1">
      <c r="A360" s="33" t="s">
        <v>261</v>
      </c>
      <c r="B360" s="33" t="s">
        <v>142</v>
      </c>
      <c r="C360" s="33" t="s">
        <v>237</v>
      </c>
      <c r="D360" s="35">
        <v>2264.4</v>
      </c>
      <c r="E360" s="33">
        <v>35.0</v>
      </c>
      <c r="F360" s="35">
        <f t="array" ref="F360">IF(C360 ="FOB_JP", XLOOKUP(A360,CONTAINER_COST_MONTH!$A$2:$A$13,CONTAINER_COST_MONTH!$B$2:$B$13), 285)</f>
        <v>285</v>
      </c>
      <c r="G360" s="35">
        <f t="shared" si="1"/>
        <v>8.142857143</v>
      </c>
      <c r="H360" s="38">
        <f t="array" ref="H360">XLOOKUP(COST_BUY_MONTHLY!$C360,TAX!$A$2:$A$3,TAX!$B$2:$B$3)</f>
        <v>0</v>
      </c>
      <c r="I360" s="39">
        <f t="array" ref="I360">XLOOKUP(COST_BUY_MONTHLY!$C360,TAX!$A$2:$A$3,TAX!$C$2:$C$3)</f>
        <v>0</v>
      </c>
      <c r="J360" s="39">
        <f t="array" ref="J360">XLOOKUP(COST_BUY_MONTHLY!$C360,TAX!$A$2:$A$3,TAX!$D$2:$D$3)</f>
        <v>0.1</v>
      </c>
      <c r="K360" s="35">
        <f t="shared" si="2"/>
        <v>2499.797143</v>
      </c>
    </row>
    <row r="361" ht="14.25" customHeight="1">
      <c r="A361" s="33" t="s">
        <v>261</v>
      </c>
      <c r="B361" s="33" t="s">
        <v>144</v>
      </c>
      <c r="C361" s="33" t="s">
        <v>237</v>
      </c>
      <c r="D361" s="35">
        <v>2725.46</v>
      </c>
      <c r="E361" s="33">
        <v>35.0</v>
      </c>
      <c r="F361" s="35">
        <f t="array" ref="F361">IF(C361 ="FOB_JP", XLOOKUP(A361,CONTAINER_COST_MONTH!$A$2:$A$13,CONTAINER_COST_MONTH!$B$2:$B$13), 285)</f>
        <v>285</v>
      </c>
      <c r="G361" s="35">
        <f t="shared" si="1"/>
        <v>8.142857143</v>
      </c>
      <c r="H361" s="38">
        <f t="array" ref="H361">XLOOKUP(COST_BUY_MONTHLY!$C361,TAX!$A$2:$A$3,TAX!$B$2:$B$3)</f>
        <v>0</v>
      </c>
      <c r="I361" s="39">
        <f t="array" ref="I361">XLOOKUP(COST_BUY_MONTHLY!$C361,TAX!$A$2:$A$3,TAX!$C$2:$C$3)</f>
        <v>0</v>
      </c>
      <c r="J361" s="39">
        <f t="array" ref="J361">XLOOKUP(COST_BUY_MONTHLY!$C361,TAX!$A$2:$A$3,TAX!$D$2:$D$3)</f>
        <v>0.1</v>
      </c>
      <c r="K361" s="35">
        <f t="shared" si="2"/>
        <v>3006.963143</v>
      </c>
    </row>
    <row r="362" ht="14.25" customHeight="1">
      <c r="A362" s="33" t="s">
        <v>262</v>
      </c>
      <c r="B362" s="33" t="s">
        <v>11</v>
      </c>
      <c r="C362" s="33" t="s">
        <v>236</v>
      </c>
      <c r="D362" s="35">
        <v>4048.09</v>
      </c>
      <c r="E362" s="33">
        <v>10.0</v>
      </c>
      <c r="F362" s="35">
        <f t="array" ref="F362">IF(C362 ="FOB_JP", XLOOKUP(A362,CONTAINER_COST_MONTH!$A$2:$A$13,CONTAINER_COST_MONTH!$B$2:$B$13), 285)</f>
        <v>3550</v>
      </c>
      <c r="G362" s="35">
        <f t="shared" si="1"/>
        <v>355</v>
      </c>
      <c r="H362" s="38">
        <f t="array" ref="H362">XLOOKUP(COST_BUY_MONTHLY!$C362,TAX!$A$2:$A$3,TAX!$B$2:$B$3)</f>
        <v>0.002</v>
      </c>
      <c r="I362" s="39">
        <f t="array" ref="I362">XLOOKUP(COST_BUY_MONTHLY!$C362,TAX!$A$2:$A$3,TAX!$C$2:$C$3)</f>
        <v>0.2</v>
      </c>
      <c r="J362" s="39">
        <f t="array" ref="J362">XLOOKUP(COST_BUY_MONTHLY!$C362,TAX!$A$2:$A$3,TAX!$D$2:$D$3)</f>
        <v>0.1</v>
      </c>
      <c r="K362" s="35">
        <f t="shared" si="2"/>
        <v>5823.702958</v>
      </c>
    </row>
    <row r="363" ht="14.25" customHeight="1">
      <c r="A363" s="33" t="s">
        <v>262</v>
      </c>
      <c r="B363" s="33" t="s">
        <v>18</v>
      </c>
      <c r="C363" s="33" t="s">
        <v>237</v>
      </c>
      <c r="D363" s="35">
        <v>2173.3</v>
      </c>
      <c r="E363" s="33">
        <v>40.0</v>
      </c>
      <c r="F363" s="35">
        <f t="array" ref="F363">IF(C363 ="FOB_JP", XLOOKUP(A363,CONTAINER_COST_MONTH!$A$2:$A$13,CONTAINER_COST_MONTH!$B$2:$B$13), 285)</f>
        <v>285</v>
      </c>
      <c r="G363" s="35">
        <f t="shared" si="1"/>
        <v>7.125</v>
      </c>
      <c r="H363" s="38">
        <f t="array" ref="H363">XLOOKUP(COST_BUY_MONTHLY!$C363,TAX!$A$2:$A$3,TAX!$B$2:$B$3)</f>
        <v>0</v>
      </c>
      <c r="I363" s="39">
        <f t="array" ref="I363">XLOOKUP(COST_BUY_MONTHLY!$C363,TAX!$A$2:$A$3,TAX!$C$2:$C$3)</f>
        <v>0</v>
      </c>
      <c r="J363" s="39">
        <f t="array" ref="J363">XLOOKUP(COST_BUY_MONTHLY!$C363,TAX!$A$2:$A$3,TAX!$D$2:$D$3)</f>
        <v>0.1</v>
      </c>
      <c r="K363" s="35">
        <f t="shared" si="2"/>
        <v>2398.4675</v>
      </c>
    </row>
    <row r="364" ht="14.25" customHeight="1">
      <c r="A364" s="33" t="s">
        <v>262</v>
      </c>
      <c r="B364" s="33" t="s">
        <v>22</v>
      </c>
      <c r="C364" s="33" t="s">
        <v>236</v>
      </c>
      <c r="D364" s="35">
        <v>4048.09</v>
      </c>
      <c r="E364" s="33">
        <v>20.0</v>
      </c>
      <c r="F364" s="35">
        <f t="array" ref="F364">IF(C364 ="FOB_JP", XLOOKUP(A364,CONTAINER_COST_MONTH!$A$2:$A$13,CONTAINER_COST_MONTH!$B$2:$B$13), 285)</f>
        <v>3550</v>
      </c>
      <c r="G364" s="35">
        <f t="shared" si="1"/>
        <v>177.5</v>
      </c>
      <c r="H364" s="38">
        <f t="array" ref="H364">XLOOKUP(COST_BUY_MONTHLY!$C364,TAX!$A$2:$A$3,TAX!$B$2:$B$3)</f>
        <v>0.002</v>
      </c>
      <c r="I364" s="39">
        <f t="array" ref="I364">XLOOKUP(COST_BUY_MONTHLY!$C364,TAX!$A$2:$A$3,TAX!$C$2:$C$3)</f>
        <v>0.2</v>
      </c>
      <c r="J364" s="39">
        <f t="array" ref="J364">XLOOKUP(COST_BUY_MONTHLY!$C364,TAX!$A$2:$A$3,TAX!$D$2:$D$3)</f>
        <v>0.1</v>
      </c>
      <c r="K364" s="35">
        <f t="shared" si="2"/>
        <v>5588.934358</v>
      </c>
    </row>
    <row r="365" ht="14.25" customHeight="1">
      <c r="A365" s="33" t="s">
        <v>262</v>
      </c>
      <c r="B365" s="33" t="s">
        <v>24</v>
      </c>
      <c r="C365" s="33" t="s">
        <v>236</v>
      </c>
      <c r="D365" s="35">
        <v>4048.09</v>
      </c>
      <c r="E365" s="33">
        <v>15.0</v>
      </c>
      <c r="F365" s="35">
        <f t="array" ref="F365">IF(C365 ="FOB_JP", XLOOKUP(A365,CONTAINER_COST_MONTH!$A$2:$A$13,CONTAINER_COST_MONTH!$B$2:$B$13), 285)</f>
        <v>3550</v>
      </c>
      <c r="G365" s="35">
        <f t="shared" si="1"/>
        <v>236.6666667</v>
      </c>
      <c r="H365" s="38">
        <f t="array" ref="H365">XLOOKUP(COST_BUY_MONTHLY!$C365,TAX!$A$2:$A$3,TAX!$B$2:$B$3)</f>
        <v>0.002</v>
      </c>
      <c r="I365" s="39">
        <f t="array" ref="I365">XLOOKUP(COST_BUY_MONTHLY!$C365,TAX!$A$2:$A$3,TAX!$C$2:$C$3)</f>
        <v>0.2</v>
      </c>
      <c r="J365" s="39">
        <f t="array" ref="J365">XLOOKUP(COST_BUY_MONTHLY!$C365,TAX!$A$2:$A$3,TAX!$D$2:$D$3)</f>
        <v>0.1</v>
      </c>
      <c r="K365" s="35">
        <f t="shared" si="2"/>
        <v>5667.190558</v>
      </c>
    </row>
    <row r="366" ht="14.25" customHeight="1">
      <c r="A366" s="33" t="s">
        <v>262</v>
      </c>
      <c r="B366" s="33" t="s">
        <v>26</v>
      </c>
      <c r="C366" s="33" t="s">
        <v>237</v>
      </c>
      <c r="D366" s="35">
        <v>2173.3</v>
      </c>
      <c r="E366" s="33">
        <v>120.0</v>
      </c>
      <c r="F366" s="35">
        <f t="array" ref="F366">IF(C366 ="FOB_JP", XLOOKUP(A366,CONTAINER_COST_MONTH!$A$2:$A$13,CONTAINER_COST_MONTH!$B$2:$B$13), 285)</f>
        <v>285</v>
      </c>
      <c r="G366" s="35">
        <f t="shared" si="1"/>
        <v>2.375</v>
      </c>
      <c r="H366" s="38">
        <f t="array" ref="H366">XLOOKUP(COST_BUY_MONTHLY!$C366,TAX!$A$2:$A$3,TAX!$B$2:$B$3)</f>
        <v>0</v>
      </c>
      <c r="I366" s="39">
        <f t="array" ref="I366">XLOOKUP(COST_BUY_MONTHLY!$C366,TAX!$A$2:$A$3,TAX!$C$2:$C$3)</f>
        <v>0</v>
      </c>
      <c r="J366" s="39">
        <f t="array" ref="J366">XLOOKUP(COST_BUY_MONTHLY!$C366,TAX!$A$2:$A$3,TAX!$D$2:$D$3)</f>
        <v>0.1</v>
      </c>
      <c r="K366" s="35">
        <f t="shared" si="2"/>
        <v>2393.2425</v>
      </c>
    </row>
    <row r="367" ht="14.25" customHeight="1">
      <c r="A367" s="33" t="s">
        <v>262</v>
      </c>
      <c r="B367" s="33" t="s">
        <v>30</v>
      </c>
      <c r="C367" s="33" t="s">
        <v>236</v>
      </c>
      <c r="D367" s="35">
        <v>11025.48</v>
      </c>
      <c r="E367" s="33">
        <v>7.0</v>
      </c>
      <c r="F367" s="35">
        <f t="array" ref="F367">IF(C367 ="FOB_JP", XLOOKUP(A367,CONTAINER_COST_MONTH!$A$2:$A$13,CONTAINER_COST_MONTH!$B$2:$B$13), 285)</f>
        <v>3550</v>
      </c>
      <c r="G367" s="35">
        <f t="shared" si="1"/>
        <v>507.1428571</v>
      </c>
      <c r="H367" s="38">
        <f t="array" ref="H367">XLOOKUP(COST_BUY_MONTHLY!$C367,TAX!$A$2:$A$3,TAX!$B$2:$B$3)</f>
        <v>0.002</v>
      </c>
      <c r="I367" s="39">
        <f t="array" ref="I367">XLOOKUP(COST_BUY_MONTHLY!$C367,TAX!$A$2:$A$3,TAX!$C$2:$C$3)</f>
        <v>0.2</v>
      </c>
      <c r="J367" s="39">
        <f t="array" ref="J367">XLOOKUP(COST_BUY_MONTHLY!$C367,TAX!$A$2:$A$3,TAX!$D$2:$D$3)</f>
        <v>0.1</v>
      </c>
      <c r="K367" s="35">
        <f t="shared" si="2"/>
        <v>15253.5083</v>
      </c>
    </row>
    <row r="368" ht="14.25" customHeight="1">
      <c r="A368" s="33" t="s">
        <v>262</v>
      </c>
      <c r="B368" s="33" t="s">
        <v>33</v>
      </c>
      <c r="C368" s="33" t="s">
        <v>237</v>
      </c>
      <c r="D368" s="35">
        <v>6364.62</v>
      </c>
      <c r="E368" s="33">
        <v>28.0</v>
      </c>
      <c r="F368" s="35">
        <f t="array" ref="F368">IF(C368 ="FOB_JP", XLOOKUP(A368,CONTAINER_COST_MONTH!$A$2:$A$13,CONTAINER_COST_MONTH!$B$2:$B$13), 285)</f>
        <v>285</v>
      </c>
      <c r="G368" s="35">
        <f t="shared" si="1"/>
        <v>10.17857143</v>
      </c>
      <c r="H368" s="38">
        <f t="array" ref="H368">XLOOKUP(COST_BUY_MONTHLY!$C368,TAX!$A$2:$A$3,TAX!$B$2:$B$3)</f>
        <v>0</v>
      </c>
      <c r="I368" s="39">
        <f t="array" ref="I368">XLOOKUP(COST_BUY_MONTHLY!$C368,TAX!$A$2:$A$3,TAX!$C$2:$C$3)</f>
        <v>0</v>
      </c>
      <c r="J368" s="39">
        <f t="array" ref="J368">XLOOKUP(COST_BUY_MONTHLY!$C368,TAX!$A$2:$A$3,TAX!$D$2:$D$3)</f>
        <v>0.1</v>
      </c>
      <c r="K368" s="35">
        <f t="shared" si="2"/>
        <v>7012.278429</v>
      </c>
    </row>
    <row r="369" ht="14.25" customHeight="1">
      <c r="A369" s="33" t="s">
        <v>262</v>
      </c>
      <c r="B369" s="33" t="s">
        <v>35</v>
      </c>
      <c r="C369" s="33" t="s">
        <v>236</v>
      </c>
      <c r="D369" s="35">
        <v>11025.48</v>
      </c>
      <c r="E369" s="33">
        <v>14.0</v>
      </c>
      <c r="F369" s="35">
        <f t="array" ref="F369">IF(C369 ="FOB_JP", XLOOKUP(A369,CONTAINER_COST_MONTH!$A$2:$A$13,CONTAINER_COST_MONTH!$B$2:$B$13), 285)</f>
        <v>3550</v>
      </c>
      <c r="G369" s="35">
        <f t="shared" si="1"/>
        <v>253.5714286</v>
      </c>
      <c r="H369" s="38">
        <f t="array" ref="H369">XLOOKUP(COST_BUY_MONTHLY!$C369,TAX!$A$2:$A$3,TAX!$B$2:$B$3)</f>
        <v>0.002</v>
      </c>
      <c r="I369" s="39">
        <f t="array" ref="I369">XLOOKUP(COST_BUY_MONTHLY!$C369,TAX!$A$2:$A$3,TAX!$C$2:$C$3)</f>
        <v>0.2</v>
      </c>
      <c r="J369" s="39">
        <f t="array" ref="J369">XLOOKUP(COST_BUY_MONTHLY!$C369,TAX!$A$2:$A$3,TAX!$D$2:$D$3)</f>
        <v>0.1</v>
      </c>
      <c r="K369" s="35">
        <f t="shared" si="2"/>
        <v>14918.12458</v>
      </c>
    </row>
    <row r="370" ht="14.25" customHeight="1">
      <c r="A370" s="33" t="s">
        <v>262</v>
      </c>
      <c r="B370" s="33" t="s">
        <v>37</v>
      </c>
      <c r="C370" s="33" t="s">
        <v>236</v>
      </c>
      <c r="D370" s="35">
        <v>11025.48</v>
      </c>
      <c r="E370" s="33">
        <v>10.0</v>
      </c>
      <c r="F370" s="35">
        <f t="array" ref="F370">IF(C370 ="FOB_JP", XLOOKUP(A370,CONTAINER_COST_MONTH!$A$2:$A$13,CONTAINER_COST_MONTH!$B$2:$B$13), 285)</f>
        <v>3550</v>
      </c>
      <c r="G370" s="35">
        <f t="shared" si="1"/>
        <v>355</v>
      </c>
      <c r="H370" s="38">
        <f t="array" ref="H370">XLOOKUP(COST_BUY_MONTHLY!$C370,TAX!$A$2:$A$3,TAX!$B$2:$B$3)</f>
        <v>0.002</v>
      </c>
      <c r="I370" s="39">
        <f t="array" ref="I370">XLOOKUP(COST_BUY_MONTHLY!$C370,TAX!$A$2:$A$3,TAX!$C$2:$C$3)</f>
        <v>0.2</v>
      </c>
      <c r="J370" s="39">
        <f t="array" ref="J370">XLOOKUP(COST_BUY_MONTHLY!$C370,TAX!$A$2:$A$3,TAX!$D$2:$D$3)</f>
        <v>0.1</v>
      </c>
      <c r="K370" s="35">
        <f t="shared" si="2"/>
        <v>15052.27807</v>
      </c>
    </row>
    <row r="371" ht="14.25" customHeight="1">
      <c r="A371" s="33" t="s">
        <v>262</v>
      </c>
      <c r="B371" s="33" t="s">
        <v>39</v>
      </c>
      <c r="C371" s="33" t="s">
        <v>237</v>
      </c>
      <c r="D371" s="35">
        <v>6364.62</v>
      </c>
      <c r="E371" s="33">
        <v>84.0</v>
      </c>
      <c r="F371" s="35">
        <f t="array" ref="F371">IF(C371 ="FOB_JP", XLOOKUP(A371,CONTAINER_COST_MONTH!$A$2:$A$13,CONTAINER_COST_MONTH!$B$2:$B$13), 285)</f>
        <v>285</v>
      </c>
      <c r="G371" s="35">
        <f t="shared" si="1"/>
        <v>3.392857143</v>
      </c>
      <c r="H371" s="38">
        <f t="array" ref="H371">XLOOKUP(COST_BUY_MONTHLY!$C371,TAX!$A$2:$A$3,TAX!$B$2:$B$3)</f>
        <v>0</v>
      </c>
      <c r="I371" s="39">
        <f t="array" ref="I371">XLOOKUP(COST_BUY_MONTHLY!$C371,TAX!$A$2:$A$3,TAX!$C$2:$C$3)</f>
        <v>0</v>
      </c>
      <c r="J371" s="39">
        <f t="array" ref="J371">XLOOKUP(COST_BUY_MONTHLY!$C371,TAX!$A$2:$A$3,TAX!$D$2:$D$3)</f>
        <v>0.1</v>
      </c>
      <c r="K371" s="35">
        <f t="shared" si="2"/>
        <v>7004.814143</v>
      </c>
    </row>
    <row r="372" ht="14.25" customHeight="1">
      <c r="A372" s="33" t="s">
        <v>262</v>
      </c>
      <c r="B372" s="33" t="s">
        <v>42</v>
      </c>
      <c r="C372" s="33" t="s">
        <v>236</v>
      </c>
      <c r="D372" s="35">
        <v>5577.37</v>
      </c>
      <c r="E372" s="33">
        <v>10.0</v>
      </c>
      <c r="F372" s="35">
        <f t="array" ref="F372">IF(C372 ="FOB_JP", XLOOKUP(A372,CONTAINER_COST_MONTH!$A$2:$A$13,CONTAINER_COST_MONTH!$B$2:$B$13), 285)</f>
        <v>3550</v>
      </c>
      <c r="G372" s="35">
        <f t="shared" si="1"/>
        <v>355</v>
      </c>
      <c r="H372" s="38">
        <f t="array" ref="H372">XLOOKUP(COST_BUY_MONTHLY!$C372,TAX!$A$2:$A$3,TAX!$B$2:$B$3)</f>
        <v>0.002</v>
      </c>
      <c r="I372" s="39">
        <f t="array" ref="I372">XLOOKUP(COST_BUY_MONTHLY!$C372,TAX!$A$2:$A$3,TAX!$C$2:$C$3)</f>
        <v>0.2</v>
      </c>
      <c r="J372" s="39">
        <f t="array" ref="J372">XLOOKUP(COST_BUY_MONTHLY!$C372,TAX!$A$2:$A$3,TAX!$D$2:$D$3)</f>
        <v>0.1</v>
      </c>
      <c r="K372" s="35">
        <f t="shared" si="2"/>
        <v>7846.389857</v>
      </c>
    </row>
    <row r="373" ht="14.25" customHeight="1">
      <c r="A373" s="33" t="s">
        <v>262</v>
      </c>
      <c r="B373" s="33" t="s">
        <v>45</v>
      </c>
      <c r="C373" s="33" t="s">
        <v>237</v>
      </c>
      <c r="D373" s="35">
        <v>2994.32</v>
      </c>
      <c r="E373" s="33">
        <v>40.0</v>
      </c>
      <c r="F373" s="35">
        <f t="array" ref="F373">IF(C373 ="FOB_JP", XLOOKUP(A373,CONTAINER_COST_MONTH!$A$2:$A$13,CONTAINER_COST_MONTH!$B$2:$B$13), 285)</f>
        <v>285</v>
      </c>
      <c r="G373" s="35">
        <f t="shared" si="1"/>
        <v>7.125</v>
      </c>
      <c r="H373" s="38">
        <f t="array" ref="H373">XLOOKUP(COST_BUY_MONTHLY!$C373,TAX!$A$2:$A$3,TAX!$B$2:$B$3)</f>
        <v>0</v>
      </c>
      <c r="I373" s="39">
        <f t="array" ref="I373">XLOOKUP(COST_BUY_MONTHLY!$C373,TAX!$A$2:$A$3,TAX!$C$2:$C$3)</f>
        <v>0</v>
      </c>
      <c r="J373" s="39">
        <f t="array" ref="J373">XLOOKUP(COST_BUY_MONTHLY!$C373,TAX!$A$2:$A$3,TAX!$D$2:$D$3)</f>
        <v>0.1</v>
      </c>
      <c r="K373" s="35">
        <f t="shared" si="2"/>
        <v>3301.5895</v>
      </c>
    </row>
    <row r="374" ht="14.25" customHeight="1">
      <c r="A374" s="33" t="s">
        <v>262</v>
      </c>
      <c r="B374" s="33" t="s">
        <v>47</v>
      </c>
      <c r="C374" s="33" t="s">
        <v>236</v>
      </c>
      <c r="D374" s="35">
        <v>5577.37</v>
      </c>
      <c r="E374" s="33">
        <v>20.0</v>
      </c>
      <c r="F374" s="35">
        <f t="array" ref="F374">IF(C374 ="FOB_JP", XLOOKUP(A374,CONTAINER_COST_MONTH!$A$2:$A$13,CONTAINER_COST_MONTH!$B$2:$B$13), 285)</f>
        <v>3550</v>
      </c>
      <c r="G374" s="35">
        <f t="shared" si="1"/>
        <v>177.5</v>
      </c>
      <c r="H374" s="38">
        <f t="array" ref="H374">XLOOKUP(COST_BUY_MONTHLY!$C374,TAX!$A$2:$A$3,TAX!$B$2:$B$3)</f>
        <v>0.002</v>
      </c>
      <c r="I374" s="39">
        <f t="array" ref="I374">XLOOKUP(COST_BUY_MONTHLY!$C374,TAX!$A$2:$A$3,TAX!$C$2:$C$3)</f>
        <v>0.2</v>
      </c>
      <c r="J374" s="39">
        <f t="array" ref="J374">XLOOKUP(COST_BUY_MONTHLY!$C374,TAX!$A$2:$A$3,TAX!$D$2:$D$3)</f>
        <v>0.1</v>
      </c>
      <c r="K374" s="35">
        <f t="shared" si="2"/>
        <v>7611.621257</v>
      </c>
    </row>
    <row r="375" ht="14.25" customHeight="1">
      <c r="A375" s="33" t="s">
        <v>262</v>
      </c>
      <c r="B375" s="33" t="s">
        <v>49</v>
      </c>
      <c r="C375" s="33" t="s">
        <v>236</v>
      </c>
      <c r="D375" s="35">
        <v>5577.37</v>
      </c>
      <c r="E375" s="33">
        <v>15.0</v>
      </c>
      <c r="F375" s="35">
        <f t="array" ref="F375">IF(C375 ="FOB_JP", XLOOKUP(A375,CONTAINER_COST_MONTH!$A$2:$A$13,CONTAINER_COST_MONTH!$B$2:$B$13), 285)</f>
        <v>3550</v>
      </c>
      <c r="G375" s="35">
        <f t="shared" si="1"/>
        <v>236.6666667</v>
      </c>
      <c r="H375" s="38">
        <f t="array" ref="H375">XLOOKUP(COST_BUY_MONTHLY!$C375,TAX!$A$2:$A$3,TAX!$B$2:$B$3)</f>
        <v>0.002</v>
      </c>
      <c r="I375" s="39">
        <f t="array" ref="I375">XLOOKUP(COST_BUY_MONTHLY!$C375,TAX!$A$2:$A$3,TAX!$C$2:$C$3)</f>
        <v>0.2</v>
      </c>
      <c r="J375" s="39">
        <f t="array" ref="J375">XLOOKUP(COST_BUY_MONTHLY!$C375,TAX!$A$2:$A$3,TAX!$D$2:$D$3)</f>
        <v>0.1</v>
      </c>
      <c r="K375" s="35">
        <f t="shared" si="2"/>
        <v>7689.877457</v>
      </c>
    </row>
    <row r="376" ht="14.25" customHeight="1">
      <c r="A376" s="33" t="s">
        <v>262</v>
      </c>
      <c r="B376" s="33" t="s">
        <v>51</v>
      </c>
      <c r="C376" s="33" t="s">
        <v>237</v>
      </c>
      <c r="D376" s="35">
        <v>2994.32</v>
      </c>
      <c r="E376" s="33">
        <v>120.0</v>
      </c>
      <c r="F376" s="35">
        <f t="array" ref="F376">IF(C376 ="FOB_JP", XLOOKUP(A376,CONTAINER_COST_MONTH!$A$2:$A$13,CONTAINER_COST_MONTH!$B$2:$B$13), 285)</f>
        <v>285</v>
      </c>
      <c r="G376" s="35">
        <f t="shared" si="1"/>
        <v>2.375</v>
      </c>
      <c r="H376" s="38">
        <f t="array" ref="H376">XLOOKUP(COST_BUY_MONTHLY!$C376,TAX!$A$2:$A$3,TAX!$B$2:$B$3)</f>
        <v>0</v>
      </c>
      <c r="I376" s="39">
        <f t="array" ref="I376">XLOOKUP(COST_BUY_MONTHLY!$C376,TAX!$A$2:$A$3,TAX!$C$2:$C$3)</f>
        <v>0</v>
      </c>
      <c r="J376" s="39">
        <f t="array" ref="J376">XLOOKUP(COST_BUY_MONTHLY!$C376,TAX!$A$2:$A$3,TAX!$D$2:$D$3)</f>
        <v>0.1</v>
      </c>
      <c r="K376" s="35">
        <f t="shared" si="2"/>
        <v>3296.3645</v>
      </c>
    </row>
    <row r="377" ht="14.25" customHeight="1">
      <c r="A377" s="33" t="s">
        <v>262</v>
      </c>
      <c r="B377" s="33" t="s">
        <v>54</v>
      </c>
      <c r="C377" s="33" t="s">
        <v>236</v>
      </c>
      <c r="D377" s="35">
        <v>8643.97</v>
      </c>
      <c r="E377" s="33">
        <v>7.0</v>
      </c>
      <c r="F377" s="35">
        <f t="array" ref="F377">IF(C377 ="FOB_JP", XLOOKUP(A377,CONTAINER_COST_MONTH!$A$2:$A$13,CONTAINER_COST_MONTH!$B$2:$B$13), 285)</f>
        <v>3550</v>
      </c>
      <c r="G377" s="35">
        <f t="shared" si="1"/>
        <v>507.1428571</v>
      </c>
      <c r="H377" s="38">
        <f t="array" ref="H377">XLOOKUP(COST_BUY_MONTHLY!$C377,TAX!$A$2:$A$3,TAX!$B$2:$B$3)</f>
        <v>0.002</v>
      </c>
      <c r="I377" s="39">
        <f t="array" ref="I377">XLOOKUP(COST_BUY_MONTHLY!$C377,TAX!$A$2:$A$3,TAX!$C$2:$C$3)</f>
        <v>0.2</v>
      </c>
      <c r="J377" s="39">
        <f t="array" ref="J377">XLOOKUP(COST_BUY_MONTHLY!$C377,TAX!$A$2:$A$3,TAX!$D$2:$D$3)</f>
        <v>0.1</v>
      </c>
      <c r="K377" s="35">
        <f t="shared" si="2"/>
        <v>12103.62791</v>
      </c>
    </row>
    <row r="378" ht="14.25" customHeight="1">
      <c r="A378" s="33" t="s">
        <v>262</v>
      </c>
      <c r="B378" s="33" t="s">
        <v>57</v>
      </c>
      <c r="C378" s="33" t="s">
        <v>237</v>
      </c>
      <c r="D378" s="35">
        <v>4989.86</v>
      </c>
      <c r="E378" s="33">
        <v>28.0</v>
      </c>
      <c r="F378" s="35">
        <f t="array" ref="F378">IF(C378 ="FOB_JP", XLOOKUP(A378,CONTAINER_COST_MONTH!$A$2:$A$13,CONTAINER_COST_MONTH!$B$2:$B$13), 285)</f>
        <v>285</v>
      </c>
      <c r="G378" s="35">
        <f t="shared" si="1"/>
        <v>10.17857143</v>
      </c>
      <c r="H378" s="38">
        <f t="array" ref="H378">XLOOKUP(COST_BUY_MONTHLY!$C378,TAX!$A$2:$A$3,TAX!$B$2:$B$3)</f>
        <v>0</v>
      </c>
      <c r="I378" s="39">
        <f t="array" ref="I378">XLOOKUP(COST_BUY_MONTHLY!$C378,TAX!$A$2:$A$3,TAX!$C$2:$C$3)</f>
        <v>0</v>
      </c>
      <c r="J378" s="39">
        <f t="array" ref="J378">XLOOKUP(COST_BUY_MONTHLY!$C378,TAX!$A$2:$A$3,TAX!$D$2:$D$3)</f>
        <v>0.1</v>
      </c>
      <c r="K378" s="35">
        <f t="shared" si="2"/>
        <v>5500.042429</v>
      </c>
    </row>
    <row r="379" ht="14.25" customHeight="1">
      <c r="A379" s="33" t="s">
        <v>262</v>
      </c>
      <c r="B379" s="33" t="s">
        <v>59</v>
      </c>
      <c r="C379" s="33" t="s">
        <v>236</v>
      </c>
      <c r="D379" s="35">
        <v>8643.97</v>
      </c>
      <c r="E379" s="33">
        <v>14.0</v>
      </c>
      <c r="F379" s="35">
        <f t="array" ref="F379">IF(C379 ="FOB_JP", XLOOKUP(A379,CONTAINER_COST_MONTH!$A$2:$A$13,CONTAINER_COST_MONTH!$B$2:$B$13), 285)</f>
        <v>3550</v>
      </c>
      <c r="G379" s="35">
        <f t="shared" si="1"/>
        <v>253.5714286</v>
      </c>
      <c r="H379" s="38">
        <f t="array" ref="H379">XLOOKUP(COST_BUY_MONTHLY!$C379,TAX!$A$2:$A$3,TAX!$B$2:$B$3)</f>
        <v>0.002</v>
      </c>
      <c r="I379" s="39">
        <f t="array" ref="I379">XLOOKUP(COST_BUY_MONTHLY!$C379,TAX!$A$2:$A$3,TAX!$C$2:$C$3)</f>
        <v>0.2</v>
      </c>
      <c r="J379" s="39">
        <f t="array" ref="J379">XLOOKUP(COST_BUY_MONTHLY!$C379,TAX!$A$2:$A$3,TAX!$D$2:$D$3)</f>
        <v>0.1</v>
      </c>
      <c r="K379" s="35">
        <f t="shared" si="2"/>
        <v>11768.2442</v>
      </c>
    </row>
    <row r="380" ht="14.25" customHeight="1">
      <c r="A380" s="33" t="s">
        <v>262</v>
      </c>
      <c r="B380" s="33" t="s">
        <v>61</v>
      </c>
      <c r="C380" s="33" t="s">
        <v>236</v>
      </c>
      <c r="D380" s="35">
        <v>8643.97</v>
      </c>
      <c r="E380" s="33">
        <v>10.0</v>
      </c>
      <c r="F380" s="35">
        <f t="array" ref="F380">IF(C380 ="FOB_JP", XLOOKUP(A380,CONTAINER_COST_MONTH!$A$2:$A$13,CONTAINER_COST_MONTH!$B$2:$B$13), 285)</f>
        <v>3550</v>
      </c>
      <c r="G380" s="35">
        <f t="shared" si="1"/>
        <v>355</v>
      </c>
      <c r="H380" s="38">
        <f t="array" ref="H380">XLOOKUP(COST_BUY_MONTHLY!$C380,TAX!$A$2:$A$3,TAX!$B$2:$B$3)</f>
        <v>0.002</v>
      </c>
      <c r="I380" s="39">
        <f t="array" ref="I380">XLOOKUP(COST_BUY_MONTHLY!$C380,TAX!$A$2:$A$3,TAX!$C$2:$C$3)</f>
        <v>0.2</v>
      </c>
      <c r="J380" s="39">
        <f t="array" ref="J380">XLOOKUP(COST_BUY_MONTHLY!$C380,TAX!$A$2:$A$3,TAX!$D$2:$D$3)</f>
        <v>0.1</v>
      </c>
      <c r="K380" s="35">
        <f t="shared" si="2"/>
        <v>11902.39768</v>
      </c>
    </row>
    <row r="381" ht="14.25" customHeight="1">
      <c r="A381" s="33" t="s">
        <v>262</v>
      </c>
      <c r="B381" s="33" t="s">
        <v>63</v>
      </c>
      <c r="C381" s="33" t="s">
        <v>237</v>
      </c>
      <c r="D381" s="35">
        <v>4989.86</v>
      </c>
      <c r="E381" s="33">
        <v>84.0</v>
      </c>
      <c r="F381" s="35">
        <f t="array" ref="F381">IF(C381 ="FOB_JP", XLOOKUP(A381,CONTAINER_COST_MONTH!$A$2:$A$13,CONTAINER_COST_MONTH!$B$2:$B$13), 285)</f>
        <v>285</v>
      </c>
      <c r="G381" s="35">
        <f t="shared" si="1"/>
        <v>3.392857143</v>
      </c>
      <c r="H381" s="38">
        <f t="array" ref="H381">XLOOKUP(COST_BUY_MONTHLY!$C381,TAX!$A$2:$A$3,TAX!$B$2:$B$3)</f>
        <v>0</v>
      </c>
      <c r="I381" s="39">
        <f t="array" ref="I381">XLOOKUP(COST_BUY_MONTHLY!$C381,TAX!$A$2:$A$3,TAX!$C$2:$C$3)</f>
        <v>0</v>
      </c>
      <c r="J381" s="39">
        <f t="array" ref="J381">XLOOKUP(COST_BUY_MONTHLY!$C381,TAX!$A$2:$A$3,TAX!$D$2:$D$3)</f>
        <v>0.1</v>
      </c>
      <c r="K381" s="35">
        <f t="shared" si="2"/>
        <v>5492.578143</v>
      </c>
    </row>
    <row r="382" ht="14.25" customHeight="1">
      <c r="A382" s="33" t="s">
        <v>262</v>
      </c>
      <c r="B382" s="33" t="s">
        <v>65</v>
      </c>
      <c r="C382" s="33" t="s">
        <v>236</v>
      </c>
      <c r="D382" s="35">
        <v>1056.55</v>
      </c>
      <c r="E382" s="33">
        <v>50.0</v>
      </c>
      <c r="F382" s="35">
        <f t="array" ref="F382">IF(C382 ="FOB_JP", XLOOKUP(A382,CONTAINER_COST_MONTH!$A$2:$A$13,CONTAINER_COST_MONTH!$B$2:$B$13), 285)</f>
        <v>3550</v>
      </c>
      <c r="G382" s="35">
        <f t="shared" si="1"/>
        <v>71</v>
      </c>
      <c r="H382" s="38">
        <f t="array" ref="H382">XLOOKUP(COST_BUY_MONTHLY!$C382,TAX!$A$2:$A$3,TAX!$B$2:$B$3)</f>
        <v>0.002</v>
      </c>
      <c r="I382" s="39">
        <f t="array" ref="I382">XLOOKUP(COST_BUY_MONTHLY!$C382,TAX!$A$2:$A$3,TAX!$C$2:$C$3)</f>
        <v>0.2</v>
      </c>
      <c r="J382" s="39">
        <f t="array" ref="J382">XLOOKUP(COST_BUY_MONTHLY!$C382,TAX!$A$2:$A$3,TAX!$D$2:$D$3)</f>
        <v>0.1</v>
      </c>
      <c r="K382" s="35">
        <f t="shared" si="2"/>
        <v>1491.342732</v>
      </c>
    </row>
    <row r="383" ht="14.25" customHeight="1">
      <c r="A383" s="33" t="s">
        <v>262</v>
      </c>
      <c r="B383" s="33" t="s">
        <v>67</v>
      </c>
      <c r="C383" s="33" t="s">
        <v>236</v>
      </c>
      <c r="D383" s="35">
        <v>2991.54</v>
      </c>
      <c r="E383" s="33">
        <v>50.0</v>
      </c>
      <c r="F383" s="35">
        <f t="array" ref="F383">IF(C383 ="FOB_JP", XLOOKUP(A383,CONTAINER_COST_MONTH!$A$2:$A$13,CONTAINER_COST_MONTH!$B$2:$B$13), 285)</f>
        <v>3550</v>
      </c>
      <c r="G383" s="35">
        <f t="shared" si="1"/>
        <v>71</v>
      </c>
      <c r="H383" s="38">
        <f t="array" ref="H383">XLOOKUP(COST_BUY_MONTHLY!$C383,TAX!$A$2:$A$3,TAX!$B$2:$B$3)</f>
        <v>0.002</v>
      </c>
      <c r="I383" s="39">
        <f t="array" ref="I383">XLOOKUP(COST_BUY_MONTHLY!$C383,TAX!$A$2:$A$3,TAX!$C$2:$C$3)</f>
        <v>0.2</v>
      </c>
      <c r="J383" s="39">
        <f t="array" ref="J383">XLOOKUP(COST_BUY_MONTHLY!$C383,TAX!$A$2:$A$3,TAX!$D$2:$D$3)</f>
        <v>0.1</v>
      </c>
      <c r="K383" s="35">
        <f t="shared" si="2"/>
        <v>4050.637906</v>
      </c>
    </row>
    <row r="384" ht="14.25" customHeight="1">
      <c r="A384" s="33" t="s">
        <v>262</v>
      </c>
      <c r="B384" s="33" t="s">
        <v>70</v>
      </c>
      <c r="C384" s="33" t="s">
        <v>237</v>
      </c>
      <c r="D384" s="35">
        <v>302.74</v>
      </c>
      <c r="E384" s="33">
        <v>50.0</v>
      </c>
      <c r="F384" s="35">
        <f t="array" ref="F384">IF(C384 ="FOB_JP", XLOOKUP(A384,CONTAINER_COST_MONTH!$A$2:$A$13,CONTAINER_COST_MONTH!$B$2:$B$13), 285)</f>
        <v>285</v>
      </c>
      <c r="G384" s="35">
        <f t="shared" si="1"/>
        <v>5.7</v>
      </c>
      <c r="H384" s="38">
        <f t="array" ref="H384">XLOOKUP(COST_BUY_MONTHLY!$C384,TAX!$A$2:$A$3,TAX!$B$2:$B$3)</f>
        <v>0</v>
      </c>
      <c r="I384" s="39">
        <f t="array" ref="I384">XLOOKUP(COST_BUY_MONTHLY!$C384,TAX!$A$2:$A$3,TAX!$C$2:$C$3)</f>
        <v>0</v>
      </c>
      <c r="J384" s="39">
        <f t="array" ref="J384">XLOOKUP(COST_BUY_MONTHLY!$C384,TAX!$A$2:$A$3,TAX!$D$2:$D$3)</f>
        <v>0.1</v>
      </c>
      <c r="K384" s="35">
        <f t="shared" si="2"/>
        <v>339.284</v>
      </c>
    </row>
    <row r="385" ht="14.25" customHeight="1">
      <c r="A385" s="33" t="s">
        <v>262</v>
      </c>
      <c r="B385" s="33" t="s">
        <v>72</v>
      </c>
      <c r="C385" s="33" t="s">
        <v>237</v>
      </c>
      <c r="D385" s="35">
        <v>1870.55</v>
      </c>
      <c r="E385" s="33">
        <v>50.0</v>
      </c>
      <c r="F385" s="35">
        <f t="array" ref="F385">IF(C385 ="FOB_JP", XLOOKUP(A385,CONTAINER_COST_MONTH!$A$2:$A$13,CONTAINER_COST_MONTH!$B$2:$B$13), 285)</f>
        <v>285</v>
      </c>
      <c r="G385" s="35">
        <f t="shared" si="1"/>
        <v>5.7</v>
      </c>
      <c r="H385" s="38">
        <f t="array" ref="H385">XLOOKUP(COST_BUY_MONTHLY!$C385,TAX!$A$2:$A$3,TAX!$B$2:$B$3)</f>
        <v>0</v>
      </c>
      <c r="I385" s="39">
        <f t="array" ref="I385">XLOOKUP(COST_BUY_MONTHLY!$C385,TAX!$A$2:$A$3,TAX!$C$2:$C$3)</f>
        <v>0</v>
      </c>
      <c r="J385" s="39">
        <f t="array" ref="J385">XLOOKUP(COST_BUY_MONTHLY!$C385,TAX!$A$2:$A$3,TAX!$D$2:$D$3)</f>
        <v>0.1</v>
      </c>
      <c r="K385" s="35">
        <f t="shared" si="2"/>
        <v>2063.875</v>
      </c>
    </row>
    <row r="386" ht="14.25" customHeight="1">
      <c r="A386" s="33" t="s">
        <v>262</v>
      </c>
      <c r="B386" s="33" t="s">
        <v>74</v>
      </c>
      <c r="C386" s="33" t="s">
        <v>236</v>
      </c>
      <c r="D386" s="35">
        <v>828.24</v>
      </c>
      <c r="E386" s="33">
        <v>20.0</v>
      </c>
      <c r="F386" s="35">
        <f t="array" ref="F386">IF(C386 ="FOB_JP", XLOOKUP(A386,CONTAINER_COST_MONTH!$A$2:$A$13,CONTAINER_COST_MONTH!$B$2:$B$13), 285)</f>
        <v>3550</v>
      </c>
      <c r="G386" s="35">
        <f t="shared" si="1"/>
        <v>177.5</v>
      </c>
      <c r="H386" s="38">
        <f t="array" ref="H386">XLOOKUP(COST_BUY_MONTHLY!$C386,TAX!$A$2:$A$3,TAX!$B$2:$B$3)</f>
        <v>0.002</v>
      </c>
      <c r="I386" s="39">
        <f t="array" ref="I386">XLOOKUP(COST_BUY_MONTHLY!$C386,TAX!$A$2:$A$3,TAX!$C$2:$C$3)</f>
        <v>0.2</v>
      </c>
      <c r="J386" s="39">
        <f t="array" ref="J386">XLOOKUP(COST_BUY_MONTHLY!$C386,TAX!$A$2:$A$3,TAX!$D$2:$D$3)</f>
        <v>0.1</v>
      </c>
      <c r="K386" s="35">
        <f t="shared" si="2"/>
        <v>1330.231954</v>
      </c>
    </row>
    <row r="387" ht="14.25" customHeight="1">
      <c r="A387" s="33" t="s">
        <v>262</v>
      </c>
      <c r="B387" s="33" t="s">
        <v>76</v>
      </c>
      <c r="C387" s="33" t="s">
        <v>236</v>
      </c>
      <c r="D387" s="35">
        <v>3219.85</v>
      </c>
      <c r="E387" s="33">
        <v>50.0</v>
      </c>
      <c r="F387" s="35">
        <f t="array" ref="F387">IF(C387 ="FOB_JP", XLOOKUP(A387,CONTAINER_COST_MONTH!$A$2:$A$13,CONTAINER_COST_MONTH!$B$2:$B$13), 285)</f>
        <v>3550</v>
      </c>
      <c r="G387" s="35">
        <f t="shared" si="1"/>
        <v>71</v>
      </c>
      <c r="H387" s="38">
        <f t="array" ref="H387">XLOOKUP(COST_BUY_MONTHLY!$C387,TAX!$A$2:$A$3,TAX!$B$2:$B$3)</f>
        <v>0.002</v>
      </c>
      <c r="I387" s="39">
        <f t="array" ref="I387">XLOOKUP(COST_BUY_MONTHLY!$C387,TAX!$A$2:$A$3,TAX!$C$2:$C$3)</f>
        <v>0.2</v>
      </c>
      <c r="J387" s="39">
        <f t="array" ref="J387">XLOOKUP(COST_BUY_MONTHLY!$C387,TAX!$A$2:$A$3,TAX!$D$2:$D$3)</f>
        <v>0.1</v>
      </c>
      <c r="K387" s="35">
        <f t="shared" si="2"/>
        <v>4352.609844</v>
      </c>
    </row>
    <row r="388" ht="14.25" customHeight="1">
      <c r="A388" s="33" t="s">
        <v>262</v>
      </c>
      <c r="B388" s="33" t="s">
        <v>78</v>
      </c>
      <c r="C388" s="33" t="s">
        <v>236</v>
      </c>
      <c r="D388" s="35">
        <v>664.3</v>
      </c>
      <c r="E388" s="33">
        <v>50.0</v>
      </c>
      <c r="F388" s="35">
        <f t="array" ref="F388">IF(C388 ="FOB_JP", XLOOKUP(A388,CONTAINER_COST_MONTH!$A$2:$A$13,CONTAINER_COST_MONTH!$B$2:$B$13), 285)</f>
        <v>3550</v>
      </c>
      <c r="G388" s="35">
        <f t="shared" si="1"/>
        <v>71</v>
      </c>
      <c r="H388" s="38">
        <f t="array" ref="H388">XLOOKUP(COST_BUY_MONTHLY!$C388,TAX!$A$2:$A$3,TAX!$B$2:$B$3)</f>
        <v>0.002</v>
      </c>
      <c r="I388" s="39">
        <f t="array" ref="I388">XLOOKUP(COST_BUY_MONTHLY!$C388,TAX!$A$2:$A$3,TAX!$C$2:$C$3)</f>
        <v>0.2</v>
      </c>
      <c r="J388" s="39">
        <f t="array" ref="J388">XLOOKUP(COST_BUY_MONTHLY!$C388,TAX!$A$2:$A$3,TAX!$D$2:$D$3)</f>
        <v>0.1</v>
      </c>
      <c r="K388" s="35">
        <f t="shared" si="2"/>
        <v>972.537192</v>
      </c>
    </row>
    <row r="389" ht="14.25" customHeight="1">
      <c r="A389" s="33" t="s">
        <v>262</v>
      </c>
      <c r="B389" s="33" t="s">
        <v>80</v>
      </c>
      <c r="C389" s="33" t="s">
        <v>236</v>
      </c>
      <c r="D389" s="35">
        <v>3383.8</v>
      </c>
      <c r="E389" s="33">
        <v>50.0</v>
      </c>
      <c r="F389" s="35">
        <f t="array" ref="F389">IF(C389 ="FOB_JP", XLOOKUP(A389,CONTAINER_COST_MONTH!$A$2:$A$13,CONTAINER_COST_MONTH!$B$2:$B$13), 285)</f>
        <v>3550</v>
      </c>
      <c r="G389" s="35">
        <f t="shared" si="1"/>
        <v>71</v>
      </c>
      <c r="H389" s="38">
        <f t="array" ref="H389">XLOOKUP(COST_BUY_MONTHLY!$C389,TAX!$A$2:$A$3,TAX!$B$2:$B$3)</f>
        <v>0.002</v>
      </c>
      <c r="I389" s="39">
        <f t="array" ref="I389">XLOOKUP(COST_BUY_MONTHLY!$C389,TAX!$A$2:$A$3,TAX!$C$2:$C$3)</f>
        <v>0.2</v>
      </c>
      <c r="J389" s="39">
        <f t="array" ref="J389">XLOOKUP(COST_BUY_MONTHLY!$C389,TAX!$A$2:$A$3,TAX!$D$2:$D$3)</f>
        <v>0.1</v>
      </c>
      <c r="K389" s="35">
        <f t="shared" si="2"/>
        <v>4569.456672</v>
      </c>
    </row>
    <row r="390" ht="14.25" customHeight="1">
      <c r="A390" s="33" t="s">
        <v>262</v>
      </c>
      <c r="B390" s="33" t="s">
        <v>82</v>
      </c>
      <c r="C390" s="33" t="s">
        <v>237</v>
      </c>
      <c r="D390" s="35">
        <v>1056.87</v>
      </c>
      <c r="E390" s="33">
        <v>50.0</v>
      </c>
      <c r="F390" s="35">
        <f t="array" ref="F390">IF(C390 ="FOB_JP", XLOOKUP(A390,CONTAINER_COST_MONTH!$A$2:$A$13,CONTAINER_COST_MONTH!$B$2:$B$13), 285)</f>
        <v>285</v>
      </c>
      <c r="G390" s="35">
        <f t="shared" si="1"/>
        <v>5.7</v>
      </c>
      <c r="H390" s="38">
        <f t="array" ref="H390">XLOOKUP(COST_BUY_MONTHLY!$C390,TAX!$A$2:$A$3,TAX!$B$2:$B$3)</f>
        <v>0</v>
      </c>
      <c r="I390" s="39">
        <f t="array" ref="I390">XLOOKUP(COST_BUY_MONTHLY!$C390,TAX!$A$2:$A$3,TAX!$C$2:$C$3)</f>
        <v>0</v>
      </c>
      <c r="J390" s="39">
        <f t="array" ref="J390">XLOOKUP(COST_BUY_MONTHLY!$C390,TAX!$A$2:$A$3,TAX!$D$2:$D$3)</f>
        <v>0.1</v>
      </c>
      <c r="K390" s="35">
        <f t="shared" si="2"/>
        <v>1168.827</v>
      </c>
    </row>
    <row r="391" ht="14.25" customHeight="1">
      <c r="A391" s="33" t="s">
        <v>262</v>
      </c>
      <c r="B391" s="33" t="s">
        <v>84</v>
      </c>
      <c r="C391" s="33" t="s">
        <v>237</v>
      </c>
      <c r="D391" s="35">
        <v>1116.42</v>
      </c>
      <c r="E391" s="33">
        <v>50.0</v>
      </c>
      <c r="F391" s="35">
        <f t="array" ref="F391">IF(C391 ="FOB_JP", XLOOKUP(A391,CONTAINER_COST_MONTH!$A$2:$A$13,CONTAINER_COST_MONTH!$B$2:$B$13), 285)</f>
        <v>285</v>
      </c>
      <c r="G391" s="35">
        <f t="shared" si="1"/>
        <v>5.7</v>
      </c>
      <c r="H391" s="38">
        <f t="array" ref="H391">XLOOKUP(COST_BUY_MONTHLY!$C391,TAX!$A$2:$A$3,TAX!$B$2:$B$3)</f>
        <v>0</v>
      </c>
      <c r="I391" s="39">
        <f t="array" ref="I391">XLOOKUP(COST_BUY_MONTHLY!$C391,TAX!$A$2:$A$3,TAX!$C$2:$C$3)</f>
        <v>0</v>
      </c>
      <c r="J391" s="39">
        <f t="array" ref="J391">XLOOKUP(COST_BUY_MONTHLY!$C391,TAX!$A$2:$A$3,TAX!$D$2:$D$3)</f>
        <v>0.1</v>
      </c>
      <c r="K391" s="35">
        <f t="shared" si="2"/>
        <v>1234.332</v>
      </c>
    </row>
    <row r="392" ht="14.25" customHeight="1">
      <c r="A392" s="33" t="s">
        <v>262</v>
      </c>
      <c r="B392" s="33" t="s">
        <v>86</v>
      </c>
      <c r="C392" s="33" t="s">
        <v>236</v>
      </c>
      <c r="D392" s="35">
        <v>4221.66</v>
      </c>
      <c r="E392" s="33">
        <v>35.0</v>
      </c>
      <c r="F392" s="35">
        <f t="array" ref="F392">IF(C392 ="FOB_JP", XLOOKUP(A392,CONTAINER_COST_MONTH!$A$2:$A$13,CONTAINER_COST_MONTH!$B$2:$B$13), 285)</f>
        <v>3550</v>
      </c>
      <c r="G392" s="35">
        <f t="shared" si="1"/>
        <v>101.4285714</v>
      </c>
      <c r="H392" s="38">
        <f t="array" ref="H392">XLOOKUP(COST_BUY_MONTHLY!$C392,TAX!$A$2:$A$3,TAX!$B$2:$B$3)</f>
        <v>0.002</v>
      </c>
      <c r="I392" s="39">
        <f t="array" ref="I392">XLOOKUP(COST_BUY_MONTHLY!$C392,TAX!$A$2:$A$3,TAX!$C$2:$C$3)</f>
        <v>0.2</v>
      </c>
      <c r="J392" s="39">
        <f t="array" ref="J392">XLOOKUP(COST_BUY_MONTHLY!$C392,TAX!$A$2:$A$3,TAX!$D$2:$D$3)</f>
        <v>0.1</v>
      </c>
      <c r="K392" s="35">
        <f t="shared" si="2"/>
        <v>5717.889868</v>
      </c>
    </row>
    <row r="393" ht="14.25" customHeight="1">
      <c r="A393" s="33" t="s">
        <v>262</v>
      </c>
      <c r="B393" s="33" t="s">
        <v>88</v>
      </c>
      <c r="C393" s="33" t="s">
        <v>236</v>
      </c>
      <c r="D393" s="35">
        <v>6803.82</v>
      </c>
      <c r="E393" s="33">
        <v>35.0</v>
      </c>
      <c r="F393" s="35">
        <f t="array" ref="F393">IF(C393 ="FOB_JP", XLOOKUP(A393,CONTAINER_COST_MONTH!$A$2:$A$13,CONTAINER_COST_MONTH!$B$2:$B$13), 285)</f>
        <v>3550</v>
      </c>
      <c r="G393" s="35">
        <f t="shared" si="1"/>
        <v>101.4285714</v>
      </c>
      <c r="H393" s="38">
        <f t="array" ref="H393">XLOOKUP(COST_BUY_MONTHLY!$C393,TAX!$A$2:$A$3,TAX!$B$2:$B$3)</f>
        <v>0.002</v>
      </c>
      <c r="I393" s="39">
        <f t="array" ref="I393">XLOOKUP(COST_BUY_MONTHLY!$C393,TAX!$A$2:$A$3,TAX!$C$2:$C$3)</f>
        <v>0.2</v>
      </c>
      <c r="J393" s="39">
        <f t="array" ref="J393">XLOOKUP(COST_BUY_MONTHLY!$C393,TAX!$A$2:$A$3,TAX!$D$2:$D$3)</f>
        <v>0.1</v>
      </c>
      <c r="K393" s="35">
        <f t="shared" si="2"/>
        <v>9133.157971</v>
      </c>
    </row>
    <row r="394" ht="14.25" customHeight="1">
      <c r="A394" s="33" t="s">
        <v>262</v>
      </c>
      <c r="B394" s="33" t="s">
        <v>90</v>
      </c>
      <c r="C394" s="33" t="s">
        <v>237</v>
      </c>
      <c r="D394" s="35">
        <v>4065.72</v>
      </c>
      <c r="E394" s="33">
        <v>35.0</v>
      </c>
      <c r="F394" s="35">
        <f t="array" ref="F394">IF(C394 ="FOB_JP", XLOOKUP(A394,CONTAINER_COST_MONTH!$A$2:$A$13,CONTAINER_COST_MONTH!$B$2:$B$13), 285)</f>
        <v>285</v>
      </c>
      <c r="G394" s="35">
        <f t="shared" si="1"/>
        <v>8.142857143</v>
      </c>
      <c r="H394" s="38">
        <f t="array" ref="H394">XLOOKUP(COST_BUY_MONTHLY!$C394,TAX!$A$2:$A$3,TAX!$B$2:$B$3)</f>
        <v>0</v>
      </c>
      <c r="I394" s="39">
        <f t="array" ref="I394">XLOOKUP(COST_BUY_MONTHLY!$C394,TAX!$A$2:$A$3,TAX!$C$2:$C$3)</f>
        <v>0</v>
      </c>
      <c r="J394" s="39">
        <f t="array" ref="J394">XLOOKUP(COST_BUY_MONTHLY!$C394,TAX!$A$2:$A$3,TAX!$D$2:$D$3)</f>
        <v>0.1</v>
      </c>
      <c r="K394" s="35">
        <f t="shared" si="2"/>
        <v>4481.249143</v>
      </c>
    </row>
    <row r="395" ht="14.25" customHeight="1">
      <c r="A395" s="33" t="s">
        <v>262</v>
      </c>
      <c r="B395" s="33" t="s">
        <v>92</v>
      </c>
      <c r="C395" s="33" t="s">
        <v>237</v>
      </c>
      <c r="D395" s="35">
        <v>2298.9</v>
      </c>
      <c r="E395" s="33">
        <v>35.0</v>
      </c>
      <c r="F395" s="35">
        <f t="array" ref="F395">IF(C395 ="FOB_JP", XLOOKUP(A395,CONTAINER_COST_MONTH!$A$2:$A$13,CONTAINER_COST_MONTH!$B$2:$B$13), 285)</f>
        <v>285</v>
      </c>
      <c r="G395" s="35">
        <f t="shared" si="1"/>
        <v>8.142857143</v>
      </c>
      <c r="H395" s="38">
        <f t="array" ref="H395">XLOOKUP(COST_BUY_MONTHLY!$C395,TAX!$A$2:$A$3,TAX!$B$2:$B$3)</f>
        <v>0</v>
      </c>
      <c r="I395" s="39">
        <f t="array" ref="I395">XLOOKUP(COST_BUY_MONTHLY!$C395,TAX!$A$2:$A$3,TAX!$C$2:$C$3)</f>
        <v>0</v>
      </c>
      <c r="J395" s="39">
        <f t="array" ref="J395">XLOOKUP(COST_BUY_MONTHLY!$C395,TAX!$A$2:$A$3,TAX!$D$2:$D$3)</f>
        <v>0.1</v>
      </c>
      <c r="K395" s="35">
        <f t="shared" si="2"/>
        <v>2537.747143</v>
      </c>
    </row>
    <row r="396" ht="14.25" customHeight="1">
      <c r="A396" s="33" t="s">
        <v>262</v>
      </c>
      <c r="B396" s="33" t="s">
        <v>94</v>
      </c>
      <c r="C396" s="33" t="s">
        <v>236</v>
      </c>
      <c r="D396" s="35">
        <v>5824.76</v>
      </c>
      <c r="E396" s="33">
        <v>14.0</v>
      </c>
      <c r="F396" s="35">
        <f t="array" ref="F396">IF(C396 ="FOB_JP", XLOOKUP(A396,CONTAINER_COST_MONTH!$A$2:$A$13,CONTAINER_COST_MONTH!$B$2:$B$13), 285)</f>
        <v>3550</v>
      </c>
      <c r="G396" s="35">
        <f t="shared" si="1"/>
        <v>253.5714286</v>
      </c>
      <c r="H396" s="38">
        <f t="array" ref="H396">XLOOKUP(COST_BUY_MONTHLY!$C396,TAX!$A$2:$A$3,TAX!$B$2:$B$3)</f>
        <v>0.002</v>
      </c>
      <c r="I396" s="39">
        <f t="array" ref="I396">XLOOKUP(COST_BUY_MONTHLY!$C396,TAX!$A$2:$A$3,TAX!$C$2:$C$3)</f>
        <v>0.2</v>
      </c>
      <c r="J396" s="39">
        <f t="array" ref="J396">XLOOKUP(COST_BUY_MONTHLY!$C396,TAX!$A$2:$A$3,TAX!$D$2:$D$3)</f>
        <v>0.1</v>
      </c>
      <c r="K396" s="35">
        <f t="shared" si="2"/>
        <v>8039.444281</v>
      </c>
    </row>
    <row r="397" ht="14.25" customHeight="1">
      <c r="A397" s="33" t="s">
        <v>262</v>
      </c>
      <c r="B397" s="33" t="s">
        <v>96</v>
      </c>
      <c r="C397" s="33" t="s">
        <v>236</v>
      </c>
      <c r="D397" s="35">
        <v>5200.72</v>
      </c>
      <c r="E397" s="33">
        <v>35.0</v>
      </c>
      <c r="F397" s="35">
        <f t="array" ref="F397">IF(C397 ="FOB_JP", XLOOKUP(A397,CONTAINER_COST_MONTH!$A$2:$A$13,CONTAINER_COST_MONTH!$B$2:$B$13), 285)</f>
        <v>3550</v>
      </c>
      <c r="G397" s="35">
        <f t="shared" si="1"/>
        <v>101.4285714</v>
      </c>
      <c r="H397" s="38">
        <f t="array" ref="H397">XLOOKUP(COST_BUY_MONTHLY!$C397,TAX!$A$2:$A$3,TAX!$B$2:$B$3)</f>
        <v>0.002</v>
      </c>
      <c r="I397" s="39">
        <f t="array" ref="I397">XLOOKUP(COST_BUY_MONTHLY!$C397,TAX!$A$2:$A$3,TAX!$C$2:$C$3)</f>
        <v>0.2</v>
      </c>
      <c r="J397" s="39">
        <f t="array" ref="J397">XLOOKUP(COST_BUY_MONTHLY!$C397,TAX!$A$2:$A$3,TAX!$D$2:$D$3)</f>
        <v>0.1</v>
      </c>
      <c r="K397" s="35">
        <f t="shared" si="2"/>
        <v>7012.833787</v>
      </c>
    </row>
    <row r="398" ht="14.25" customHeight="1">
      <c r="A398" s="33" t="s">
        <v>262</v>
      </c>
      <c r="B398" s="33" t="s">
        <v>98</v>
      </c>
      <c r="C398" s="33" t="s">
        <v>236</v>
      </c>
      <c r="D398" s="35">
        <v>8465.36</v>
      </c>
      <c r="E398" s="33">
        <v>35.0</v>
      </c>
      <c r="F398" s="35">
        <f t="array" ref="F398">IF(C398 ="FOB_JP", XLOOKUP(A398,CONTAINER_COST_MONTH!$A$2:$A$13,CONTAINER_COST_MONTH!$B$2:$B$13), 285)</f>
        <v>3550</v>
      </c>
      <c r="G398" s="35">
        <f t="shared" si="1"/>
        <v>101.4285714</v>
      </c>
      <c r="H398" s="38">
        <f t="array" ref="H398">XLOOKUP(COST_BUY_MONTHLY!$C398,TAX!$A$2:$A$3,TAX!$B$2:$B$3)</f>
        <v>0.002</v>
      </c>
      <c r="I398" s="39">
        <f t="array" ref="I398">XLOOKUP(COST_BUY_MONTHLY!$C398,TAX!$A$2:$A$3,TAX!$C$2:$C$3)</f>
        <v>0.2</v>
      </c>
      <c r="J398" s="39">
        <f t="array" ref="J398">XLOOKUP(COST_BUY_MONTHLY!$C398,TAX!$A$2:$A$3,TAX!$D$2:$D$3)</f>
        <v>0.1</v>
      </c>
      <c r="K398" s="35">
        <f t="shared" si="2"/>
        <v>11330.77724</v>
      </c>
    </row>
    <row r="399" ht="14.25" customHeight="1">
      <c r="A399" s="33" t="s">
        <v>262</v>
      </c>
      <c r="B399" s="33" t="s">
        <v>100</v>
      </c>
      <c r="C399" s="33" t="s">
        <v>236</v>
      </c>
      <c r="D399" s="35">
        <v>2560.12</v>
      </c>
      <c r="E399" s="33">
        <v>35.0</v>
      </c>
      <c r="F399" s="35">
        <f t="array" ref="F399">IF(C399 ="FOB_JP", XLOOKUP(A399,CONTAINER_COST_MONTH!$A$2:$A$13,CONTAINER_COST_MONTH!$B$2:$B$13), 285)</f>
        <v>3550</v>
      </c>
      <c r="G399" s="35">
        <f t="shared" si="1"/>
        <v>101.4285714</v>
      </c>
      <c r="H399" s="38">
        <f t="array" ref="H399">XLOOKUP(COST_BUY_MONTHLY!$C399,TAX!$A$2:$A$3,TAX!$B$2:$B$3)</f>
        <v>0.002</v>
      </c>
      <c r="I399" s="39">
        <f t="array" ref="I399">XLOOKUP(COST_BUY_MONTHLY!$C399,TAX!$A$2:$A$3,TAX!$C$2:$C$3)</f>
        <v>0.2</v>
      </c>
      <c r="J399" s="39">
        <f t="array" ref="J399">XLOOKUP(COST_BUY_MONTHLY!$C399,TAX!$A$2:$A$3,TAX!$D$2:$D$3)</f>
        <v>0.1</v>
      </c>
      <c r="K399" s="35">
        <f t="shared" si="2"/>
        <v>3520.270603</v>
      </c>
    </row>
    <row r="400" ht="14.25" customHeight="1">
      <c r="A400" s="33" t="s">
        <v>262</v>
      </c>
      <c r="B400" s="33" t="s">
        <v>102</v>
      </c>
      <c r="C400" s="33" t="s">
        <v>237</v>
      </c>
      <c r="D400" s="35">
        <v>2395.64</v>
      </c>
      <c r="E400" s="33">
        <v>35.0</v>
      </c>
      <c r="F400" s="35">
        <f t="array" ref="F400">IF(C400 ="FOB_JP", XLOOKUP(A400,CONTAINER_COST_MONTH!$A$2:$A$13,CONTAINER_COST_MONTH!$B$2:$B$13), 285)</f>
        <v>285</v>
      </c>
      <c r="G400" s="35">
        <f t="shared" si="1"/>
        <v>8.142857143</v>
      </c>
      <c r="H400" s="38">
        <f t="array" ref="H400">XLOOKUP(COST_BUY_MONTHLY!$C400,TAX!$A$2:$A$3,TAX!$B$2:$B$3)</f>
        <v>0</v>
      </c>
      <c r="I400" s="39">
        <f t="array" ref="I400">XLOOKUP(COST_BUY_MONTHLY!$C400,TAX!$A$2:$A$3,TAX!$C$2:$C$3)</f>
        <v>0</v>
      </c>
      <c r="J400" s="39">
        <f t="array" ref="J400">XLOOKUP(COST_BUY_MONTHLY!$C400,TAX!$A$2:$A$3,TAX!$D$2:$D$3)</f>
        <v>0.1</v>
      </c>
      <c r="K400" s="35">
        <f t="shared" si="2"/>
        <v>2644.161143</v>
      </c>
    </row>
    <row r="401" ht="14.25" customHeight="1">
      <c r="A401" s="33" t="s">
        <v>262</v>
      </c>
      <c r="B401" s="33" t="s">
        <v>104</v>
      </c>
      <c r="C401" s="33" t="s">
        <v>237</v>
      </c>
      <c r="D401" s="35">
        <v>3968.98</v>
      </c>
      <c r="E401" s="33">
        <v>35.0</v>
      </c>
      <c r="F401" s="35">
        <f t="array" ref="F401">IF(C401 ="FOB_JP", XLOOKUP(A401,CONTAINER_COST_MONTH!$A$2:$A$13,CONTAINER_COST_MONTH!$B$2:$B$13), 285)</f>
        <v>285</v>
      </c>
      <c r="G401" s="35">
        <f t="shared" si="1"/>
        <v>8.142857143</v>
      </c>
      <c r="H401" s="38">
        <f t="array" ref="H401">XLOOKUP(COST_BUY_MONTHLY!$C401,TAX!$A$2:$A$3,TAX!$B$2:$B$3)</f>
        <v>0</v>
      </c>
      <c r="I401" s="39">
        <f t="array" ref="I401">XLOOKUP(COST_BUY_MONTHLY!$C401,TAX!$A$2:$A$3,TAX!$C$2:$C$3)</f>
        <v>0</v>
      </c>
      <c r="J401" s="39">
        <f t="array" ref="J401">XLOOKUP(COST_BUY_MONTHLY!$C401,TAX!$A$2:$A$3,TAX!$D$2:$D$3)</f>
        <v>0.1</v>
      </c>
      <c r="K401" s="35">
        <f t="shared" si="2"/>
        <v>4374.835143</v>
      </c>
    </row>
    <row r="402" ht="14.25" customHeight="1">
      <c r="A402" s="33" t="s">
        <v>262</v>
      </c>
      <c r="B402" s="33" t="s">
        <v>106</v>
      </c>
      <c r="C402" s="33" t="s">
        <v>236</v>
      </c>
      <c r="D402" s="35">
        <v>3818.27</v>
      </c>
      <c r="E402" s="33">
        <v>50.0</v>
      </c>
      <c r="F402" s="35">
        <f t="array" ref="F402">IF(C402 ="FOB_JP", XLOOKUP(A402,CONTAINER_COST_MONTH!$A$2:$A$13,CONTAINER_COST_MONTH!$B$2:$B$13), 285)</f>
        <v>3550</v>
      </c>
      <c r="G402" s="35">
        <f t="shared" si="1"/>
        <v>71</v>
      </c>
      <c r="H402" s="38">
        <f t="array" ref="H402">XLOOKUP(COST_BUY_MONTHLY!$C402,TAX!$A$2:$A$3,TAX!$B$2:$B$3)</f>
        <v>0.002</v>
      </c>
      <c r="I402" s="39">
        <f t="array" ref="I402">XLOOKUP(COST_BUY_MONTHLY!$C402,TAX!$A$2:$A$3,TAX!$C$2:$C$3)</f>
        <v>0.2</v>
      </c>
      <c r="J402" s="39">
        <f t="array" ref="J402">XLOOKUP(COST_BUY_MONTHLY!$C402,TAX!$A$2:$A$3,TAX!$D$2:$D$3)</f>
        <v>0.1</v>
      </c>
      <c r="K402" s="35">
        <f t="shared" si="2"/>
        <v>5144.104073</v>
      </c>
    </row>
    <row r="403" ht="14.25" customHeight="1">
      <c r="A403" s="33" t="s">
        <v>262</v>
      </c>
      <c r="B403" s="33" t="s">
        <v>108</v>
      </c>
      <c r="C403" s="33" t="s">
        <v>236</v>
      </c>
      <c r="D403" s="35">
        <v>1759.11</v>
      </c>
      <c r="E403" s="33">
        <v>50.0</v>
      </c>
      <c r="F403" s="35">
        <f t="array" ref="F403">IF(C403 ="FOB_JP", XLOOKUP(A403,CONTAINER_COST_MONTH!$A$2:$A$13,CONTAINER_COST_MONTH!$B$2:$B$13), 285)</f>
        <v>3550</v>
      </c>
      <c r="G403" s="35">
        <f t="shared" si="1"/>
        <v>71</v>
      </c>
      <c r="H403" s="38">
        <f t="array" ref="H403">XLOOKUP(COST_BUY_MONTHLY!$C403,TAX!$A$2:$A$3,TAX!$B$2:$B$3)</f>
        <v>0.002</v>
      </c>
      <c r="I403" s="39">
        <f t="array" ref="I403">XLOOKUP(COST_BUY_MONTHLY!$C403,TAX!$A$2:$A$3,TAX!$C$2:$C$3)</f>
        <v>0.2</v>
      </c>
      <c r="J403" s="39">
        <f t="array" ref="J403">XLOOKUP(COST_BUY_MONTHLY!$C403,TAX!$A$2:$A$3,TAX!$D$2:$D$3)</f>
        <v>0.1</v>
      </c>
      <c r="K403" s="35">
        <f t="shared" si="2"/>
        <v>2420.57669</v>
      </c>
    </row>
    <row r="404" ht="14.25" customHeight="1">
      <c r="A404" s="33" t="s">
        <v>262</v>
      </c>
      <c r="B404" s="33" t="s">
        <v>110</v>
      </c>
      <c r="C404" s="33" t="s">
        <v>237</v>
      </c>
      <c r="D404" s="35">
        <v>1351.63</v>
      </c>
      <c r="E404" s="33">
        <v>50.0</v>
      </c>
      <c r="F404" s="35">
        <f t="array" ref="F404">IF(C404 ="FOB_JP", XLOOKUP(A404,CONTAINER_COST_MONTH!$A$2:$A$13,CONTAINER_COST_MONTH!$B$2:$B$13), 285)</f>
        <v>285</v>
      </c>
      <c r="G404" s="35">
        <f t="shared" si="1"/>
        <v>5.7</v>
      </c>
      <c r="H404" s="38">
        <f t="array" ref="H404">XLOOKUP(COST_BUY_MONTHLY!$C404,TAX!$A$2:$A$3,TAX!$B$2:$B$3)</f>
        <v>0</v>
      </c>
      <c r="I404" s="39">
        <f t="array" ref="I404">XLOOKUP(COST_BUY_MONTHLY!$C404,TAX!$A$2:$A$3,TAX!$C$2:$C$3)</f>
        <v>0</v>
      </c>
      <c r="J404" s="39">
        <f t="array" ref="J404">XLOOKUP(COST_BUY_MONTHLY!$C404,TAX!$A$2:$A$3,TAX!$D$2:$D$3)</f>
        <v>0.1</v>
      </c>
      <c r="K404" s="35">
        <f t="shared" si="2"/>
        <v>1493.063</v>
      </c>
    </row>
    <row r="405" ht="14.25" customHeight="1">
      <c r="A405" s="33" t="s">
        <v>262</v>
      </c>
      <c r="B405" s="33" t="s">
        <v>112</v>
      </c>
      <c r="C405" s="33" t="s">
        <v>237</v>
      </c>
      <c r="D405" s="35">
        <v>1642.68</v>
      </c>
      <c r="E405" s="33">
        <v>50.0</v>
      </c>
      <c r="F405" s="35">
        <f t="array" ref="F405">IF(C405 ="FOB_JP", XLOOKUP(A405,CONTAINER_COST_MONTH!$A$2:$A$13,CONTAINER_COST_MONTH!$B$2:$B$13), 285)</f>
        <v>285</v>
      </c>
      <c r="G405" s="35">
        <f t="shared" si="1"/>
        <v>5.7</v>
      </c>
      <c r="H405" s="38">
        <f t="array" ref="H405">XLOOKUP(COST_BUY_MONTHLY!$C405,TAX!$A$2:$A$3,TAX!$B$2:$B$3)</f>
        <v>0</v>
      </c>
      <c r="I405" s="39">
        <f t="array" ref="I405">XLOOKUP(COST_BUY_MONTHLY!$C405,TAX!$A$2:$A$3,TAX!$C$2:$C$3)</f>
        <v>0</v>
      </c>
      <c r="J405" s="39">
        <f t="array" ref="J405">XLOOKUP(COST_BUY_MONTHLY!$C405,TAX!$A$2:$A$3,TAX!$D$2:$D$3)</f>
        <v>0.1</v>
      </c>
      <c r="K405" s="35">
        <f t="shared" si="2"/>
        <v>1813.218</v>
      </c>
    </row>
    <row r="406" ht="14.25" customHeight="1">
      <c r="A406" s="33" t="s">
        <v>262</v>
      </c>
      <c r="B406" s="33" t="s">
        <v>114</v>
      </c>
      <c r="C406" s="33" t="s">
        <v>236</v>
      </c>
      <c r="D406" s="35">
        <v>4859.01</v>
      </c>
      <c r="E406" s="33">
        <v>20.0</v>
      </c>
      <c r="F406" s="35">
        <f t="array" ref="F406">IF(C406 ="FOB_JP", XLOOKUP(A406,CONTAINER_COST_MONTH!$A$2:$A$13,CONTAINER_COST_MONTH!$B$2:$B$13), 285)</f>
        <v>3550</v>
      </c>
      <c r="G406" s="35">
        <f t="shared" si="1"/>
        <v>177.5</v>
      </c>
      <c r="H406" s="38">
        <f t="array" ref="H406">XLOOKUP(COST_BUY_MONTHLY!$C406,TAX!$A$2:$A$3,TAX!$B$2:$B$3)</f>
        <v>0.002</v>
      </c>
      <c r="I406" s="39">
        <f t="array" ref="I406">XLOOKUP(COST_BUY_MONTHLY!$C406,TAX!$A$2:$A$3,TAX!$C$2:$C$3)</f>
        <v>0.2</v>
      </c>
      <c r="J406" s="39">
        <f t="array" ref="J406">XLOOKUP(COST_BUY_MONTHLY!$C406,TAX!$A$2:$A$3,TAX!$D$2:$D$3)</f>
        <v>0.1</v>
      </c>
      <c r="K406" s="35">
        <f t="shared" si="2"/>
        <v>6661.489586</v>
      </c>
    </row>
    <row r="407" ht="14.25" customHeight="1">
      <c r="A407" s="33" t="s">
        <v>262</v>
      </c>
      <c r="B407" s="33" t="s">
        <v>116</v>
      </c>
      <c r="C407" s="33" t="s">
        <v>236</v>
      </c>
      <c r="D407" s="35">
        <v>718.36</v>
      </c>
      <c r="E407" s="33">
        <v>50.0</v>
      </c>
      <c r="F407" s="35">
        <f t="array" ref="F407">IF(C407 ="FOB_JP", XLOOKUP(A407,CONTAINER_COST_MONTH!$A$2:$A$13,CONTAINER_COST_MONTH!$B$2:$B$13), 285)</f>
        <v>3550</v>
      </c>
      <c r="G407" s="35">
        <f t="shared" si="1"/>
        <v>71</v>
      </c>
      <c r="H407" s="38">
        <f t="array" ref="H407">XLOOKUP(COST_BUY_MONTHLY!$C407,TAX!$A$2:$A$3,TAX!$B$2:$B$3)</f>
        <v>0.002</v>
      </c>
      <c r="I407" s="39">
        <f t="array" ref="I407">XLOOKUP(COST_BUY_MONTHLY!$C407,TAX!$A$2:$A$3,TAX!$C$2:$C$3)</f>
        <v>0.2</v>
      </c>
      <c r="J407" s="39">
        <f t="array" ref="J407">XLOOKUP(COST_BUY_MONTHLY!$C407,TAX!$A$2:$A$3,TAX!$D$2:$D$3)</f>
        <v>0.1</v>
      </c>
      <c r="K407" s="35">
        <f t="shared" si="2"/>
        <v>1044.03911</v>
      </c>
    </row>
    <row r="408" ht="14.25" customHeight="1">
      <c r="A408" s="33" t="s">
        <v>262</v>
      </c>
      <c r="B408" s="33" t="s">
        <v>118</v>
      </c>
      <c r="C408" s="33" t="s">
        <v>236</v>
      </c>
      <c r="D408" s="35">
        <v>2169.04</v>
      </c>
      <c r="E408" s="33">
        <v>50.0</v>
      </c>
      <c r="F408" s="35">
        <f t="array" ref="F408">IF(C408 ="FOB_JP", XLOOKUP(A408,CONTAINER_COST_MONTH!$A$2:$A$13,CONTAINER_COST_MONTH!$B$2:$B$13), 285)</f>
        <v>3550</v>
      </c>
      <c r="G408" s="35">
        <f t="shared" si="1"/>
        <v>71</v>
      </c>
      <c r="H408" s="38">
        <f t="array" ref="H408">XLOOKUP(COST_BUY_MONTHLY!$C408,TAX!$A$2:$A$3,TAX!$B$2:$B$3)</f>
        <v>0.002</v>
      </c>
      <c r="I408" s="39">
        <f t="array" ref="I408">XLOOKUP(COST_BUY_MONTHLY!$C408,TAX!$A$2:$A$3,TAX!$C$2:$C$3)</f>
        <v>0.2</v>
      </c>
      <c r="J408" s="39">
        <f t="array" ref="J408">XLOOKUP(COST_BUY_MONTHLY!$C408,TAX!$A$2:$A$3,TAX!$D$2:$D$3)</f>
        <v>0.1</v>
      </c>
      <c r="K408" s="35">
        <f t="shared" si="2"/>
        <v>2962.766506</v>
      </c>
    </row>
    <row r="409" ht="14.25" customHeight="1">
      <c r="A409" s="33" t="s">
        <v>262</v>
      </c>
      <c r="B409" s="33" t="s">
        <v>120</v>
      </c>
      <c r="C409" s="33" t="s">
        <v>236</v>
      </c>
      <c r="D409" s="35">
        <v>3408.33</v>
      </c>
      <c r="E409" s="33">
        <v>50.0</v>
      </c>
      <c r="F409" s="35">
        <f t="array" ref="F409">IF(C409 ="FOB_JP", XLOOKUP(A409,CONTAINER_COST_MONTH!$A$2:$A$13,CONTAINER_COST_MONTH!$B$2:$B$13), 285)</f>
        <v>3550</v>
      </c>
      <c r="G409" s="35">
        <f t="shared" si="1"/>
        <v>71</v>
      </c>
      <c r="H409" s="38">
        <f t="array" ref="H409">XLOOKUP(COST_BUY_MONTHLY!$C409,TAX!$A$2:$A$3,TAX!$B$2:$B$3)</f>
        <v>0.002</v>
      </c>
      <c r="I409" s="39">
        <f t="array" ref="I409">XLOOKUP(COST_BUY_MONTHLY!$C409,TAX!$A$2:$A$3,TAX!$C$2:$C$3)</f>
        <v>0.2</v>
      </c>
      <c r="J409" s="39">
        <f t="array" ref="J409">XLOOKUP(COST_BUY_MONTHLY!$C409,TAX!$A$2:$A$3,TAX!$D$2:$D$3)</f>
        <v>0.1</v>
      </c>
      <c r="K409" s="35">
        <f t="shared" si="2"/>
        <v>4601.901031</v>
      </c>
    </row>
    <row r="410" ht="14.25" customHeight="1">
      <c r="A410" s="33" t="s">
        <v>262</v>
      </c>
      <c r="B410" s="33" t="s">
        <v>122</v>
      </c>
      <c r="C410" s="33" t="s">
        <v>237</v>
      </c>
      <c r="D410" s="35">
        <v>647.07</v>
      </c>
      <c r="E410" s="33">
        <v>50.0</v>
      </c>
      <c r="F410" s="35">
        <f t="array" ref="F410">IF(C410 ="FOB_JP", XLOOKUP(A410,CONTAINER_COST_MONTH!$A$2:$A$13,CONTAINER_COST_MONTH!$B$2:$B$13), 285)</f>
        <v>285</v>
      </c>
      <c r="G410" s="35">
        <f t="shared" si="1"/>
        <v>5.7</v>
      </c>
      <c r="H410" s="38">
        <f t="array" ref="H410">XLOOKUP(COST_BUY_MONTHLY!$C410,TAX!$A$2:$A$3,TAX!$B$2:$B$3)</f>
        <v>0</v>
      </c>
      <c r="I410" s="39">
        <f t="array" ref="I410">XLOOKUP(COST_BUY_MONTHLY!$C410,TAX!$A$2:$A$3,TAX!$C$2:$C$3)</f>
        <v>0</v>
      </c>
      <c r="J410" s="39">
        <f t="array" ref="J410">XLOOKUP(COST_BUY_MONTHLY!$C410,TAX!$A$2:$A$3,TAX!$D$2:$D$3)</f>
        <v>0.1</v>
      </c>
      <c r="K410" s="35">
        <f t="shared" si="2"/>
        <v>718.047</v>
      </c>
    </row>
    <row r="411" ht="14.25" customHeight="1">
      <c r="A411" s="33" t="s">
        <v>262</v>
      </c>
      <c r="B411" s="33" t="s">
        <v>124</v>
      </c>
      <c r="C411" s="33" t="s">
        <v>237</v>
      </c>
      <c r="D411" s="35">
        <v>2347.24</v>
      </c>
      <c r="E411" s="33">
        <v>50.0</v>
      </c>
      <c r="F411" s="35">
        <f t="array" ref="F411">IF(C411 ="FOB_JP", XLOOKUP(A411,CONTAINER_COST_MONTH!$A$2:$A$13,CONTAINER_COST_MONTH!$B$2:$B$13), 285)</f>
        <v>285</v>
      </c>
      <c r="G411" s="35">
        <f t="shared" si="1"/>
        <v>5.7</v>
      </c>
      <c r="H411" s="38">
        <f t="array" ref="H411">XLOOKUP(COST_BUY_MONTHLY!$C411,TAX!$A$2:$A$3,TAX!$B$2:$B$3)</f>
        <v>0</v>
      </c>
      <c r="I411" s="39">
        <f t="array" ref="I411">XLOOKUP(COST_BUY_MONTHLY!$C411,TAX!$A$2:$A$3,TAX!$C$2:$C$3)</f>
        <v>0</v>
      </c>
      <c r="J411" s="39">
        <f t="array" ref="J411">XLOOKUP(COST_BUY_MONTHLY!$C411,TAX!$A$2:$A$3,TAX!$D$2:$D$3)</f>
        <v>0.1</v>
      </c>
      <c r="K411" s="35">
        <f t="shared" si="2"/>
        <v>2588.234</v>
      </c>
    </row>
    <row r="412" ht="14.25" customHeight="1">
      <c r="A412" s="33" t="s">
        <v>262</v>
      </c>
      <c r="B412" s="33" t="s">
        <v>126</v>
      </c>
      <c r="C412" s="33" t="s">
        <v>236</v>
      </c>
      <c r="D412" s="35">
        <v>3638.25</v>
      </c>
      <c r="E412" s="33">
        <v>35.0</v>
      </c>
      <c r="F412" s="35">
        <f t="array" ref="F412">IF(C412 ="FOB_JP", XLOOKUP(A412,CONTAINER_COST_MONTH!$A$2:$A$13,CONTAINER_COST_MONTH!$B$2:$B$13), 285)</f>
        <v>3550</v>
      </c>
      <c r="G412" s="35">
        <f t="shared" si="1"/>
        <v>101.4285714</v>
      </c>
      <c r="H412" s="38">
        <f t="array" ref="H412">XLOOKUP(COST_BUY_MONTHLY!$C412,TAX!$A$2:$A$3,TAX!$B$2:$B$3)</f>
        <v>0.002</v>
      </c>
      <c r="I412" s="39">
        <f t="array" ref="I412">XLOOKUP(COST_BUY_MONTHLY!$C412,TAX!$A$2:$A$3,TAX!$C$2:$C$3)</f>
        <v>0.2</v>
      </c>
      <c r="J412" s="39">
        <f t="array" ref="J412">XLOOKUP(COST_BUY_MONTHLY!$C412,TAX!$A$2:$A$3,TAX!$D$2:$D$3)</f>
        <v>0.1</v>
      </c>
      <c r="K412" s="35">
        <f t="shared" si="2"/>
        <v>4946.248466</v>
      </c>
    </row>
    <row r="413" ht="14.25" customHeight="1">
      <c r="A413" s="33" t="s">
        <v>262</v>
      </c>
      <c r="B413" s="33" t="s">
        <v>128</v>
      </c>
      <c r="C413" s="33" t="s">
        <v>236</v>
      </c>
      <c r="D413" s="35">
        <v>5005.73</v>
      </c>
      <c r="E413" s="33">
        <v>35.0</v>
      </c>
      <c r="F413" s="35">
        <f t="array" ref="F413">IF(C413 ="FOB_JP", XLOOKUP(A413,CONTAINER_COST_MONTH!$A$2:$A$13,CONTAINER_COST_MONTH!$B$2:$B$13), 285)</f>
        <v>3550</v>
      </c>
      <c r="G413" s="35">
        <f t="shared" si="1"/>
        <v>101.4285714</v>
      </c>
      <c r="H413" s="38">
        <f t="array" ref="H413">XLOOKUP(COST_BUY_MONTHLY!$C413,TAX!$A$2:$A$3,TAX!$B$2:$B$3)</f>
        <v>0.002</v>
      </c>
      <c r="I413" s="39">
        <f t="array" ref="I413">XLOOKUP(COST_BUY_MONTHLY!$C413,TAX!$A$2:$A$3,TAX!$C$2:$C$3)</f>
        <v>0.2</v>
      </c>
      <c r="J413" s="39">
        <f t="array" ref="J413">XLOOKUP(COST_BUY_MONTHLY!$C413,TAX!$A$2:$A$3,TAX!$D$2:$D$3)</f>
        <v>0.1</v>
      </c>
      <c r="K413" s="35">
        <f t="shared" si="2"/>
        <v>6754.932213</v>
      </c>
    </row>
    <row r="414" ht="14.25" customHeight="1">
      <c r="A414" s="33" t="s">
        <v>262</v>
      </c>
      <c r="B414" s="33" t="s">
        <v>130</v>
      </c>
      <c r="C414" s="33" t="s">
        <v>237</v>
      </c>
      <c r="D414" s="35">
        <v>3760.36</v>
      </c>
      <c r="E414" s="33">
        <v>35.0</v>
      </c>
      <c r="F414" s="35">
        <f t="array" ref="F414">IF(C414 ="FOB_JP", XLOOKUP(A414,CONTAINER_COST_MONTH!$A$2:$A$13,CONTAINER_COST_MONTH!$B$2:$B$13), 285)</f>
        <v>285</v>
      </c>
      <c r="G414" s="35">
        <f t="shared" si="1"/>
        <v>8.142857143</v>
      </c>
      <c r="H414" s="38">
        <f t="array" ref="H414">XLOOKUP(COST_BUY_MONTHLY!$C414,TAX!$A$2:$A$3,TAX!$B$2:$B$3)</f>
        <v>0</v>
      </c>
      <c r="I414" s="39">
        <f t="array" ref="I414">XLOOKUP(COST_BUY_MONTHLY!$C414,TAX!$A$2:$A$3,TAX!$C$2:$C$3)</f>
        <v>0</v>
      </c>
      <c r="J414" s="39">
        <f t="array" ref="J414">XLOOKUP(COST_BUY_MONTHLY!$C414,TAX!$A$2:$A$3,TAX!$D$2:$D$3)</f>
        <v>0.1</v>
      </c>
      <c r="K414" s="35">
        <f t="shared" si="2"/>
        <v>4145.353143</v>
      </c>
    </row>
    <row r="415" ht="14.25" customHeight="1">
      <c r="A415" s="33" t="s">
        <v>262</v>
      </c>
      <c r="B415" s="33" t="s">
        <v>132</v>
      </c>
      <c r="C415" s="33" t="s">
        <v>237</v>
      </c>
      <c r="D415" s="35">
        <v>1229.5</v>
      </c>
      <c r="E415" s="33">
        <v>35.0</v>
      </c>
      <c r="F415" s="35">
        <f t="array" ref="F415">IF(C415 ="FOB_JP", XLOOKUP(A415,CONTAINER_COST_MONTH!$A$2:$A$13,CONTAINER_COST_MONTH!$B$2:$B$13), 285)</f>
        <v>285</v>
      </c>
      <c r="G415" s="35">
        <f t="shared" si="1"/>
        <v>8.142857143</v>
      </c>
      <c r="H415" s="38">
        <f t="array" ref="H415">XLOOKUP(COST_BUY_MONTHLY!$C415,TAX!$A$2:$A$3,TAX!$B$2:$B$3)</f>
        <v>0</v>
      </c>
      <c r="I415" s="39">
        <f t="array" ref="I415">XLOOKUP(COST_BUY_MONTHLY!$C415,TAX!$A$2:$A$3,TAX!$C$2:$C$3)</f>
        <v>0</v>
      </c>
      <c r="J415" s="39">
        <f t="array" ref="J415">XLOOKUP(COST_BUY_MONTHLY!$C415,TAX!$A$2:$A$3,TAX!$D$2:$D$3)</f>
        <v>0.1</v>
      </c>
      <c r="K415" s="35">
        <f t="shared" si="2"/>
        <v>1361.407143</v>
      </c>
    </row>
    <row r="416" ht="14.25" customHeight="1">
      <c r="A416" s="33" t="s">
        <v>262</v>
      </c>
      <c r="B416" s="33" t="s">
        <v>134</v>
      </c>
      <c r="C416" s="33" t="s">
        <v>236</v>
      </c>
      <c r="D416" s="35">
        <v>4169.85</v>
      </c>
      <c r="E416" s="33">
        <v>14.0</v>
      </c>
      <c r="F416" s="35">
        <f t="array" ref="F416">IF(C416 ="FOB_JP", XLOOKUP(A416,CONTAINER_COST_MONTH!$A$2:$A$13,CONTAINER_COST_MONTH!$B$2:$B$13), 285)</f>
        <v>3550</v>
      </c>
      <c r="G416" s="35">
        <f t="shared" si="1"/>
        <v>253.5714286</v>
      </c>
      <c r="H416" s="38">
        <f t="array" ref="H416">XLOOKUP(COST_BUY_MONTHLY!$C416,TAX!$A$2:$A$3,TAX!$B$2:$B$3)</f>
        <v>0.002</v>
      </c>
      <c r="I416" s="39">
        <f t="array" ref="I416">XLOOKUP(COST_BUY_MONTHLY!$C416,TAX!$A$2:$A$3,TAX!$C$2:$C$3)</f>
        <v>0.2</v>
      </c>
      <c r="J416" s="39">
        <f t="array" ref="J416">XLOOKUP(COST_BUY_MONTHLY!$C416,TAX!$A$2:$A$3,TAX!$D$2:$D$3)</f>
        <v>0.1</v>
      </c>
      <c r="K416" s="35">
        <f t="shared" si="2"/>
        <v>5850.594118</v>
      </c>
    </row>
    <row r="417" ht="14.25" customHeight="1">
      <c r="A417" s="33" t="s">
        <v>262</v>
      </c>
      <c r="B417" s="33" t="s">
        <v>136</v>
      </c>
      <c r="C417" s="33" t="s">
        <v>236</v>
      </c>
      <c r="D417" s="35">
        <v>4474.12</v>
      </c>
      <c r="E417" s="33">
        <v>35.0</v>
      </c>
      <c r="F417" s="35">
        <f t="array" ref="F417">IF(C417 ="FOB_JP", XLOOKUP(A417,CONTAINER_COST_MONTH!$A$2:$A$13,CONTAINER_COST_MONTH!$B$2:$B$13), 285)</f>
        <v>3550</v>
      </c>
      <c r="G417" s="35">
        <f t="shared" si="1"/>
        <v>101.4285714</v>
      </c>
      <c r="H417" s="38">
        <f t="array" ref="H417">XLOOKUP(COST_BUY_MONTHLY!$C417,TAX!$A$2:$A$3,TAX!$B$2:$B$3)</f>
        <v>0.002</v>
      </c>
      <c r="I417" s="39">
        <f t="array" ref="I417">XLOOKUP(COST_BUY_MONTHLY!$C417,TAX!$A$2:$A$3,TAX!$C$2:$C$3)</f>
        <v>0.2</v>
      </c>
      <c r="J417" s="39">
        <f t="array" ref="J417">XLOOKUP(COST_BUY_MONTHLY!$C417,TAX!$A$2:$A$3,TAX!$D$2:$D$3)</f>
        <v>0.1</v>
      </c>
      <c r="K417" s="35">
        <f t="shared" si="2"/>
        <v>6051.803563</v>
      </c>
    </row>
    <row r="418" ht="14.25" customHeight="1">
      <c r="A418" s="33" t="s">
        <v>262</v>
      </c>
      <c r="B418" s="33" t="s">
        <v>138</v>
      </c>
      <c r="C418" s="33" t="s">
        <v>236</v>
      </c>
      <c r="D418" s="35">
        <v>1857.59</v>
      </c>
      <c r="E418" s="33">
        <v>35.0</v>
      </c>
      <c r="F418" s="35">
        <f t="array" ref="F418">IF(C418 ="FOB_JP", XLOOKUP(A418,CONTAINER_COST_MONTH!$A$2:$A$13,CONTAINER_COST_MONTH!$B$2:$B$13), 285)</f>
        <v>3550</v>
      </c>
      <c r="G418" s="35">
        <f t="shared" si="1"/>
        <v>101.4285714</v>
      </c>
      <c r="H418" s="38">
        <f t="array" ref="H418">XLOOKUP(COST_BUY_MONTHLY!$C418,TAX!$A$2:$A$3,TAX!$B$2:$B$3)</f>
        <v>0.002</v>
      </c>
      <c r="I418" s="39">
        <f t="array" ref="I418">XLOOKUP(COST_BUY_MONTHLY!$C418,TAX!$A$2:$A$3,TAX!$C$2:$C$3)</f>
        <v>0.2</v>
      </c>
      <c r="J418" s="39">
        <f t="array" ref="J418">XLOOKUP(COST_BUY_MONTHLY!$C418,TAX!$A$2:$A$3,TAX!$D$2:$D$3)</f>
        <v>0.1</v>
      </c>
      <c r="K418" s="35">
        <f t="shared" si="2"/>
        <v>2591.076323</v>
      </c>
    </row>
    <row r="419" ht="14.25" customHeight="1">
      <c r="A419" s="33" t="s">
        <v>262</v>
      </c>
      <c r="B419" s="33" t="s">
        <v>140</v>
      </c>
      <c r="C419" s="33" t="s">
        <v>236</v>
      </c>
      <c r="D419" s="35">
        <v>6786.38</v>
      </c>
      <c r="E419" s="33">
        <v>35.0</v>
      </c>
      <c r="F419" s="35">
        <f t="array" ref="F419">IF(C419 ="FOB_JP", XLOOKUP(A419,CONTAINER_COST_MONTH!$A$2:$A$13,CONTAINER_COST_MONTH!$B$2:$B$13), 285)</f>
        <v>3550</v>
      </c>
      <c r="G419" s="35">
        <f t="shared" si="1"/>
        <v>101.4285714</v>
      </c>
      <c r="H419" s="38">
        <f t="array" ref="H419">XLOOKUP(COST_BUY_MONTHLY!$C419,TAX!$A$2:$A$3,TAX!$B$2:$B$3)</f>
        <v>0.002</v>
      </c>
      <c r="I419" s="39">
        <f t="array" ref="I419">XLOOKUP(COST_BUY_MONTHLY!$C419,TAX!$A$2:$A$3,TAX!$C$2:$C$3)</f>
        <v>0.2</v>
      </c>
      <c r="J419" s="39">
        <f t="array" ref="J419">XLOOKUP(COST_BUY_MONTHLY!$C419,TAX!$A$2:$A$3,TAX!$D$2:$D$3)</f>
        <v>0.1</v>
      </c>
      <c r="K419" s="35">
        <f t="shared" si="2"/>
        <v>9110.091129</v>
      </c>
    </row>
    <row r="420" ht="14.25" customHeight="1">
      <c r="A420" s="33" t="s">
        <v>262</v>
      </c>
      <c r="B420" s="33" t="s">
        <v>142</v>
      </c>
      <c r="C420" s="33" t="s">
        <v>237</v>
      </c>
      <c r="D420" s="35">
        <v>2264.4</v>
      </c>
      <c r="E420" s="33">
        <v>35.0</v>
      </c>
      <c r="F420" s="35">
        <f t="array" ref="F420">IF(C420 ="FOB_JP", XLOOKUP(A420,CONTAINER_COST_MONTH!$A$2:$A$13,CONTAINER_COST_MONTH!$B$2:$B$13), 285)</f>
        <v>285</v>
      </c>
      <c r="G420" s="35">
        <f t="shared" si="1"/>
        <v>8.142857143</v>
      </c>
      <c r="H420" s="38">
        <f t="array" ref="H420">XLOOKUP(COST_BUY_MONTHLY!$C420,TAX!$A$2:$A$3,TAX!$B$2:$B$3)</f>
        <v>0</v>
      </c>
      <c r="I420" s="39">
        <f t="array" ref="I420">XLOOKUP(COST_BUY_MONTHLY!$C420,TAX!$A$2:$A$3,TAX!$C$2:$C$3)</f>
        <v>0</v>
      </c>
      <c r="J420" s="39">
        <f t="array" ref="J420">XLOOKUP(COST_BUY_MONTHLY!$C420,TAX!$A$2:$A$3,TAX!$D$2:$D$3)</f>
        <v>0.1</v>
      </c>
      <c r="K420" s="35">
        <f t="shared" si="2"/>
        <v>2499.797143</v>
      </c>
    </row>
    <row r="421" ht="14.25" customHeight="1">
      <c r="A421" s="33" t="s">
        <v>262</v>
      </c>
      <c r="B421" s="33" t="s">
        <v>144</v>
      </c>
      <c r="C421" s="33" t="s">
        <v>237</v>
      </c>
      <c r="D421" s="35">
        <v>2725.46</v>
      </c>
      <c r="E421" s="33">
        <v>35.0</v>
      </c>
      <c r="F421" s="35">
        <f t="array" ref="F421">IF(C421 ="FOB_JP", XLOOKUP(A421,CONTAINER_COST_MONTH!$A$2:$A$13,CONTAINER_COST_MONTH!$B$2:$B$13), 285)</f>
        <v>285</v>
      </c>
      <c r="G421" s="35">
        <f t="shared" si="1"/>
        <v>8.142857143</v>
      </c>
      <c r="H421" s="38">
        <f t="array" ref="H421">XLOOKUP(COST_BUY_MONTHLY!$C421,TAX!$A$2:$A$3,TAX!$B$2:$B$3)</f>
        <v>0</v>
      </c>
      <c r="I421" s="39">
        <f t="array" ref="I421">XLOOKUP(COST_BUY_MONTHLY!$C421,TAX!$A$2:$A$3,TAX!$C$2:$C$3)</f>
        <v>0</v>
      </c>
      <c r="J421" s="39">
        <f t="array" ref="J421">XLOOKUP(COST_BUY_MONTHLY!$C421,TAX!$A$2:$A$3,TAX!$D$2:$D$3)</f>
        <v>0.1</v>
      </c>
      <c r="K421" s="35">
        <f t="shared" si="2"/>
        <v>3006.963143</v>
      </c>
    </row>
    <row r="422" ht="14.25" customHeight="1">
      <c r="A422" s="33" t="s">
        <v>263</v>
      </c>
      <c r="B422" s="33" t="s">
        <v>11</v>
      </c>
      <c r="C422" s="33" t="s">
        <v>236</v>
      </c>
      <c r="D422" s="35">
        <v>4048.09</v>
      </c>
      <c r="E422" s="33">
        <v>10.0</v>
      </c>
      <c r="F422" s="35">
        <f t="array" ref="F422">IF(C422 ="FOB_JP", XLOOKUP(A422,CONTAINER_COST_MONTH!$A$2:$A$13,CONTAINER_COST_MONTH!$B$2:$B$13), 285)</f>
        <v>3562</v>
      </c>
      <c r="G422" s="35">
        <f t="shared" si="1"/>
        <v>356.2</v>
      </c>
      <c r="H422" s="38">
        <f t="array" ref="H422">XLOOKUP(COST_BUY_MONTHLY!$C422,TAX!$A$2:$A$3,TAX!$B$2:$B$3)</f>
        <v>0.002</v>
      </c>
      <c r="I422" s="39">
        <f t="array" ref="I422">XLOOKUP(COST_BUY_MONTHLY!$C422,TAX!$A$2:$A$3,TAX!$C$2:$C$3)</f>
        <v>0.2</v>
      </c>
      <c r="J422" s="39">
        <f t="array" ref="J422">XLOOKUP(COST_BUY_MONTHLY!$C422,TAX!$A$2:$A$3,TAX!$D$2:$D$3)</f>
        <v>0.1</v>
      </c>
      <c r="K422" s="35">
        <f t="shared" si="2"/>
        <v>5825.290126</v>
      </c>
    </row>
    <row r="423" ht="14.25" customHeight="1">
      <c r="A423" s="33" t="s">
        <v>263</v>
      </c>
      <c r="B423" s="33" t="s">
        <v>18</v>
      </c>
      <c r="C423" s="33" t="s">
        <v>237</v>
      </c>
      <c r="D423" s="35">
        <v>2173.3</v>
      </c>
      <c r="E423" s="33">
        <v>40.0</v>
      </c>
      <c r="F423" s="35">
        <f t="array" ref="F423">IF(C423 ="FOB_JP", XLOOKUP(A423,CONTAINER_COST_MONTH!$A$2:$A$13,CONTAINER_COST_MONTH!$B$2:$B$13), 285)</f>
        <v>285</v>
      </c>
      <c r="G423" s="35">
        <f t="shared" si="1"/>
        <v>7.125</v>
      </c>
      <c r="H423" s="38">
        <f t="array" ref="H423">XLOOKUP(COST_BUY_MONTHLY!$C423,TAX!$A$2:$A$3,TAX!$B$2:$B$3)</f>
        <v>0</v>
      </c>
      <c r="I423" s="39">
        <f t="array" ref="I423">XLOOKUP(COST_BUY_MONTHLY!$C423,TAX!$A$2:$A$3,TAX!$C$2:$C$3)</f>
        <v>0</v>
      </c>
      <c r="J423" s="39">
        <f t="array" ref="J423">XLOOKUP(COST_BUY_MONTHLY!$C423,TAX!$A$2:$A$3,TAX!$D$2:$D$3)</f>
        <v>0.1</v>
      </c>
      <c r="K423" s="35">
        <f t="shared" si="2"/>
        <v>2398.4675</v>
      </c>
    </row>
    <row r="424" ht="14.25" customHeight="1">
      <c r="A424" s="33" t="s">
        <v>263</v>
      </c>
      <c r="B424" s="33" t="s">
        <v>22</v>
      </c>
      <c r="C424" s="33" t="s">
        <v>236</v>
      </c>
      <c r="D424" s="35">
        <v>4048.09</v>
      </c>
      <c r="E424" s="33">
        <v>20.0</v>
      </c>
      <c r="F424" s="35">
        <f t="array" ref="F424">IF(C424 ="FOB_JP", XLOOKUP(A424,CONTAINER_COST_MONTH!$A$2:$A$13,CONTAINER_COST_MONTH!$B$2:$B$13), 285)</f>
        <v>3562</v>
      </c>
      <c r="G424" s="35">
        <f t="shared" si="1"/>
        <v>178.1</v>
      </c>
      <c r="H424" s="38">
        <f t="array" ref="H424">XLOOKUP(COST_BUY_MONTHLY!$C424,TAX!$A$2:$A$3,TAX!$B$2:$B$3)</f>
        <v>0.002</v>
      </c>
      <c r="I424" s="39">
        <f t="array" ref="I424">XLOOKUP(COST_BUY_MONTHLY!$C424,TAX!$A$2:$A$3,TAX!$C$2:$C$3)</f>
        <v>0.2</v>
      </c>
      <c r="J424" s="39">
        <f t="array" ref="J424">XLOOKUP(COST_BUY_MONTHLY!$C424,TAX!$A$2:$A$3,TAX!$D$2:$D$3)</f>
        <v>0.1</v>
      </c>
      <c r="K424" s="35">
        <f t="shared" si="2"/>
        <v>5589.727942</v>
      </c>
    </row>
    <row r="425" ht="14.25" customHeight="1">
      <c r="A425" s="33" t="s">
        <v>263</v>
      </c>
      <c r="B425" s="33" t="s">
        <v>24</v>
      </c>
      <c r="C425" s="33" t="s">
        <v>236</v>
      </c>
      <c r="D425" s="35">
        <v>4048.09</v>
      </c>
      <c r="E425" s="33">
        <v>15.0</v>
      </c>
      <c r="F425" s="35">
        <f t="array" ref="F425">IF(C425 ="FOB_JP", XLOOKUP(A425,CONTAINER_COST_MONTH!$A$2:$A$13,CONTAINER_COST_MONTH!$B$2:$B$13), 285)</f>
        <v>3562</v>
      </c>
      <c r="G425" s="35">
        <f t="shared" si="1"/>
        <v>237.4666667</v>
      </c>
      <c r="H425" s="38">
        <f t="array" ref="H425">XLOOKUP(COST_BUY_MONTHLY!$C425,TAX!$A$2:$A$3,TAX!$B$2:$B$3)</f>
        <v>0.002</v>
      </c>
      <c r="I425" s="39">
        <f t="array" ref="I425">XLOOKUP(COST_BUY_MONTHLY!$C425,TAX!$A$2:$A$3,TAX!$C$2:$C$3)</f>
        <v>0.2</v>
      </c>
      <c r="J425" s="39">
        <f t="array" ref="J425">XLOOKUP(COST_BUY_MONTHLY!$C425,TAX!$A$2:$A$3,TAX!$D$2:$D$3)</f>
        <v>0.1</v>
      </c>
      <c r="K425" s="35">
        <f t="shared" si="2"/>
        <v>5668.24867</v>
      </c>
    </row>
    <row r="426" ht="14.25" customHeight="1">
      <c r="A426" s="33" t="s">
        <v>263</v>
      </c>
      <c r="B426" s="33" t="s">
        <v>26</v>
      </c>
      <c r="C426" s="33" t="s">
        <v>237</v>
      </c>
      <c r="D426" s="35">
        <v>2173.3</v>
      </c>
      <c r="E426" s="33">
        <v>120.0</v>
      </c>
      <c r="F426" s="35">
        <f t="array" ref="F426">IF(C426 ="FOB_JP", XLOOKUP(A426,CONTAINER_COST_MONTH!$A$2:$A$13,CONTAINER_COST_MONTH!$B$2:$B$13), 285)</f>
        <v>285</v>
      </c>
      <c r="G426" s="35">
        <f t="shared" si="1"/>
        <v>2.375</v>
      </c>
      <c r="H426" s="38">
        <f t="array" ref="H426">XLOOKUP(COST_BUY_MONTHLY!$C426,TAX!$A$2:$A$3,TAX!$B$2:$B$3)</f>
        <v>0</v>
      </c>
      <c r="I426" s="39">
        <f t="array" ref="I426">XLOOKUP(COST_BUY_MONTHLY!$C426,TAX!$A$2:$A$3,TAX!$C$2:$C$3)</f>
        <v>0</v>
      </c>
      <c r="J426" s="39">
        <f t="array" ref="J426">XLOOKUP(COST_BUY_MONTHLY!$C426,TAX!$A$2:$A$3,TAX!$D$2:$D$3)</f>
        <v>0.1</v>
      </c>
      <c r="K426" s="35">
        <f t="shared" si="2"/>
        <v>2393.2425</v>
      </c>
    </row>
    <row r="427" ht="14.25" customHeight="1">
      <c r="A427" s="33" t="s">
        <v>263</v>
      </c>
      <c r="B427" s="33" t="s">
        <v>30</v>
      </c>
      <c r="C427" s="33" t="s">
        <v>236</v>
      </c>
      <c r="D427" s="35">
        <v>11025.48</v>
      </c>
      <c r="E427" s="33">
        <v>7.0</v>
      </c>
      <c r="F427" s="35">
        <f t="array" ref="F427">IF(C427 ="FOB_JP", XLOOKUP(A427,CONTAINER_COST_MONTH!$A$2:$A$13,CONTAINER_COST_MONTH!$B$2:$B$13), 285)</f>
        <v>3562</v>
      </c>
      <c r="G427" s="35">
        <f t="shared" si="1"/>
        <v>508.8571429</v>
      </c>
      <c r="H427" s="38">
        <f t="array" ref="H427">XLOOKUP(COST_BUY_MONTHLY!$C427,TAX!$A$2:$A$3,TAX!$B$2:$B$3)</f>
        <v>0.002</v>
      </c>
      <c r="I427" s="39">
        <f t="array" ref="I427">XLOOKUP(COST_BUY_MONTHLY!$C427,TAX!$A$2:$A$3,TAX!$C$2:$C$3)</f>
        <v>0.2</v>
      </c>
      <c r="J427" s="39">
        <f t="array" ref="J427">XLOOKUP(COST_BUY_MONTHLY!$C427,TAX!$A$2:$A$3,TAX!$D$2:$D$3)</f>
        <v>0.1</v>
      </c>
      <c r="K427" s="35">
        <f t="shared" si="2"/>
        <v>15255.77568</v>
      </c>
    </row>
    <row r="428" ht="14.25" customHeight="1">
      <c r="A428" s="33" t="s">
        <v>263</v>
      </c>
      <c r="B428" s="33" t="s">
        <v>33</v>
      </c>
      <c r="C428" s="33" t="s">
        <v>237</v>
      </c>
      <c r="D428" s="35">
        <v>6364.62</v>
      </c>
      <c r="E428" s="33">
        <v>28.0</v>
      </c>
      <c r="F428" s="35">
        <f t="array" ref="F428">IF(C428 ="FOB_JP", XLOOKUP(A428,CONTAINER_COST_MONTH!$A$2:$A$13,CONTAINER_COST_MONTH!$B$2:$B$13), 285)</f>
        <v>285</v>
      </c>
      <c r="G428" s="35">
        <f t="shared" si="1"/>
        <v>10.17857143</v>
      </c>
      <c r="H428" s="38">
        <f t="array" ref="H428">XLOOKUP(COST_BUY_MONTHLY!$C428,TAX!$A$2:$A$3,TAX!$B$2:$B$3)</f>
        <v>0</v>
      </c>
      <c r="I428" s="39">
        <f t="array" ref="I428">XLOOKUP(COST_BUY_MONTHLY!$C428,TAX!$A$2:$A$3,TAX!$C$2:$C$3)</f>
        <v>0</v>
      </c>
      <c r="J428" s="39">
        <f t="array" ref="J428">XLOOKUP(COST_BUY_MONTHLY!$C428,TAX!$A$2:$A$3,TAX!$D$2:$D$3)</f>
        <v>0.1</v>
      </c>
      <c r="K428" s="35">
        <f t="shared" si="2"/>
        <v>7012.278429</v>
      </c>
    </row>
    <row r="429" ht="14.25" customHeight="1">
      <c r="A429" s="33" t="s">
        <v>263</v>
      </c>
      <c r="B429" s="33" t="s">
        <v>35</v>
      </c>
      <c r="C429" s="33" t="s">
        <v>236</v>
      </c>
      <c r="D429" s="35">
        <v>11025.48</v>
      </c>
      <c r="E429" s="33">
        <v>14.0</v>
      </c>
      <c r="F429" s="35">
        <f t="array" ref="F429">IF(C429 ="FOB_JP", XLOOKUP(A429,CONTAINER_COST_MONTH!$A$2:$A$13,CONTAINER_COST_MONTH!$B$2:$B$13), 285)</f>
        <v>3562</v>
      </c>
      <c r="G429" s="35">
        <f t="shared" si="1"/>
        <v>254.4285714</v>
      </c>
      <c r="H429" s="38">
        <f t="array" ref="H429">XLOOKUP(COST_BUY_MONTHLY!$C429,TAX!$A$2:$A$3,TAX!$B$2:$B$3)</f>
        <v>0.002</v>
      </c>
      <c r="I429" s="39">
        <f t="array" ref="I429">XLOOKUP(COST_BUY_MONTHLY!$C429,TAX!$A$2:$A$3,TAX!$C$2:$C$3)</f>
        <v>0.2</v>
      </c>
      <c r="J429" s="39">
        <f t="array" ref="J429">XLOOKUP(COST_BUY_MONTHLY!$C429,TAX!$A$2:$A$3,TAX!$D$2:$D$3)</f>
        <v>0.1</v>
      </c>
      <c r="K429" s="35">
        <f t="shared" si="2"/>
        <v>14919.25827</v>
      </c>
    </row>
    <row r="430" ht="14.25" customHeight="1">
      <c r="A430" s="33" t="s">
        <v>263</v>
      </c>
      <c r="B430" s="33" t="s">
        <v>37</v>
      </c>
      <c r="C430" s="33" t="s">
        <v>236</v>
      </c>
      <c r="D430" s="35">
        <v>11025.48</v>
      </c>
      <c r="E430" s="33">
        <v>10.0</v>
      </c>
      <c r="F430" s="35">
        <f t="array" ref="F430">IF(C430 ="FOB_JP", XLOOKUP(A430,CONTAINER_COST_MONTH!$A$2:$A$13,CONTAINER_COST_MONTH!$B$2:$B$13), 285)</f>
        <v>3562</v>
      </c>
      <c r="G430" s="35">
        <f t="shared" si="1"/>
        <v>356.2</v>
      </c>
      <c r="H430" s="38">
        <f t="array" ref="H430">XLOOKUP(COST_BUY_MONTHLY!$C430,TAX!$A$2:$A$3,TAX!$B$2:$B$3)</f>
        <v>0.002</v>
      </c>
      <c r="I430" s="39">
        <f t="array" ref="I430">XLOOKUP(COST_BUY_MONTHLY!$C430,TAX!$A$2:$A$3,TAX!$C$2:$C$3)</f>
        <v>0.2</v>
      </c>
      <c r="J430" s="39">
        <f t="array" ref="J430">XLOOKUP(COST_BUY_MONTHLY!$C430,TAX!$A$2:$A$3,TAX!$D$2:$D$3)</f>
        <v>0.1</v>
      </c>
      <c r="K430" s="35">
        <f t="shared" si="2"/>
        <v>15053.86524</v>
      </c>
    </row>
    <row r="431" ht="14.25" customHeight="1">
      <c r="A431" s="33" t="s">
        <v>263</v>
      </c>
      <c r="B431" s="33" t="s">
        <v>39</v>
      </c>
      <c r="C431" s="33" t="s">
        <v>237</v>
      </c>
      <c r="D431" s="35">
        <v>6364.62</v>
      </c>
      <c r="E431" s="33">
        <v>84.0</v>
      </c>
      <c r="F431" s="35">
        <f t="array" ref="F431">IF(C431 ="FOB_JP", XLOOKUP(A431,CONTAINER_COST_MONTH!$A$2:$A$13,CONTAINER_COST_MONTH!$B$2:$B$13), 285)</f>
        <v>285</v>
      </c>
      <c r="G431" s="35">
        <f t="shared" si="1"/>
        <v>3.392857143</v>
      </c>
      <c r="H431" s="38">
        <f t="array" ref="H431">XLOOKUP(COST_BUY_MONTHLY!$C431,TAX!$A$2:$A$3,TAX!$B$2:$B$3)</f>
        <v>0</v>
      </c>
      <c r="I431" s="39">
        <f t="array" ref="I431">XLOOKUP(COST_BUY_MONTHLY!$C431,TAX!$A$2:$A$3,TAX!$C$2:$C$3)</f>
        <v>0</v>
      </c>
      <c r="J431" s="39">
        <f t="array" ref="J431">XLOOKUP(COST_BUY_MONTHLY!$C431,TAX!$A$2:$A$3,TAX!$D$2:$D$3)</f>
        <v>0.1</v>
      </c>
      <c r="K431" s="35">
        <f t="shared" si="2"/>
        <v>7004.814143</v>
      </c>
    </row>
    <row r="432" ht="14.25" customHeight="1">
      <c r="A432" s="33" t="s">
        <v>263</v>
      </c>
      <c r="B432" s="33" t="s">
        <v>42</v>
      </c>
      <c r="C432" s="33" t="s">
        <v>236</v>
      </c>
      <c r="D432" s="35">
        <v>5577.37</v>
      </c>
      <c r="E432" s="33">
        <v>10.0</v>
      </c>
      <c r="F432" s="35">
        <f t="array" ref="F432">IF(C432 ="FOB_JP", XLOOKUP(A432,CONTAINER_COST_MONTH!$A$2:$A$13,CONTAINER_COST_MONTH!$B$2:$B$13), 285)</f>
        <v>3562</v>
      </c>
      <c r="G432" s="35">
        <f t="shared" si="1"/>
        <v>356.2</v>
      </c>
      <c r="H432" s="38">
        <f t="array" ref="H432">XLOOKUP(COST_BUY_MONTHLY!$C432,TAX!$A$2:$A$3,TAX!$B$2:$B$3)</f>
        <v>0.002</v>
      </c>
      <c r="I432" s="39">
        <f t="array" ref="I432">XLOOKUP(COST_BUY_MONTHLY!$C432,TAX!$A$2:$A$3,TAX!$C$2:$C$3)</f>
        <v>0.2</v>
      </c>
      <c r="J432" s="39">
        <f t="array" ref="J432">XLOOKUP(COST_BUY_MONTHLY!$C432,TAX!$A$2:$A$3,TAX!$D$2:$D$3)</f>
        <v>0.1</v>
      </c>
      <c r="K432" s="35">
        <f t="shared" si="2"/>
        <v>7847.977025</v>
      </c>
    </row>
    <row r="433" ht="14.25" customHeight="1">
      <c r="A433" s="33" t="s">
        <v>263</v>
      </c>
      <c r="B433" s="33" t="s">
        <v>45</v>
      </c>
      <c r="C433" s="33" t="s">
        <v>237</v>
      </c>
      <c r="D433" s="35">
        <v>2994.32</v>
      </c>
      <c r="E433" s="33">
        <v>40.0</v>
      </c>
      <c r="F433" s="35">
        <f t="array" ref="F433">IF(C433 ="FOB_JP", XLOOKUP(A433,CONTAINER_COST_MONTH!$A$2:$A$13,CONTAINER_COST_MONTH!$B$2:$B$13), 285)</f>
        <v>285</v>
      </c>
      <c r="G433" s="35">
        <f t="shared" si="1"/>
        <v>7.125</v>
      </c>
      <c r="H433" s="38">
        <f t="array" ref="H433">XLOOKUP(COST_BUY_MONTHLY!$C433,TAX!$A$2:$A$3,TAX!$B$2:$B$3)</f>
        <v>0</v>
      </c>
      <c r="I433" s="39">
        <f t="array" ref="I433">XLOOKUP(COST_BUY_MONTHLY!$C433,TAX!$A$2:$A$3,TAX!$C$2:$C$3)</f>
        <v>0</v>
      </c>
      <c r="J433" s="39">
        <f t="array" ref="J433">XLOOKUP(COST_BUY_MONTHLY!$C433,TAX!$A$2:$A$3,TAX!$D$2:$D$3)</f>
        <v>0.1</v>
      </c>
      <c r="K433" s="35">
        <f t="shared" si="2"/>
        <v>3301.5895</v>
      </c>
    </row>
    <row r="434" ht="14.25" customHeight="1">
      <c r="A434" s="33" t="s">
        <v>263</v>
      </c>
      <c r="B434" s="33" t="s">
        <v>47</v>
      </c>
      <c r="C434" s="33" t="s">
        <v>236</v>
      </c>
      <c r="D434" s="35">
        <v>5577.37</v>
      </c>
      <c r="E434" s="33">
        <v>20.0</v>
      </c>
      <c r="F434" s="35">
        <f t="array" ref="F434">IF(C434 ="FOB_JP", XLOOKUP(A434,CONTAINER_COST_MONTH!$A$2:$A$13,CONTAINER_COST_MONTH!$B$2:$B$13), 285)</f>
        <v>3562</v>
      </c>
      <c r="G434" s="35">
        <f t="shared" si="1"/>
        <v>178.1</v>
      </c>
      <c r="H434" s="38">
        <f t="array" ref="H434">XLOOKUP(COST_BUY_MONTHLY!$C434,TAX!$A$2:$A$3,TAX!$B$2:$B$3)</f>
        <v>0.002</v>
      </c>
      <c r="I434" s="39">
        <f t="array" ref="I434">XLOOKUP(COST_BUY_MONTHLY!$C434,TAX!$A$2:$A$3,TAX!$C$2:$C$3)</f>
        <v>0.2</v>
      </c>
      <c r="J434" s="39">
        <f t="array" ref="J434">XLOOKUP(COST_BUY_MONTHLY!$C434,TAX!$A$2:$A$3,TAX!$D$2:$D$3)</f>
        <v>0.1</v>
      </c>
      <c r="K434" s="35">
        <f t="shared" si="2"/>
        <v>7612.414841</v>
      </c>
    </row>
    <row r="435" ht="14.25" customHeight="1">
      <c r="A435" s="33" t="s">
        <v>263</v>
      </c>
      <c r="B435" s="33" t="s">
        <v>49</v>
      </c>
      <c r="C435" s="33" t="s">
        <v>236</v>
      </c>
      <c r="D435" s="35">
        <v>5577.37</v>
      </c>
      <c r="E435" s="33">
        <v>15.0</v>
      </c>
      <c r="F435" s="35">
        <f t="array" ref="F435">IF(C435 ="FOB_JP", XLOOKUP(A435,CONTAINER_COST_MONTH!$A$2:$A$13,CONTAINER_COST_MONTH!$B$2:$B$13), 285)</f>
        <v>3562</v>
      </c>
      <c r="G435" s="35">
        <f t="shared" si="1"/>
        <v>237.4666667</v>
      </c>
      <c r="H435" s="38">
        <f t="array" ref="H435">XLOOKUP(COST_BUY_MONTHLY!$C435,TAX!$A$2:$A$3,TAX!$B$2:$B$3)</f>
        <v>0.002</v>
      </c>
      <c r="I435" s="39">
        <f t="array" ref="I435">XLOOKUP(COST_BUY_MONTHLY!$C435,TAX!$A$2:$A$3,TAX!$C$2:$C$3)</f>
        <v>0.2</v>
      </c>
      <c r="J435" s="39">
        <f t="array" ref="J435">XLOOKUP(COST_BUY_MONTHLY!$C435,TAX!$A$2:$A$3,TAX!$D$2:$D$3)</f>
        <v>0.1</v>
      </c>
      <c r="K435" s="35">
        <f t="shared" si="2"/>
        <v>7690.935569</v>
      </c>
    </row>
    <row r="436" ht="14.25" customHeight="1">
      <c r="A436" s="33" t="s">
        <v>263</v>
      </c>
      <c r="B436" s="33" t="s">
        <v>51</v>
      </c>
      <c r="C436" s="33" t="s">
        <v>237</v>
      </c>
      <c r="D436" s="35">
        <v>2994.32</v>
      </c>
      <c r="E436" s="33">
        <v>120.0</v>
      </c>
      <c r="F436" s="35">
        <f t="array" ref="F436">IF(C436 ="FOB_JP", XLOOKUP(A436,CONTAINER_COST_MONTH!$A$2:$A$13,CONTAINER_COST_MONTH!$B$2:$B$13), 285)</f>
        <v>285</v>
      </c>
      <c r="G436" s="35">
        <f t="shared" si="1"/>
        <v>2.375</v>
      </c>
      <c r="H436" s="38">
        <f t="array" ref="H436">XLOOKUP(COST_BUY_MONTHLY!$C436,TAX!$A$2:$A$3,TAX!$B$2:$B$3)</f>
        <v>0</v>
      </c>
      <c r="I436" s="39">
        <f t="array" ref="I436">XLOOKUP(COST_BUY_MONTHLY!$C436,TAX!$A$2:$A$3,TAX!$C$2:$C$3)</f>
        <v>0</v>
      </c>
      <c r="J436" s="39">
        <f t="array" ref="J436">XLOOKUP(COST_BUY_MONTHLY!$C436,TAX!$A$2:$A$3,TAX!$D$2:$D$3)</f>
        <v>0.1</v>
      </c>
      <c r="K436" s="35">
        <f t="shared" si="2"/>
        <v>3296.3645</v>
      </c>
    </row>
    <row r="437" ht="14.25" customHeight="1">
      <c r="A437" s="33" t="s">
        <v>263</v>
      </c>
      <c r="B437" s="33" t="s">
        <v>54</v>
      </c>
      <c r="C437" s="33" t="s">
        <v>236</v>
      </c>
      <c r="D437" s="35">
        <v>8643.97</v>
      </c>
      <c r="E437" s="33">
        <v>7.0</v>
      </c>
      <c r="F437" s="35">
        <f t="array" ref="F437">IF(C437 ="FOB_JP", XLOOKUP(A437,CONTAINER_COST_MONTH!$A$2:$A$13,CONTAINER_COST_MONTH!$B$2:$B$13), 285)</f>
        <v>3562</v>
      </c>
      <c r="G437" s="35">
        <f t="shared" si="1"/>
        <v>508.8571429</v>
      </c>
      <c r="H437" s="38">
        <f t="array" ref="H437">XLOOKUP(COST_BUY_MONTHLY!$C437,TAX!$A$2:$A$3,TAX!$B$2:$B$3)</f>
        <v>0.002</v>
      </c>
      <c r="I437" s="39">
        <f t="array" ref="I437">XLOOKUP(COST_BUY_MONTHLY!$C437,TAX!$A$2:$A$3,TAX!$C$2:$C$3)</f>
        <v>0.2</v>
      </c>
      <c r="J437" s="39">
        <f t="array" ref="J437">XLOOKUP(COST_BUY_MONTHLY!$C437,TAX!$A$2:$A$3,TAX!$D$2:$D$3)</f>
        <v>0.1</v>
      </c>
      <c r="K437" s="35">
        <f t="shared" si="2"/>
        <v>12105.89529</v>
      </c>
    </row>
    <row r="438" ht="14.25" customHeight="1">
      <c r="A438" s="33" t="s">
        <v>263</v>
      </c>
      <c r="B438" s="33" t="s">
        <v>57</v>
      </c>
      <c r="C438" s="33" t="s">
        <v>237</v>
      </c>
      <c r="D438" s="35">
        <v>4989.86</v>
      </c>
      <c r="E438" s="33">
        <v>28.0</v>
      </c>
      <c r="F438" s="35">
        <f t="array" ref="F438">IF(C438 ="FOB_JP", XLOOKUP(A438,CONTAINER_COST_MONTH!$A$2:$A$13,CONTAINER_COST_MONTH!$B$2:$B$13), 285)</f>
        <v>285</v>
      </c>
      <c r="G438" s="35">
        <f t="shared" si="1"/>
        <v>10.17857143</v>
      </c>
      <c r="H438" s="38">
        <f t="array" ref="H438">XLOOKUP(COST_BUY_MONTHLY!$C438,TAX!$A$2:$A$3,TAX!$B$2:$B$3)</f>
        <v>0</v>
      </c>
      <c r="I438" s="39">
        <f t="array" ref="I438">XLOOKUP(COST_BUY_MONTHLY!$C438,TAX!$A$2:$A$3,TAX!$C$2:$C$3)</f>
        <v>0</v>
      </c>
      <c r="J438" s="39">
        <f t="array" ref="J438">XLOOKUP(COST_BUY_MONTHLY!$C438,TAX!$A$2:$A$3,TAX!$D$2:$D$3)</f>
        <v>0.1</v>
      </c>
      <c r="K438" s="35">
        <f t="shared" si="2"/>
        <v>5500.042429</v>
      </c>
    </row>
    <row r="439" ht="14.25" customHeight="1">
      <c r="A439" s="33" t="s">
        <v>263</v>
      </c>
      <c r="B439" s="33" t="s">
        <v>59</v>
      </c>
      <c r="C439" s="33" t="s">
        <v>236</v>
      </c>
      <c r="D439" s="35">
        <v>8643.97</v>
      </c>
      <c r="E439" s="33">
        <v>14.0</v>
      </c>
      <c r="F439" s="35">
        <f t="array" ref="F439">IF(C439 ="FOB_JP", XLOOKUP(A439,CONTAINER_COST_MONTH!$A$2:$A$13,CONTAINER_COST_MONTH!$B$2:$B$13), 285)</f>
        <v>3562</v>
      </c>
      <c r="G439" s="35">
        <f t="shared" si="1"/>
        <v>254.4285714</v>
      </c>
      <c r="H439" s="38">
        <f t="array" ref="H439">XLOOKUP(COST_BUY_MONTHLY!$C439,TAX!$A$2:$A$3,TAX!$B$2:$B$3)</f>
        <v>0.002</v>
      </c>
      <c r="I439" s="39">
        <f t="array" ref="I439">XLOOKUP(COST_BUY_MONTHLY!$C439,TAX!$A$2:$A$3,TAX!$C$2:$C$3)</f>
        <v>0.2</v>
      </c>
      <c r="J439" s="39">
        <f t="array" ref="J439">XLOOKUP(COST_BUY_MONTHLY!$C439,TAX!$A$2:$A$3,TAX!$D$2:$D$3)</f>
        <v>0.1</v>
      </c>
      <c r="K439" s="35">
        <f t="shared" si="2"/>
        <v>11769.37789</v>
      </c>
    </row>
    <row r="440" ht="14.25" customHeight="1">
      <c r="A440" s="33" t="s">
        <v>263</v>
      </c>
      <c r="B440" s="33" t="s">
        <v>61</v>
      </c>
      <c r="C440" s="33" t="s">
        <v>236</v>
      </c>
      <c r="D440" s="35">
        <v>8643.97</v>
      </c>
      <c r="E440" s="33">
        <v>10.0</v>
      </c>
      <c r="F440" s="35">
        <f t="array" ref="F440">IF(C440 ="FOB_JP", XLOOKUP(A440,CONTAINER_COST_MONTH!$A$2:$A$13,CONTAINER_COST_MONTH!$B$2:$B$13), 285)</f>
        <v>3562</v>
      </c>
      <c r="G440" s="35">
        <f t="shared" si="1"/>
        <v>356.2</v>
      </c>
      <c r="H440" s="38">
        <f t="array" ref="H440">XLOOKUP(COST_BUY_MONTHLY!$C440,TAX!$A$2:$A$3,TAX!$B$2:$B$3)</f>
        <v>0.002</v>
      </c>
      <c r="I440" s="39">
        <f t="array" ref="I440">XLOOKUP(COST_BUY_MONTHLY!$C440,TAX!$A$2:$A$3,TAX!$C$2:$C$3)</f>
        <v>0.2</v>
      </c>
      <c r="J440" s="39">
        <f t="array" ref="J440">XLOOKUP(COST_BUY_MONTHLY!$C440,TAX!$A$2:$A$3,TAX!$D$2:$D$3)</f>
        <v>0.1</v>
      </c>
      <c r="K440" s="35">
        <f t="shared" si="2"/>
        <v>11903.98485</v>
      </c>
    </row>
    <row r="441" ht="14.25" customHeight="1">
      <c r="A441" s="33" t="s">
        <v>263</v>
      </c>
      <c r="B441" s="33" t="s">
        <v>63</v>
      </c>
      <c r="C441" s="33" t="s">
        <v>237</v>
      </c>
      <c r="D441" s="35">
        <v>4989.86</v>
      </c>
      <c r="E441" s="33">
        <v>84.0</v>
      </c>
      <c r="F441" s="35">
        <f t="array" ref="F441">IF(C441 ="FOB_JP", XLOOKUP(A441,CONTAINER_COST_MONTH!$A$2:$A$13,CONTAINER_COST_MONTH!$B$2:$B$13), 285)</f>
        <v>285</v>
      </c>
      <c r="G441" s="35">
        <f t="shared" si="1"/>
        <v>3.392857143</v>
      </c>
      <c r="H441" s="38">
        <f t="array" ref="H441">XLOOKUP(COST_BUY_MONTHLY!$C441,TAX!$A$2:$A$3,TAX!$B$2:$B$3)</f>
        <v>0</v>
      </c>
      <c r="I441" s="39">
        <f t="array" ref="I441">XLOOKUP(COST_BUY_MONTHLY!$C441,TAX!$A$2:$A$3,TAX!$C$2:$C$3)</f>
        <v>0</v>
      </c>
      <c r="J441" s="39">
        <f t="array" ref="J441">XLOOKUP(COST_BUY_MONTHLY!$C441,TAX!$A$2:$A$3,TAX!$D$2:$D$3)</f>
        <v>0.1</v>
      </c>
      <c r="K441" s="35">
        <f t="shared" si="2"/>
        <v>5492.578143</v>
      </c>
    </row>
    <row r="442" ht="14.25" customHeight="1">
      <c r="A442" s="33" t="s">
        <v>263</v>
      </c>
      <c r="B442" s="33" t="s">
        <v>65</v>
      </c>
      <c r="C442" s="33" t="s">
        <v>236</v>
      </c>
      <c r="D442" s="35">
        <v>1056.55</v>
      </c>
      <c r="E442" s="33">
        <v>50.0</v>
      </c>
      <c r="F442" s="35">
        <f t="array" ref="F442">IF(C442 ="FOB_JP", XLOOKUP(A442,CONTAINER_COST_MONTH!$A$2:$A$13,CONTAINER_COST_MONTH!$B$2:$B$13), 285)</f>
        <v>3562</v>
      </c>
      <c r="G442" s="35">
        <f t="shared" si="1"/>
        <v>71.24</v>
      </c>
      <c r="H442" s="38">
        <f t="array" ref="H442">XLOOKUP(COST_BUY_MONTHLY!$C442,TAX!$A$2:$A$3,TAX!$B$2:$B$3)</f>
        <v>0.002</v>
      </c>
      <c r="I442" s="39">
        <f t="array" ref="I442">XLOOKUP(COST_BUY_MONTHLY!$C442,TAX!$A$2:$A$3,TAX!$C$2:$C$3)</f>
        <v>0.2</v>
      </c>
      <c r="J442" s="39">
        <f t="array" ref="J442">XLOOKUP(COST_BUY_MONTHLY!$C442,TAX!$A$2:$A$3,TAX!$D$2:$D$3)</f>
        <v>0.1</v>
      </c>
      <c r="K442" s="35">
        <f t="shared" si="2"/>
        <v>1491.660166</v>
      </c>
    </row>
    <row r="443" ht="14.25" customHeight="1">
      <c r="A443" s="33" t="s">
        <v>263</v>
      </c>
      <c r="B443" s="33" t="s">
        <v>67</v>
      </c>
      <c r="C443" s="33" t="s">
        <v>236</v>
      </c>
      <c r="D443" s="35">
        <v>2991.54</v>
      </c>
      <c r="E443" s="33">
        <v>50.0</v>
      </c>
      <c r="F443" s="35">
        <f t="array" ref="F443">IF(C443 ="FOB_JP", XLOOKUP(A443,CONTAINER_COST_MONTH!$A$2:$A$13,CONTAINER_COST_MONTH!$B$2:$B$13), 285)</f>
        <v>3562</v>
      </c>
      <c r="G443" s="35">
        <f t="shared" si="1"/>
        <v>71.24</v>
      </c>
      <c r="H443" s="38">
        <f t="array" ref="H443">XLOOKUP(COST_BUY_MONTHLY!$C443,TAX!$A$2:$A$3,TAX!$B$2:$B$3)</f>
        <v>0.002</v>
      </c>
      <c r="I443" s="39">
        <f t="array" ref="I443">XLOOKUP(COST_BUY_MONTHLY!$C443,TAX!$A$2:$A$3,TAX!$C$2:$C$3)</f>
        <v>0.2</v>
      </c>
      <c r="J443" s="39">
        <f t="array" ref="J443">XLOOKUP(COST_BUY_MONTHLY!$C443,TAX!$A$2:$A$3,TAX!$D$2:$D$3)</f>
        <v>0.1</v>
      </c>
      <c r="K443" s="35">
        <f t="shared" si="2"/>
        <v>4050.955339</v>
      </c>
    </row>
    <row r="444" ht="14.25" customHeight="1">
      <c r="A444" s="33" t="s">
        <v>263</v>
      </c>
      <c r="B444" s="33" t="s">
        <v>70</v>
      </c>
      <c r="C444" s="33" t="s">
        <v>237</v>
      </c>
      <c r="D444" s="35">
        <v>302.74</v>
      </c>
      <c r="E444" s="33">
        <v>50.0</v>
      </c>
      <c r="F444" s="35">
        <f t="array" ref="F444">IF(C444 ="FOB_JP", XLOOKUP(A444,CONTAINER_COST_MONTH!$A$2:$A$13,CONTAINER_COST_MONTH!$B$2:$B$13), 285)</f>
        <v>285</v>
      </c>
      <c r="G444" s="35">
        <f t="shared" si="1"/>
        <v>5.7</v>
      </c>
      <c r="H444" s="38">
        <f t="array" ref="H444">XLOOKUP(COST_BUY_MONTHLY!$C444,TAX!$A$2:$A$3,TAX!$B$2:$B$3)</f>
        <v>0</v>
      </c>
      <c r="I444" s="39">
        <f t="array" ref="I444">XLOOKUP(COST_BUY_MONTHLY!$C444,TAX!$A$2:$A$3,TAX!$C$2:$C$3)</f>
        <v>0</v>
      </c>
      <c r="J444" s="39">
        <f t="array" ref="J444">XLOOKUP(COST_BUY_MONTHLY!$C444,TAX!$A$2:$A$3,TAX!$D$2:$D$3)</f>
        <v>0.1</v>
      </c>
      <c r="K444" s="35">
        <f t="shared" si="2"/>
        <v>339.284</v>
      </c>
    </row>
    <row r="445" ht="14.25" customHeight="1">
      <c r="A445" s="33" t="s">
        <v>263</v>
      </c>
      <c r="B445" s="33" t="s">
        <v>72</v>
      </c>
      <c r="C445" s="33" t="s">
        <v>237</v>
      </c>
      <c r="D445" s="35">
        <v>1870.55</v>
      </c>
      <c r="E445" s="33">
        <v>50.0</v>
      </c>
      <c r="F445" s="35">
        <f t="array" ref="F445">IF(C445 ="FOB_JP", XLOOKUP(A445,CONTAINER_COST_MONTH!$A$2:$A$13,CONTAINER_COST_MONTH!$B$2:$B$13), 285)</f>
        <v>285</v>
      </c>
      <c r="G445" s="35">
        <f t="shared" si="1"/>
        <v>5.7</v>
      </c>
      <c r="H445" s="38">
        <f t="array" ref="H445">XLOOKUP(COST_BUY_MONTHLY!$C445,TAX!$A$2:$A$3,TAX!$B$2:$B$3)</f>
        <v>0</v>
      </c>
      <c r="I445" s="39">
        <f t="array" ref="I445">XLOOKUP(COST_BUY_MONTHLY!$C445,TAX!$A$2:$A$3,TAX!$C$2:$C$3)</f>
        <v>0</v>
      </c>
      <c r="J445" s="39">
        <f t="array" ref="J445">XLOOKUP(COST_BUY_MONTHLY!$C445,TAX!$A$2:$A$3,TAX!$D$2:$D$3)</f>
        <v>0.1</v>
      </c>
      <c r="K445" s="35">
        <f t="shared" si="2"/>
        <v>2063.875</v>
      </c>
    </row>
    <row r="446" ht="14.25" customHeight="1">
      <c r="A446" s="33" t="s">
        <v>263</v>
      </c>
      <c r="B446" s="33" t="s">
        <v>74</v>
      </c>
      <c r="C446" s="33" t="s">
        <v>236</v>
      </c>
      <c r="D446" s="35">
        <v>828.24</v>
      </c>
      <c r="E446" s="33">
        <v>20.0</v>
      </c>
      <c r="F446" s="35">
        <f t="array" ref="F446">IF(C446 ="FOB_JP", XLOOKUP(A446,CONTAINER_COST_MONTH!$A$2:$A$13,CONTAINER_COST_MONTH!$B$2:$B$13), 285)</f>
        <v>3562</v>
      </c>
      <c r="G446" s="35">
        <f t="shared" si="1"/>
        <v>178.1</v>
      </c>
      <c r="H446" s="38">
        <f t="array" ref="H446">XLOOKUP(COST_BUY_MONTHLY!$C446,TAX!$A$2:$A$3,TAX!$B$2:$B$3)</f>
        <v>0.002</v>
      </c>
      <c r="I446" s="39">
        <f t="array" ref="I446">XLOOKUP(COST_BUY_MONTHLY!$C446,TAX!$A$2:$A$3,TAX!$C$2:$C$3)</f>
        <v>0.2</v>
      </c>
      <c r="J446" s="39">
        <f t="array" ref="J446">XLOOKUP(COST_BUY_MONTHLY!$C446,TAX!$A$2:$A$3,TAX!$D$2:$D$3)</f>
        <v>0.1</v>
      </c>
      <c r="K446" s="35">
        <f t="shared" si="2"/>
        <v>1331.025538</v>
      </c>
    </row>
    <row r="447" ht="14.25" customHeight="1">
      <c r="A447" s="33" t="s">
        <v>263</v>
      </c>
      <c r="B447" s="33" t="s">
        <v>76</v>
      </c>
      <c r="C447" s="33" t="s">
        <v>236</v>
      </c>
      <c r="D447" s="35">
        <v>3219.85</v>
      </c>
      <c r="E447" s="33">
        <v>50.0</v>
      </c>
      <c r="F447" s="35">
        <f t="array" ref="F447">IF(C447 ="FOB_JP", XLOOKUP(A447,CONTAINER_COST_MONTH!$A$2:$A$13,CONTAINER_COST_MONTH!$B$2:$B$13), 285)</f>
        <v>3562</v>
      </c>
      <c r="G447" s="35">
        <f t="shared" si="1"/>
        <v>71.24</v>
      </c>
      <c r="H447" s="38">
        <f t="array" ref="H447">XLOOKUP(COST_BUY_MONTHLY!$C447,TAX!$A$2:$A$3,TAX!$B$2:$B$3)</f>
        <v>0.002</v>
      </c>
      <c r="I447" s="39">
        <f t="array" ref="I447">XLOOKUP(COST_BUY_MONTHLY!$C447,TAX!$A$2:$A$3,TAX!$C$2:$C$3)</f>
        <v>0.2</v>
      </c>
      <c r="J447" s="39">
        <f t="array" ref="J447">XLOOKUP(COST_BUY_MONTHLY!$C447,TAX!$A$2:$A$3,TAX!$D$2:$D$3)</f>
        <v>0.1</v>
      </c>
      <c r="K447" s="35">
        <f t="shared" si="2"/>
        <v>4352.927278</v>
      </c>
    </row>
    <row r="448" ht="14.25" customHeight="1">
      <c r="A448" s="33" t="s">
        <v>263</v>
      </c>
      <c r="B448" s="33" t="s">
        <v>78</v>
      </c>
      <c r="C448" s="33" t="s">
        <v>236</v>
      </c>
      <c r="D448" s="35">
        <v>664.3</v>
      </c>
      <c r="E448" s="33">
        <v>50.0</v>
      </c>
      <c r="F448" s="35">
        <f t="array" ref="F448">IF(C448 ="FOB_JP", XLOOKUP(A448,CONTAINER_COST_MONTH!$A$2:$A$13,CONTAINER_COST_MONTH!$B$2:$B$13), 285)</f>
        <v>3562</v>
      </c>
      <c r="G448" s="35">
        <f t="shared" si="1"/>
        <v>71.24</v>
      </c>
      <c r="H448" s="38">
        <f t="array" ref="H448">XLOOKUP(COST_BUY_MONTHLY!$C448,TAX!$A$2:$A$3,TAX!$B$2:$B$3)</f>
        <v>0.002</v>
      </c>
      <c r="I448" s="39">
        <f t="array" ref="I448">XLOOKUP(COST_BUY_MONTHLY!$C448,TAX!$A$2:$A$3,TAX!$C$2:$C$3)</f>
        <v>0.2</v>
      </c>
      <c r="J448" s="39">
        <f t="array" ref="J448">XLOOKUP(COST_BUY_MONTHLY!$C448,TAX!$A$2:$A$3,TAX!$D$2:$D$3)</f>
        <v>0.1</v>
      </c>
      <c r="K448" s="35">
        <f t="shared" si="2"/>
        <v>972.8546256</v>
      </c>
    </row>
    <row r="449" ht="14.25" customHeight="1">
      <c r="A449" s="33" t="s">
        <v>263</v>
      </c>
      <c r="B449" s="33" t="s">
        <v>80</v>
      </c>
      <c r="C449" s="33" t="s">
        <v>236</v>
      </c>
      <c r="D449" s="35">
        <v>3383.8</v>
      </c>
      <c r="E449" s="33">
        <v>50.0</v>
      </c>
      <c r="F449" s="35">
        <f t="array" ref="F449">IF(C449 ="FOB_JP", XLOOKUP(A449,CONTAINER_COST_MONTH!$A$2:$A$13,CONTAINER_COST_MONTH!$B$2:$B$13), 285)</f>
        <v>3562</v>
      </c>
      <c r="G449" s="35">
        <f t="shared" si="1"/>
        <v>71.24</v>
      </c>
      <c r="H449" s="38">
        <f t="array" ref="H449">XLOOKUP(COST_BUY_MONTHLY!$C449,TAX!$A$2:$A$3,TAX!$B$2:$B$3)</f>
        <v>0.002</v>
      </c>
      <c r="I449" s="39">
        <f t="array" ref="I449">XLOOKUP(COST_BUY_MONTHLY!$C449,TAX!$A$2:$A$3,TAX!$C$2:$C$3)</f>
        <v>0.2</v>
      </c>
      <c r="J449" s="39">
        <f t="array" ref="J449">XLOOKUP(COST_BUY_MONTHLY!$C449,TAX!$A$2:$A$3,TAX!$D$2:$D$3)</f>
        <v>0.1</v>
      </c>
      <c r="K449" s="35">
        <f t="shared" si="2"/>
        <v>4569.774106</v>
      </c>
    </row>
    <row r="450" ht="14.25" customHeight="1">
      <c r="A450" s="33" t="s">
        <v>263</v>
      </c>
      <c r="B450" s="33" t="s">
        <v>82</v>
      </c>
      <c r="C450" s="33" t="s">
        <v>237</v>
      </c>
      <c r="D450" s="35">
        <v>1056.87</v>
      </c>
      <c r="E450" s="33">
        <v>50.0</v>
      </c>
      <c r="F450" s="35">
        <f t="array" ref="F450">IF(C450 ="FOB_JP", XLOOKUP(A450,CONTAINER_COST_MONTH!$A$2:$A$13,CONTAINER_COST_MONTH!$B$2:$B$13), 285)</f>
        <v>285</v>
      </c>
      <c r="G450" s="35">
        <f t="shared" si="1"/>
        <v>5.7</v>
      </c>
      <c r="H450" s="38">
        <f t="array" ref="H450">XLOOKUP(COST_BUY_MONTHLY!$C450,TAX!$A$2:$A$3,TAX!$B$2:$B$3)</f>
        <v>0</v>
      </c>
      <c r="I450" s="39">
        <f t="array" ref="I450">XLOOKUP(COST_BUY_MONTHLY!$C450,TAX!$A$2:$A$3,TAX!$C$2:$C$3)</f>
        <v>0</v>
      </c>
      <c r="J450" s="39">
        <f t="array" ref="J450">XLOOKUP(COST_BUY_MONTHLY!$C450,TAX!$A$2:$A$3,TAX!$D$2:$D$3)</f>
        <v>0.1</v>
      </c>
      <c r="K450" s="35">
        <f t="shared" si="2"/>
        <v>1168.827</v>
      </c>
    </row>
    <row r="451" ht="14.25" customHeight="1">
      <c r="A451" s="33" t="s">
        <v>263</v>
      </c>
      <c r="B451" s="33" t="s">
        <v>84</v>
      </c>
      <c r="C451" s="33" t="s">
        <v>237</v>
      </c>
      <c r="D451" s="35">
        <v>1116.42</v>
      </c>
      <c r="E451" s="33">
        <v>50.0</v>
      </c>
      <c r="F451" s="35">
        <f t="array" ref="F451">IF(C451 ="FOB_JP", XLOOKUP(A451,CONTAINER_COST_MONTH!$A$2:$A$13,CONTAINER_COST_MONTH!$B$2:$B$13), 285)</f>
        <v>285</v>
      </c>
      <c r="G451" s="35">
        <f t="shared" si="1"/>
        <v>5.7</v>
      </c>
      <c r="H451" s="38">
        <f t="array" ref="H451">XLOOKUP(COST_BUY_MONTHLY!$C451,TAX!$A$2:$A$3,TAX!$B$2:$B$3)</f>
        <v>0</v>
      </c>
      <c r="I451" s="39">
        <f t="array" ref="I451">XLOOKUP(COST_BUY_MONTHLY!$C451,TAX!$A$2:$A$3,TAX!$C$2:$C$3)</f>
        <v>0</v>
      </c>
      <c r="J451" s="39">
        <f t="array" ref="J451">XLOOKUP(COST_BUY_MONTHLY!$C451,TAX!$A$2:$A$3,TAX!$D$2:$D$3)</f>
        <v>0.1</v>
      </c>
      <c r="K451" s="35">
        <f t="shared" si="2"/>
        <v>1234.332</v>
      </c>
    </row>
    <row r="452" ht="14.25" customHeight="1">
      <c r="A452" s="33" t="s">
        <v>263</v>
      </c>
      <c r="B452" s="33" t="s">
        <v>86</v>
      </c>
      <c r="C452" s="33" t="s">
        <v>236</v>
      </c>
      <c r="D452" s="35">
        <v>4221.66</v>
      </c>
      <c r="E452" s="33">
        <v>35.0</v>
      </c>
      <c r="F452" s="35">
        <f t="array" ref="F452">IF(C452 ="FOB_JP", XLOOKUP(A452,CONTAINER_COST_MONTH!$A$2:$A$13,CONTAINER_COST_MONTH!$B$2:$B$13), 285)</f>
        <v>3562</v>
      </c>
      <c r="G452" s="35">
        <f t="shared" si="1"/>
        <v>101.7714286</v>
      </c>
      <c r="H452" s="38">
        <f t="array" ref="H452">XLOOKUP(COST_BUY_MONTHLY!$C452,TAX!$A$2:$A$3,TAX!$B$2:$B$3)</f>
        <v>0.002</v>
      </c>
      <c r="I452" s="39">
        <f t="array" ref="I452">XLOOKUP(COST_BUY_MONTHLY!$C452,TAX!$A$2:$A$3,TAX!$C$2:$C$3)</f>
        <v>0.2</v>
      </c>
      <c r="J452" s="39">
        <f t="array" ref="J452">XLOOKUP(COST_BUY_MONTHLY!$C452,TAX!$A$2:$A$3,TAX!$D$2:$D$3)</f>
        <v>0.1</v>
      </c>
      <c r="K452" s="35">
        <f t="shared" si="2"/>
        <v>5718.343345</v>
      </c>
    </row>
    <row r="453" ht="14.25" customHeight="1">
      <c r="A453" s="33" t="s">
        <v>263</v>
      </c>
      <c r="B453" s="33" t="s">
        <v>88</v>
      </c>
      <c r="C453" s="33" t="s">
        <v>236</v>
      </c>
      <c r="D453" s="35">
        <v>6803.82</v>
      </c>
      <c r="E453" s="33">
        <v>35.0</v>
      </c>
      <c r="F453" s="35">
        <f t="array" ref="F453">IF(C453 ="FOB_JP", XLOOKUP(A453,CONTAINER_COST_MONTH!$A$2:$A$13,CONTAINER_COST_MONTH!$B$2:$B$13), 285)</f>
        <v>3562</v>
      </c>
      <c r="G453" s="35">
        <f t="shared" si="1"/>
        <v>101.7714286</v>
      </c>
      <c r="H453" s="38">
        <f t="array" ref="H453">XLOOKUP(COST_BUY_MONTHLY!$C453,TAX!$A$2:$A$3,TAX!$B$2:$B$3)</f>
        <v>0.002</v>
      </c>
      <c r="I453" s="39">
        <f t="array" ref="I453">XLOOKUP(COST_BUY_MONTHLY!$C453,TAX!$A$2:$A$3,TAX!$C$2:$C$3)</f>
        <v>0.2</v>
      </c>
      <c r="J453" s="39">
        <f t="array" ref="J453">XLOOKUP(COST_BUY_MONTHLY!$C453,TAX!$A$2:$A$3,TAX!$D$2:$D$3)</f>
        <v>0.1</v>
      </c>
      <c r="K453" s="35">
        <f t="shared" si="2"/>
        <v>9133.611447</v>
      </c>
    </row>
    <row r="454" ht="14.25" customHeight="1">
      <c r="A454" s="33" t="s">
        <v>263</v>
      </c>
      <c r="B454" s="33" t="s">
        <v>90</v>
      </c>
      <c r="C454" s="33" t="s">
        <v>237</v>
      </c>
      <c r="D454" s="35">
        <v>4065.72</v>
      </c>
      <c r="E454" s="33">
        <v>35.0</v>
      </c>
      <c r="F454" s="35">
        <f t="array" ref="F454">IF(C454 ="FOB_JP", XLOOKUP(A454,CONTAINER_COST_MONTH!$A$2:$A$13,CONTAINER_COST_MONTH!$B$2:$B$13), 285)</f>
        <v>285</v>
      </c>
      <c r="G454" s="35">
        <f t="shared" si="1"/>
        <v>8.142857143</v>
      </c>
      <c r="H454" s="38">
        <f t="array" ref="H454">XLOOKUP(COST_BUY_MONTHLY!$C454,TAX!$A$2:$A$3,TAX!$B$2:$B$3)</f>
        <v>0</v>
      </c>
      <c r="I454" s="39">
        <f t="array" ref="I454">XLOOKUP(COST_BUY_MONTHLY!$C454,TAX!$A$2:$A$3,TAX!$C$2:$C$3)</f>
        <v>0</v>
      </c>
      <c r="J454" s="39">
        <f t="array" ref="J454">XLOOKUP(COST_BUY_MONTHLY!$C454,TAX!$A$2:$A$3,TAX!$D$2:$D$3)</f>
        <v>0.1</v>
      </c>
      <c r="K454" s="35">
        <f t="shared" si="2"/>
        <v>4481.249143</v>
      </c>
    </row>
    <row r="455" ht="14.25" customHeight="1">
      <c r="A455" s="33" t="s">
        <v>263</v>
      </c>
      <c r="B455" s="33" t="s">
        <v>92</v>
      </c>
      <c r="C455" s="33" t="s">
        <v>237</v>
      </c>
      <c r="D455" s="35">
        <v>2298.9</v>
      </c>
      <c r="E455" s="33">
        <v>35.0</v>
      </c>
      <c r="F455" s="35">
        <f t="array" ref="F455">IF(C455 ="FOB_JP", XLOOKUP(A455,CONTAINER_COST_MONTH!$A$2:$A$13,CONTAINER_COST_MONTH!$B$2:$B$13), 285)</f>
        <v>285</v>
      </c>
      <c r="G455" s="35">
        <f t="shared" si="1"/>
        <v>8.142857143</v>
      </c>
      <c r="H455" s="38">
        <f t="array" ref="H455">XLOOKUP(COST_BUY_MONTHLY!$C455,TAX!$A$2:$A$3,TAX!$B$2:$B$3)</f>
        <v>0</v>
      </c>
      <c r="I455" s="39">
        <f t="array" ref="I455">XLOOKUP(COST_BUY_MONTHLY!$C455,TAX!$A$2:$A$3,TAX!$C$2:$C$3)</f>
        <v>0</v>
      </c>
      <c r="J455" s="39">
        <f t="array" ref="J455">XLOOKUP(COST_BUY_MONTHLY!$C455,TAX!$A$2:$A$3,TAX!$D$2:$D$3)</f>
        <v>0.1</v>
      </c>
      <c r="K455" s="35">
        <f t="shared" si="2"/>
        <v>2537.747143</v>
      </c>
    </row>
    <row r="456" ht="14.25" customHeight="1">
      <c r="A456" s="33" t="s">
        <v>263</v>
      </c>
      <c r="B456" s="33" t="s">
        <v>94</v>
      </c>
      <c r="C456" s="33" t="s">
        <v>236</v>
      </c>
      <c r="D456" s="35">
        <v>5824.76</v>
      </c>
      <c r="E456" s="33">
        <v>14.0</v>
      </c>
      <c r="F456" s="35">
        <f t="array" ref="F456">IF(C456 ="FOB_JP", XLOOKUP(A456,CONTAINER_COST_MONTH!$A$2:$A$13,CONTAINER_COST_MONTH!$B$2:$B$13), 285)</f>
        <v>3562</v>
      </c>
      <c r="G456" s="35">
        <f t="shared" si="1"/>
        <v>254.4285714</v>
      </c>
      <c r="H456" s="38">
        <f t="array" ref="H456">XLOOKUP(COST_BUY_MONTHLY!$C456,TAX!$A$2:$A$3,TAX!$B$2:$B$3)</f>
        <v>0.002</v>
      </c>
      <c r="I456" s="39">
        <f t="array" ref="I456">XLOOKUP(COST_BUY_MONTHLY!$C456,TAX!$A$2:$A$3,TAX!$C$2:$C$3)</f>
        <v>0.2</v>
      </c>
      <c r="J456" s="39">
        <f t="array" ref="J456">XLOOKUP(COST_BUY_MONTHLY!$C456,TAX!$A$2:$A$3,TAX!$D$2:$D$3)</f>
        <v>0.1</v>
      </c>
      <c r="K456" s="35">
        <f t="shared" si="2"/>
        <v>8040.577972</v>
      </c>
    </row>
    <row r="457" ht="14.25" customHeight="1">
      <c r="A457" s="33" t="s">
        <v>263</v>
      </c>
      <c r="B457" s="33" t="s">
        <v>96</v>
      </c>
      <c r="C457" s="33" t="s">
        <v>236</v>
      </c>
      <c r="D457" s="35">
        <v>5200.72</v>
      </c>
      <c r="E457" s="33">
        <v>35.0</v>
      </c>
      <c r="F457" s="35">
        <f t="array" ref="F457">IF(C457 ="FOB_JP", XLOOKUP(A457,CONTAINER_COST_MONTH!$A$2:$A$13,CONTAINER_COST_MONTH!$B$2:$B$13), 285)</f>
        <v>3562</v>
      </c>
      <c r="G457" s="35">
        <f t="shared" si="1"/>
        <v>101.7714286</v>
      </c>
      <c r="H457" s="38">
        <f t="array" ref="H457">XLOOKUP(COST_BUY_MONTHLY!$C457,TAX!$A$2:$A$3,TAX!$B$2:$B$3)</f>
        <v>0.002</v>
      </c>
      <c r="I457" s="39">
        <f t="array" ref="I457">XLOOKUP(COST_BUY_MONTHLY!$C457,TAX!$A$2:$A$3,TAX!$C$2:$C$3)</f>
        <v>0.2</v>
      </c>
      <c r="J457" s="39">
        <f t="array" ref="J457">XLOOKUP(COST_BUY_MONTHLY!$C457,TAX!$A$2:$A$3,TAX!$D$2:$D$3)</f>
        <v>0.1</v>
      </c>
      <c r="K457" s="35">
        <f t="shared" si="2"/>
        <v>7013.287263</v>
      </c>
    </row>
    <row r="458" ht="14.25" customHeight="1">
      <c r="A458" s="33" t="s">
        <v>263</v>
      </c>
      <c r="B458" s="33" t="s">
        <v>98</v>
      </c>
      <c r="C458" s="33" t="s">
        <v>236</v>
      </c>
      <c r="D458" s="35">
        <v>8465.36</v>
      </c>
      <c r="E458" s="33">
        <v>35.0</v>
      </c>
      <c r="F458" s="35">
        <f t="array" ref="F458">IF(C458 ="FOB_JP", XLOOKUP(A458,CONTAINER_COST_MONTH!$A$2:$A$13,CONTAINER_COST_MONTH!$B$2:$B$13), 285)</f>
        <v>3562</v>
      </c>
      <c r="G458" s="35">
        <f t="shared" si="1"/>
        <v>101.7714286</v>
      </c>
      <c r="H458" s="38">
        <f t="array" ref="H458">XLOOKUP(COST_BUY_MONTHLY!$C458,TAX!$A$2:$A$3,TAX!$B$2:$B$3)</f>
        <v>0.002</v>
      </c>
      <c r="I458" s="39">
        <f t="array" ref="I458">XLOOKUP(COST_BUY_MONTHLY!$C458,TAX!$A$2:$A$3,TAX!$C$2:$C$3)</f>
        <v>0.2</v>
      </c>
      <c r="J458" s="39">
        <f t="array" ref="J458">XLOOKUP(COST_BUY_MONTHLY!$C458,TAX!$A$2:$A$3,TAX!$D$2:$D$3)</f>
        <v>0.1</v>
      </c>
      <c r="K458" s="35">
        <f t="shared" si="2"/>
        <v>11331.23071</v>
      </c>
    </row>
    <row r="459" ht="14.25" customHeight="1">
      <c r="A459" s="33" t="s">
        <v>263</v>
      </c>
      <c r="B459" s="33" t="s">
        <v>100</v>
      </c>
      <c r="C459" s="33" t="s">
        <v>236</v>
      </c>
      <c r="D459" s="35">
        <v>2560.12</v>
      </c>
      <c r="E459" s="33">
        <v>35.0</v>
      </c>
      <c r="F459" s="35">
        <f t="array" ref="F459">IF(C459 ="FOB_JP", XLOOKUP(A459,CONTAINER_COST_MONTH!$A$2:$A$13,CONTAINER_COST_MONTH!$B$2:$B$13), 285)</f>
        <v>3562</v>
      </c>
      <c r="G459" s="35">
        <f t="shared" si="1"/>
        <v>101.7714286</v>
      </c>
      <c r="H459" s="38">
        <f t="array" ref="H459">XLOOKUP(COST_BUY_MONTHLY!$C459,TAX!$A$2:$A$3,TAX!$B$2:$B$3)</f>
        <v>0.002</v>
      </c>
      <c r="I459" s="39">
        <f t="array" ref="I459">XLOOKUP(COST_BUY_MONTHLY!$C459,TAX!$A$2:$A$3,TAX!$C$2:$C$3)</f>
        <v>0.2</v>
      </c>
      <c r="J459" s="39">
        <f t="array" ref="J459">XLOOKUP(COST_BUY_MONTHLY!$C459,TAX!$A$2:$A$3,TAX!$D$2:$D$3)</f>
        <v>0.1</v>
      </c>
      <c r="K459" s="35">
        <f t="shared" si="2"/>
        <v>3520.724079</v>
      </c>
    </row>
    <row r="460" ht="14.25" customHeight="1">
      <c r="A460" s="33" t="s">
        <v>263</v>
      </c>
      <c r="B460" s="33" t="s">
        <v>102</v>
      </c>
      <c r="C460" s="33" t="s">
        <v>237</v>
      </c>
      <c r="D460" s="35">
        <v>2395.64</v>
      </c>
      <c r="E460" s="33">
        <v>35.0</v>
      </c>
      <c r="F460" s="35">
        <f t="array" ref="F460">IF(C460 ="FOB_JP", XLOOKUP(A460,CONTAINER_COST_MONTH!$A$2:$A$13,CONTAINER_COST_MONTH!$B$2:$B$13), 285)</f>
        <v>285</v>
      </c>
      <c r="G460" s="35">
        <f t="shared" si="1"/>
        <v>8.142857143</v>
      </c>
      <c r="H460" s="38">
        <f t="array" ref="H460">XLOOKUP(COST_BUY_MONTHLY!$C460,TAX!$A$2:$A$3,TAX!$B$2:$B$3)</f>
        <v>0</v>
      </c>
      <c r="I460" s="39">
        <f t="array" ref="I460">XLOOKUP(COST_BUY_MONTHLY!$C460,TAX!$A$2:$A$3,TAX!$C$2:$C$3)</f>
        <v>0</v>
      </c>
      <c r="J460" s="39">
        <f t="array" ref="J460">XLOOKUP(COST_BUY_MONTHLY!$C460,TAX!$A$2:$A$3,TAX!$D$2:$D$3)</f>
        <v>0.1</v>
      </c>
      <c r="K460" s="35">
        <f t="shared" si="2"/>
        <v>2644.161143</v>
      </c>
    </row>
    <row r="461" ht="14.25" customHeight="1">
      <c r="A461" s="33" t="s">
        <v>263</v>
      </c>
      <c r="B461" s="33" t="s">
        <v>104</v>
      </c>
      <c r="C461" s="33" t="s">
        <v>237</v>
      </c>
      <c r="D461" s="35">
        <v>3968.98</v>
      </c>
      <c r="E461" s="33">
        <v>35.0</v>
      </c>
      <c r="F461" s="35">
        <f t="array" ref="F461">IF(C461 ="FOB_JP", XLOOKUP(A461,CONTAINER_COST_MONTH!$A$2:$A$13,CONTAINER_COST_MONTH!$B$2:$B$13), 285)</f>
        <v>285</v>
      </c>
      <c r="G461" s="35">
        <f t="shared" si="1"/>
        <v>8.142857143</v>
      </c>
      <c r="H461" s="38">
        <f t="array" ref="H461">XLOOKUP(COST_BUY_MONTHLY!$C461,TAX!$A$2:$A$3,TAX!$B$2:$B$3)</f>
        <v>0</v>
      </c>
      <c r="I461" s="39">
        <f t="array" ref="I461">XLOOKUP(COST_BUY_MONTHLY!$C461,TAX!$A$2:$A$3,TAX!$C$2:$C$3)</f>
        <v>0</v>
      </c>
      <c r="J461" s="39">
        <f t="array" ref="J461">XLOOKUP(COST_BUY_MONTHLY!$C461,TAX!$A$2:$A$3,TAX!$D$2:$D$3)</f>
        <v>0.1</v>
      </c>
      <c r="K461" s="35">
        <f t="shared" si="2"/>
        <v>4374.835143</v>
      </c>
    </row>
    <row r="462" ht="14.25" customHeight="1">
      <c r="A462" s="33" t="s">
        <v>263</v>
      </c>
      <c r="B462" s="33" t="s">
        <v>106</v>
      </c>
      <c r="C462" s="33" t="s">
        <v>236</v>
      </c>
      <c r="D462" s="35">
        <v>3818.27</v>
      </c>
      <c r="E462" s="33">
        <v>50.0</v>
      </c>
      <c r="F462" s="35">
        <f t="array" ref="F462">IF(C462 ="FOB_JP", XLOOKUP(A462,CONTAINER_COST_MONTH!$A$2:$A$13,CONTAINER_COST_MONTH!$B$2:$B$13), 285)</f>
        <v>3562</v>
      </c>
      <c r="G462" s="35">
        <f t="shared" si="1"/>
        <v>71.24</v>
      </c>
      <c r="H462" s="38">
        <f t="array" ref="H462">XLOOKUP(COST_BUY_MONTHLY!$C462,TAX!$A$2:$A$3,TAX!$B$2:$B$3)</f>
        <v>0.002</v>
      </c>
      <c r="I462" s="39">
        <f t="array" ref="I462">XLOOKUP(COST_BUY_MONTHLY!$C462,TAX!$A$2:$A$3,TAX!$C$2:$C$3)</f>
        <v>0.2</v>
      </c>
      <c r="J462" s="39">
        <f t="array" ref="J462">XLOOKUP(COST_BUY_MONTHLY!$C462,TAX!$A$2:$A$3,TAX!$D$2:$D$3)</f>
        <v>0.1</v>
      </c>
      <c r="K462" s="35">
        <f t="shared" si="2"/>
        <v>5144.421506</v>
      </c>
    </row>
    <row r="463" ht="14.25" customHeight="1">
      <c r="A463" s="33" t="s">
        <v>263</v>
      </c>
      <c r="B463" s="33" t="s">
        <v>108</v>
      </c>
      <c r="C463" s="33" t="s">
        <v>236</v>
      </c>
      <c r="D463" s="35">
        <v>1759.11</v>
      </c>
      <c r="E463" s="33">
        <v>50.0</v>
      </c>
      <c r="F463" s="35">
        <f t="array" ref="F463">IF(C463 ="FOB_JP", XLOOKUP(A463,CONTAINER_COST_MONTH!$A$2:$A$13,CONTAINER_COST_MONTH!$B$2:$B$13), 285)</f>
        <v>3562</v>
      </c>
      <c r="G463" s="35">
        <f t="shared" si="1"/>
        <v>71.24</v>
      </c>
      <c r="H463" s="38">
        <f t="array" ref="H463">XLOOKUP(COST_BUY_MONTHLY!$C463,TAX!$A$2:$A$3,TAX!$B$2:$B$3)</f>
        <v>0.002</v>
      </c>
      <c r="I463" s="39">
        <f t="array" ref="I463">XLOOKUP(COST_BUY_MONTHLY!$C463,TAX!$A$2:$A$3,TAX!$C$2:$C$3)</f>
        <v>0.2</v>
      </c>
      <c r="J463" s="39">
        <f t="array" ref="J463">XLOOKUP(COST_BUY_MONTHLY!$C463,TAX!$A$2:$A$3,TAX!$D$2:$D$3)</f>
        <v>0.1</v>
      </c>
      <c r="K463" s="35">
        <f t="shared" si="2"/>
        <v>2420.894124</v>
      </c>
    </row>
    <row r="464" ht="14.25" customHeight="1">
      <c r="A464" s="33" t="s">
        <v>263</v>
      </c>
      <c r="B464" s="33" t="s">
        <v>110</v>
      </c>
      <c r="C464" s="33" t="s">
        <v>237</v>
      </c>
      <c r="D464" s="35">
        <v>1351.63</v>
      </c>
      <c r="E464" s="33">
        <v>50.0</v>
      </c>
      <c r="F464" s="35">
        <f t="array" ref="F464">IF(C464 ="FOB_JP", XLOOKUP(A464,CONTAINER_COST_MONTH!$A$2:$A$13,CONTAINER_COST_MONTH!$B$2:$B$13), 285)</f>
        <v>285</v>
      </c>
      <c r="G464" s="35">
        <f t="shared" si="1"/>
        <v>5.7</v>
      </c>
      <c r="H464" s="38">
        <f t="array" ref="H464">XLOOKUP(COST_BUY_MONTHLY!$C464,TAX!$A$2:$A$3,TAX!$B$2:$B$3)</f>
        <v>0</v>
      </c>
      <c r="I464" s="39">
        <f t="array" ref="I464">XLOOKUP(COST_BUY_MONTHLY!$C464,TAX!$A$2:$A$3,TAX!$C$2:$C$3)</f>
        <v>0</v>
      </c>
      <c r="J464" s="39">
        <f t="array" ref="J464">XLOOKUP(COST_BUY_MONTHLY!$C464,TAX!$A$2:$A$3,TAX!$D$2:$D$3)</f>
        <v>0.1</v>
      </c>
      <c r="K464" s="35">
        <f t="shared" si="2"/>
        <v>1493.063</v>
      </c>
    </row>
    <row r="465" ht="14.25" customHeight="1">
      <c r="A465" s="33" t="s">
        <v>263</v>
      </c>
      <c r="B465" s="33" t="s">
        <v>112</v>
      </c>
      <c r="C465" s="33" t="s">
        <v>237</v>
      </c>
      <c r="D465" s="35">
        <v>1642.68</v>
      </c>
      <c r="E465" s="33">
        <v>50.0</v>
      </c>
      <c r="F465" s="35">
        <f t="array" ref="F465">IF(C465 ="FOB_JP", XLOOKUP(A465,CONTAINER_COST_MONTH!$A$2:$A$13,CONTAINER_COST_MONTH!$B$2:$B$13), 285)</f>
        <v>285</v>
      </c>
      <c r="G465" s="35">
        <f t="shared" si="1"/>
        <v>5.7</v>
      </c>
      <c r="H465" s="38">
        <f t="array" ref="H465">XLOOKUP(COST_BUY_MONTHLY!$C465,TAX!$A$2:$A$3,TAX!$B$2:$B$3)</f>
        <v>0</v>
      </c>
      <c r="I465" s="39">
        <f t="array" ref="I465">XLOOKUP(COST_BUY_MONTHLY!$C465,TAX!$A$2:$A$3,TAX!$C$2:$C$3)</f>
        <v>0</v>
      </c>
      <c r="J465" s="39">
        <f t="array" ref="J465">XLOOKUP(COST_BUY_MONTHLY!$C465,TAX!$A$2:$A$3,TAX!$D$2:$D$3)</f>
        <v>0.1</v>
      </c>
      <c r="K465" s="35">
        <f t="shared" si="2"/>
        <v>1813.218</v>
      </c>
    </row>
    <row r="466" ht="14.25" customHeight="1">
      <c r="A466" s="33" t="s">
        <v>263</v>
      </c>
      <c r="B466" s="33" t="s">
        <v>114</v>
      </c>
      <c r="C466" s="33" t="s">
        <v>236</v>
      </c>
      <c r="D466" s="35">
        <v>4859.01</v>
      </c>
      <c r="E466" s="33">
        <v>20.0</v>
      </c>
      <c r="F466" s="35">
        <f t="array" ref="F466">IF(C466 ="FOB_JP", XLOOKUP(A466,CONTAINER_COST_MONTH!$A$2:$A$13,CONTAINER_COST_MONTH!$B$2:$B$13), 285)</f>
        <v>3562</v>
      </c>
      <c r="G466" s="35">
        <f t="shared" si="1"/>
        <v>178.1</v>
      </c>
      <c r="H466" s="38">
        <f t="array" ref="H466">XLOOKUP(COST_BUY_MONTHLY!$C466,TAX!$A$2:$A$3,TAX!$B$2:$B$3)</f>
        <v>0.002</v>
      </c>
      <c r="I466" s="39">
        <f t="array" ref="I466">XLOOKUP(COST_BUY_MONTHLY!$C466,TAX!$A$2:$A$3,TAX!$C$2:$C$3)</f>
        <v>0.2</v>
      </c>
      <c r="J466" s="39">
        <f t="array" ref="J466">XLOOKUP(COST_BUY_MONTHLY!$C466,TAX!$A$2:$A$3,TAX!$D$2:$D$3)</f>
        <v>0.1</v>
      </c>
      <c r="K466" s="35">
        <f t="shared" si="2"/>
        <v>6662.28317</v>
      </c>
    </row>
    <row r="467" ht="14.25" customHeight="1">
      <c r="A467" s="33" t="s">
        <v>263</v>
      </c>
      <c r="B467" s="33" t="s">
        <v>116</v>
      </c>
      <c r="C467" s="33" t="s">
        <v>236</v>
      </c>
      <c r="D467" s="35">
        <v>718.36</v>
      </c>
      <c r="E467" s="33">
        <v>50.0</v>
      </c>
      <c r="F467" s="35">
        <f t="array" ref="F467">IF(C467 ="FOB_JP", XLOOKUP(A467,CONTAINER_COST_MONTH!$A$2:$A$13,CONTAINER_COST_MONTH!$B$2:$B$13), 285)</f>
        <v>3562</v>
      </c>
      <c r="G467" s="35">
        <f t="shared" si="1"/>
        <v>71.24</v>
      </c>
      <c r="H467" s="38">
        <f t="array" ref="H467">XLOOKUP(COST_BUY_MONTHLY!$C467,TAX!$A$2:$A$3,TAX!$B$2:$B$3)</f>
        <v>0.002</v>
      </c>
      <c r="I467" s="39">
        <f t="array" ref="I467">XLOOKUP(COST_BUY_MONTHLY!$C467,TAX!$A$2:$A$3,TAX!$C$2:$C$3)</f>
        <v>0.2</v>
      </c>
      <c r="J467" s="39">
        <f t="array" ref="J467">XLOOKUP(COST_BUY_MONTHLY!$C467,TAX!$A$2:$A$3,TAX!$D$2:$D$3)</f>
        <v>0.1</v>
      </c>
      <c r="K467" s="35">
        <f t="shared" si="2"/>
        <v>1044.356544</v>
      </c>
    </row>
    <row r="468" ht="14.25" customHeight="1">
      <c r="A468" s="33" t="s">
        <v>263</v>
      </c>
      <c r="B468" s="33" t="s">
        <v>118</v>
      </c>
      <c r="C468" s="33" t="s">
        <v>236</v>
      </c>
      <c r="D468" s="35">
        <v>2169.04</v>
      </c>
      <c r="E468" s="33">
        <v>50.0</v>
      </c>
      <c r="F468" s="35">
        <f t="array" ref="F468">IF(C468 ="FOB_JP", XLOOKUP(A468,CONTAINER_COST_MONTH!$A$2:$A$13,CONTAINER_COST_MONTH!$B$2:$B$13), 285)</f>
        <v>3562</v>
      </c>
      <c r="G468" s="35">
        <f t="shared" si="1"/>
        <v>71.24</v>
      </c>
      <c r="H468" s="38">
        <f t="array" ref="H468">XLOOKUP(COST_BUY_MONTHLY!$C468,TAX!$A$2:$A$3,TAX!$B$2:$B$3)</f>
        <v>0.002</v>
      </c>
      <c r="I468" s="39">
        <f t="array" ref="I468">XLOOKUP(COST_BUY_MONTHLY!$C468,TAX!$A$2:$A$3,TAX!$C$2:$C$3)</f>
        <v>0.2</v>
      </c>
      <c r="J468" s="39">
        <f t="array" ref="J468">XLOOKUP(COST_BUY_MONTHLY!$C468,TAX!$A$2:$A$3,TAX!$D$2:$D$3)</f>
        <v>0.1</v>
      </c>
      <c r="K468" s="35">
        <f t="shared" si="2"/>
        <v>2963.083939</v>
      </c>
    </row>
    <row r="469" ht="14.25" customHeight="1">
      <c r="A469" s="33" t="s">
        <v>263</v>
      </c>
      <c r="B469" s="33" t="s">
        <v>120</v>
      </c>
      <c r="C469" s="33" t="s">
        <v>236</v>
      </c>
      <c r="D469" s="35">
        <v>3408.33</v>
      </c>
      <c r="E469" s="33">
        <v>50.0</v>
      </c>
      <c r="F469" s="35">
        <f t="array" ref="F469">IF(C469 ="FOB_JP", XLOOKUP(A469,CONTAINER_COST_MONTH!$A$2:$A$13,CONTAINER_COST_MONTH!$B$2:$B$13), 285)</f>
        <v>3562</v>
      </c>
      <c r="G469" s="35">
        <f t="shared" si="1"/>
        <v>71.24</v>
      </c>
      <c r="H469" s="38">
        <f t="array" ref="H469">XLOOKUP(COST_BUY_MONTHLY!$C469,TAX!$A$2:$A$3,TAX!$B$2:$B$3)</f>
        <v>0.002</v>
      </c>
      <c r="I469" s="39">
        <f t="array" ref="I469">XLOOKUP(COST_BUY_MONTHLY!$C469,TAX!$A$2:$A$3,TAX!$C$2:$C$3)</f>
        <v>0.2</v>
      </c>
      <c r="J469" s="39">
        <f t="array" ref="J469">XLOOKUP(COST_BUY_MONTHLY!$C469,TAX!$A$2:$A$3,TAX!$D$2:$D$3)</f>
        <v>0.1</v>
      </c>
      <c r="K469" s="35">
        <f t="shared" si="2"/>
        <v>4602.218465</v>
      </c>
    </row>
    <row r="470" ht="14.25" customHeight="1">
      <c r="A470" s="33" t="s">
        <v>263</v>
      </c>
      <c r="B470" s="33" t="s">
        <v>122</v>
      </c>
      <c r="C470" s="33" t="s">
        <v>237</v>
      </c>
      <c r="D470" s="35">
        <v>647.07</v>
      </c>
      <c r="E470" s="33">
        <v>50.0</v>
      </c>
      <c r="F470" s="35">
        <f t="array" ref="F470">IF(C470 ="FOB_JP", XLOOKUP(A470,CONTAINER_COST_MONTH!$A$2:$A$13,CONTAINER_COST_MONTH!$B$2:$B$13), 285)</f>
        <v>285</v>
      </c>
      <c r="G470" s="35">
        <f t="shared" si="1"/>
        <v>5.7</v>
      </c>
      <c r="H470" s="38">
        <f t="array" ref="H470">XLOOKUP(COST_BUY_MONTHLY!$C470,TAX!$A$2:$A$3,TAX!$B$2:$B$3)</f>
        <v>0</v>
      </c>
      <c r="I470" s="39">
        <f t="array" ref="I470">XLOOKUP(COST_BUY_MONTHLY!$C470,TAX!$A$2:$A$3,TAX!$C$2:$C$3)</f>
        <v>0</v>
      </c>
      <c r="J470" s="39">
        <f t="array" ref="J470">XLOOKUP(COST_BUY_MONTHLY!$C470,TAX!$A$2:$A$3,TAX!$D$2:$D$3)</f>
        <v>0.1</v>
      </c>
      <c r="K470" s="35">
        <f t="shared" si="2"/>
        <v>718.047</v>
      </c>
    </row>
    <row r="471" ht="14.25" customHeight="1">
      <c r="A471" s="33" t="s">
        <v>263</v>
      </c>
      <c r="B471" s="33" t="s">
        <v>124</v>
      </c>
      <c r="C471" s="33" t="s">
        <v>237</v>
      </c>
      <c r="D471" s="35">
        <v>2347.24</v>
      </c>
      <c r="E471" s="33">
        <v>50.0</v>
      </c>
      <c r="F471" s="35">
        <f t="array" ref="F471">IF(C471 ="FOB_JP", XLOOKUP(A471,CONTAINER_COST_MONTH!$A$2:$A$13,CONTAINER_COST_MONTH!$B$2:$B$13), 285)</f>
        <v>285</v>
      </c>
      <c r="G471" s="35">
        <f t="shared" si="1"/>
        <v>5.7</v>
      </c>
      <c r="H471" s="38">
        <f t="array" ref="H471">XLOOKUP(COST_BUY_MONTHLY!$C471,TAX!$A$2:$A$3,TAX!$B$2:$B$3)</f>
        <v>0</v>
      </c>
      <c r="I471" s="39">
        <f t="array" ref="I471">XLOOKUP(COST_BUY_MONTHLY!$C471,TAX!$A$2:$A$3,TAX!$C$2:$C$3)</f>
        <v>0</v>
      </c>
      <c r="J471" s="39">
        <f t="array" ref="J471">XLOOKUP(COST_BUY_MONTHLY!$C471,TAX!$A$2:$A$3,TAX!$D$2:$D$3)</f>
        <v>0.1</v>
      </c>
      <c r="K471" s="35">
        <f t="shared" si="2"/>
        <v>2588.234</v>
      </c>
    </row>
    <row r="472" ht="14.25" customHeight="1">
      <c r="A472" s="33" t="s">
        <v>263</v>
      </c>
      <c r="B472" s="33" t="s">
        <v>126</v>
      </c>
      <c r="C472" s="33" t="s">
        <v>236</v>
      </c>
      <c r="D472" s="35">
        <v>3638.25</v>
      </c>
      <c r="E472" s="33">
        <v>35.0</v>
      </c>
      <c r="F472" s="35">
        <f t="array" ref="F472">IF(C472 ="FOB_JP", XLOOKUP(A472,CONTAINER_COST_MONTH!$A$2:$A$13,CONTAINER_COST_MONTH!$B$2:$B$13), 285)</f>
        <v>3562</v>
      </c>
      <c r="G472" s="35">
        <f t="shared" si="1"/>
        <v>101.7714286</v>
      </c>
      <c r="H472" s="38">
        <f t="array" ref="H472">XLOOKUP(COST_BUY_MONTHLY!$C472,TAX!$A$2:$A$3,TAX!$B$2:$B$3)</f>
        <v>0.002</v>
      </c>
      <c r="I472" s="39">
        <f t="array" ref="I472">XLOOKUP(COST_BUY_MONTHLY!$C472,TAX!$A$2:$A$3,TAX!$C$2:$C$3)</f>
        <v>0.2</v>
      </c>
      <c r="J472" s="39">
        <f t="array" ref="J472">XLOOKUP(COST_BUY_MONTHLY!$C472,TAX!$A$2:$A$3,TAX!$D$2:$D$3)</f>
        <v>0.1</v>
      </c>
      <c r="K472" s="35">
        <f t="shared" si="2"/>
        <v>4946.701942</v>
      </c>
    </row>
    <row r="473" ht="14.25" customHeight="1">
      <c r="A473" s="33" t="s">
        <v>263</v>
      </c>
      <c r="B473" s="33" t="s">
        <v>128</v>
      </c>
      <c r="C473" s="33" t="s">
        <v>236</v>
      </c>
      <c r="D473" s="35">
        <v>5005.73</v>
      </c>
      <c r="E473" s="33">
        <v>35.0</v>
      </c>
      <c r="F473" s="35">
        <f t="array" ref="F473">IF(C473 ="FOB_JP", XLOOKUP(A473,CONTAINER_COST_MONTH!$A$2:$A$13,CONTAINER_COST_MONTH!$B$2:$B$13), 285)</f>
        <v>3562</v>
      </c>
      <c r="G473" s="35">
        <f t="shared" si="1"/>
        <v>101.7714286</v>
      </c>
      <c r="H473" s="38">
        <f t="array" ref="H473">XLOOKUP(COST_BUY_MONTHLY!$C473,TAX!$A$2:$A$3,TAX!$B$2:$B$3)</f>
        <v>0.002</v>
      </c>
      <c r="I473" s="39">
        <f t="array" ref="I473">XLOOKUP(COST_BUY_MONTHLY!$C473,TAX!$A$2:$A$3,TAX!$C$2:$C$3)</f>
        <v>0.2</v>
      </c>
      <c r="J473" s="39">
        <f t="array" ref="J473">XLOOKUP(COST_BUY_MONTHLY!$C473,TAX!$A$2:$A$3,TAX!$D$2:$D$3)</f>
        <v>0.1</v>
      </c>
      <c r="K473" s="35">
        <f t="shared" si="2"/>
        <v>6755.385689</v>
      </c>
    </row>
    <row r="474" ht="14.25" customHeight="1">
      <c r="A474" s="33" t="s">
        <v>263</v>
      </c>
      <c r="B474" s="33" t="s">
        <v>130</v>
      </c>
      <c r="C474" s="33" t="s">
        <v>237</v>
      </c>
      <c r="D474" s="35">
        <v>3760.36</v>
      </c>
      <c r="E474" s="33">
        <v>35.0</v>
      </c>
      <c r="F474" s="35">
        <f t="array" ref="F474">IF(C474 ="FOB_JP", XLOOKUP(A474,CONTAINER_COST_MONTH!$A$2:$A$13,CONTAINER_COST_MONTH!$B$2:$B$13), 285)</f>
        <v>285</v>
      </c>
      <c r="G474" s="35">
        <f t="shared" si="1"/>
        <v>8.142857143</v>
      </c>
      <c r="H474" s="38">
        <f t="array" ref="H474">XLOOKUP(COST_BUY_MONTHLY!$C474,TAX!$A$2:$A$3,TAX!$B$2:$B$3)</f>
        <v>0</v>
      </c>
      <c r="I474" s="39">
        <f t="array" ref="I474">XLOOKUP(COST_BUY_MONTHLY!$C474,TAX!$A$2:$A$3,TAX!$C$2:$C$3)</f>
        <v>0</v>
      </c>
      <c r="J474" s="39">
        <f t="array" ref="J474">XLOOKUP(COST_BUY_MONTHLY!$C474,TAX!$A$2:$A$3,TAX!$D$2:$D$3)</f>
        <v>0.1</v>
      </c>
      <c r="K474" s="35">
        <f t="shared" si="2"/>
        <v>4145.353143</v>
      </c>
    </row>
    <row r="475" ht="14.25" customHeight="1">
      <c r="A475" s="33" t="s">
        <v>263</v>
      </c>
      <c r="B475" s="33" t="s">
        <v>132</v>
      </c>
      <c r="C475" s="33" t="s">
        <v>237</v>
      </c>
      <c r="D475" s="35">
        <v>1229.5</v>
      </c>
      <c r="E475" s="33">
        <v>35.0</v>
      </c>
      <c r="F475" s="35">
        <f t="array" ref="F475">IF(C475 ="FOB_JP", XLOOKUP(A475,CONTAINER_COST_MONTH!$A$2:$A$13,CONTAINER_COST_MONTH!$B$2:$B$13), 285)</f>
        <v>285</v>
      </c>
      <c r="G475" s="35">
        <f t="shared" si="1"/>
        <v>8.142857143</v>
      </c>
      <c r="H475" s="38">
        <f t="array" ref="H475">XLOOKUP(COST_BUY_MONTHLY!$C475,TAX!$A$2:$A$3,TAX!$B$2:$B$3)</f>
        <v>0</v>
      </c>
      <c r="I475" s="39">
        <f t="array" ref="I475">XLOOKUP(COST_BUY_MONTHLY!$C475,TAX!$A$2:$A$3,TAX!$C$2:$C$3)</f>
        <v>0</v>
      </c>
      <c r="J475" s="39">
        <f t="array" ref="J475">XLOOKUP(COST_BUY_MONTHLY!$C475,TAX!$A$2:$A$3,TAX!$D$2:$D$3)</f>
        <v>0.1</v>
      </c>
      <c r="K475" s="35">
        <f t="shared" si="2"/>
        <v>1361.407143</v>
      </c>
    </row>
    <row r="476" ht="14.25" customHeight="1">
      <c r="A476" s="33" t="s">
        <v>263</v>
      </c>
      <c r="B476" s="33" t="s">
        <v>134</v>
      </c>
      <c r="C476" s="33" t="s">
        <v>236</v>
      </c>
      <c r="D476" s="35">
        <v>4169.85</v>
      </c>
      <c r="E476" s="33">
        <v>14.0</v>
      </c>
      <c r="F476" s="35">
        <f t="array" ref="F476">IF(C476 ="FOB_JP", XLOOKUP(A476,CONTAINER_COST_MONTH!$A$2:$A$13,CONTAINER_COST_MONTH!$B$2:$B$13), 285)</f>
        <v>3562</v>
      </c>
      <c r="G476" s="35">
        <f t="shared" si="1"/>
        <v>254.4285714</v>
      </c>
      <c r="H476" s="38">
        <f t="array" ref="H476">XLOOKUP(COST_BUY_MONTHLY!$C476,TAX!$A$2:$A$3,TAX!$B$2:$B$3)</f>
        <v>0.002</v>
      </c>
      <c r="I476" s="39">
        <f t="array" ref="I476">XLOOKUP(COST_BUY_MONTHLY!$C476,TAX!$A$2:$A$3,TAX!$C$2:$C$3)</f>
        <v>0.2</v>
      </c>
      <c r="J476" s="39">
        <f t="array" ref="J476">XLOOKUP(COST_BUY_MONTHLY!$C476,TAX!$A$2:$A$3,TAX!$D$2:$D$3)</f>
        <v>0.1</v>
      </c>
      <c r="K476" s="35">
        <f t="shared" si="2"/>
        <v>5851.72781</v>
      </c>
    </row>
    <row r="477" ht="14.25" customHeight="1">
      <c r="A477" s="33" t="s">
        <v>263</v>
      </c>
      <c r="B477" s="33" t="s">
        <v>136</v>
      </c>
      <c r="C477" s="33" t="s">
        <v>236</v>
      </c>
      <c r="D477" s="35">
        <v>4474.12</v>
      </c>
      <c r="E477" s="33">
        <v>35.0</v>
      </c>
      <c r="F477" s="35">
        <f t="array" ref="F477">IF(C477 ="FOB_JP", XLOOKUP(A477,CONTAINER_COST_MONTH!$A$2:$A$13,CONTAINER_COST_MONTH!$B$2:$B$13), 285)</f>
        <v>3562</v>
      </c>
      <c r="G477" s="35">
        <f t="shared" si="1"/>
        <v>101.7714286</v>
      </c>
      <c r="H477" s="38">
        <f t="array" ref="H477">XLOOKUP(COST_BUY_MONTHLY!$C477,TAX!$A$2:$A$3,TAX!$B$2:$B$3)</f>
        <v>0.002</v>
      </c>
      <c r="I477" s="39">
        <f t="array" ref="I477">XLOOKUP(COST_BUY_MONTHLY!$C477,TAX!$A$2:$A$3,TAX!$C$2:$C$3)</f>
        <v>0.2</v>
      </c>
      <c r="J477" s="39">
        <f t="array" ref="J477">XLOOKUP(COST_BUY_MONTHLY!$C477,TAX!$A$2:$A$3,TAX!$D$2:$D$3)</f>
        <v>0.1</v>
      </c>
      <c r="K477" s="35">
        <f t="shared" si="2"/>
        <v>6052.257039</v>
      </c>
    </row>
    <row r="478" ht="14.25" customHeight="1">
      <c r="A478" s="33" t="s">
        <v>263</v>
      </c>
      <c r="B478" s="33" t="s">
        <v>138</v>
      </c>
      <c r="C478" s="33" t="s">
        <v>236</v>
      </c>
      <c r="D478" s="35">
        <v>1857.59</v>
      </c>
      <c r="E478" s="33">
        <v>35.0</v>
      </c>
      <c r="F478" s="35">
        <f t="array" ref="F478">IF(C478 ="FOB_JP", XLOOKUP(A478,CONTAINER_COST_MONTH!$A$2:$A$13,CONTAINER_COST_MONTH!$B$2:$B$13), 285)</f>
        <v>3562</v>
      </c>
      <c r="G478" s="35">
        <f t="shared" si="1"/>
        <v>101.7714286</v>
      </c>
      <c r="H478" s="38">
        <f t="array" ref="H478">XLOOKUP(COST_BUY_MONTHLY!$C478,TAX!$A$2:$A$3,TAX!$B$2:$B$3)</f>
        <v>0.002</v>
      </c>
      <c r="I478" s="39">
        <f t="array" ref="I478">XLOOKUP(COST_BUY_MONTHLY!$C478,TAX!$A$2:$A$3,TAX!$C$2:$C$3)</f>
        <v>0.2</v>
      </c>
      <c r="J478" s="39">
        <f t="array" ref="J478">XLOOKUP(COST_BUY_MONTHLY!$C478,TAX!$A$2:$A$3,TAX!$D$2:$D$3)</f>
        <v>0.1</v>
      </c>
      <c r="K478" s="35">
        <f t="shared" si="2"/>
        <v>2591.5298</v>
      </c>
    </row>
    <row r="479" ht="14.25" customHeight="1">
      <c r="A479" s="33" t="s">
        <v>263</v>
      </c>
      <c r="B479" s="33" t="s">
        <v>140</v>
      </c>
      <c r="C479" s="33" t="s">
        <v>236</v>
      </c>
      <c r="D479" s="35">
        <v>6786.38</v>
      </c>
      <c r="E479" s="33">
        <v>35.0</v>
      </c>
      <c r="F479" s="35">
        <f t="array" ref="F479">IF(C479 ="FOB_JP", XLOOKUP(A479,CONTAINER_COST_MONTH!$A$2:$A$13,CONTAINER_COST_MONTH!$B$2:$B$13), 285)</f>
        <v>3562</v>
      </c>
      <c r="G479" s="35">
        <f t="shared" si="1"/>
        <v>101.7714286</v>
      </c>
      <c r="H479" s="38">
        <f t="array" ref="H479">XLOOKUP(COST_BUY_MONTHLY!$C479,TAX!$A$2:$A$3,TAX!$B$2:$B$3)</f>
        <v>0.002</v>
      </c>
      <c r="I479" s="39">
        <f t="array" ref="I479">XLOOKUP(COST_BUY_MONTHLY!$C479,TAX!$A$2:$A$3,TAX!$C$2:$C$3)</f>
        <v>0.2</v>
      </c>
      <c r="J479" s="39">
        <f t="array" ref="J479">XLOOKUP(COST_BUY_MONTHLY!$C479,TAX!$A$2:$A$3,TAX!$D$2:$D$3)</f>
        <v>0.1</v>
      </c>
      <c r="K479" s="35">
        <f t="shared" si="2"/>
        <v>9110.544605</v>
      </c>
    </row>
    <row r="480" ht="14.25" customHeight="1">
      <c r="A480" s="33" t="s">
        <v>263</v>
      </c>
      <c r="B480" s="33" t="s">
        <v>142</v>
      </c>
      <c r="C480" s="33" t="s">
        <v>237</v>
      </c>
      <c r="D480" s="35">
        <v>2264.4</v>
      </c>
      <c r="E480" s="33">
        <v>35.0</v>
      </c>
      <c r="F480" s="35">
        <f t="array" ref="F480">IF(C480 ="FOB_JP", XLOOKUP(A480,CONTAINER_COST_MONTH!$A$2:$A$13,CONTAINER_COST_MONTH!$B$2:$B$13), 285)</f>
        <v>285</v>
      </c>
      <c r="G480" s="35">
        <f t="shared" si="1"/>
        <v>8.142857143</v>
      </c>
      <c r="H480" s="38">
        <f t="array" ref="H480">XLOOKUP(COST_BUY_MONTHLY!$C480,TAX!$A$2:$A$3,TAX!$B$2:$B$3)</f>
        <v>0</v>
      </c>
      <c r="I480" s="39">
        <f t="array" ref="I480">XLOOKUP(COST_BUY_MONTHLY!$C480,TAX!$A$2:$A$3,TAX!$C$2:$C$3)</f>
        <v>0</v>
      </c>
      <c r="J480" s="39">
        <f t="array" ref="J480">XLOOKUP(COST_BUY_MONTHLY!$C480,TAX!$A$2:$A$3,TAX!$D$2:$D$3)</f>
        <v>0.1</v>
      </c>
      <c r="K480" s="35">
        <f t="shared" si="2"/>
        <v>2499.797143</v>
      </c>
    </row>
    <row r="481" ht="14.25" customHeight="1">
      <c r="A481" s="33" t="s">
        <v>263</v>
      </c>
      <c r="B481" s="33" t="s">
        <v>144</v>
      </c>
      <c r="C481" s="33" t="s">
        <v>237</v>
      </c>
      <c r="D481" s="35">
        <v>2725.46</v>
      </c>
      <c r="E481" s="33">
        <v>35.0</v>
      </c>
      <c r="F481" s="35">
        <f t="array" ref="F481">IF(C481 ="FOB_JP", XLOOKUP(A481,CONTAINER_COST_MONTH!$A$2:$A$13,CONTAINER_COST_MONTH!$B$2:$B$13), 285)</f>
        <v>285</v>
      </c>
      <c r="G481" s="35">
        <f t="shared" si="1"/>
        <v>8.142857143</v>
      </c>
      <c r="H481" s="38">
        <f t="array" ref="H481">XLOOKUP(COST_BUY_MONTHLY!$C481,TAX!$A$2:$A$3,TAX!$B$2:$B$3)</f>
        <v>0</v>
      </c>
      <c r="I481" s="39">
        <f t="array" ref="I481">XLOOKUP(COST_BUY_MONTHLY!$C481,TAX!$A$2:$A$3,TAX!$C$2:$C$3)</f>
        <v>0</v>
      </c>
      <c r="J481" s="39">
        <f t="array" ref="J481">XLOOKUP(COST_BUY_MONTHLY!$C481,TAX!$A$2:$A$3,TAX!$D$2:$D$3)</f>
        <v>0.1</v>
      </c>
      <c r="K481" s="35">
        <f t="shared" si="2"/>
        <v>3006.963143</v>
      </c>
    </row>
    <row r="482" ht="14.25" customHeight="1">
      <c r="A482" s="33" t="s">
        <v>264</v>
      </c>
      <c r="B482" s="33" t="s">
        <v>11</v>
      </c>
      <c r="C482" s="33" t="s">
        <v>236</v>
      </c>
      <c r="D482" s="35">
        <v>4048.09</v>
      </c>
      <c r="E482" s="33">
        <v>10.0</v>
      </c>
      <c r="F482" s="35">
        <f t="array" ref="F482">IF(C482 ="FOB_JP", XLOOKUP(A482,CONTAINER_COST_MONTH!$A$2:$A$13,CONTAINER_COST_MONTH!$B$2:$B$13), 285)</f>
        <v>3404</v>
      </c>
      <c r="G482" s="35">
        <f t="shared" si="1"/>
        <v>340.4</v>
      </c>
      <c r="H482" s="38">
        <f t="array" ref="H482">XLOOKUP(COST_BUY_MONTHLY!$C482,TAX!$A$2:$A$3,TAX!$B$2:$B$3)</f>
        <v>0.002</v>
      </c>
      <c r="I482" s="39">
        <f t="array" ref="I482">XLOOKUP(COST_BUY_MONTHLY!$C482,TAX!$A$2:$A$3,TAX!$C$2:$C$3)</f>
        <v>0.2</v>
      </c>
      <c r="J482" s="39">
        <f t="array" ref="J482">XLOOKUP(COST_BUY_MONTHLY!$C482,TAX!$A$2:$A$3,TAX!$D$2:$D$3)</f>
        <v>0.1</v>
      </c>
      <c r="K482" s="35">
        <f t="shared" si="2"/>
        <v>5804.392414</v>
      </c>
    </row>
    <row r="483" ht="14.25" customHeight="1">
      <c r="A483" s="33" t="s">
        <v>264</v>
      </c>
      <c r="B483" s="33" t="s">
        <v>18</v>
      </c>
      <c r="C483" s="33" t="s">
        <v>237</v>
      </c>
      <c r="D483" s="35">
        <v>2173.3</v>
      </c>
      <c r="E483" s="33">
        <v>40.0</v>
      </c>
      <c r="F483" s="35">
        <f t="array" ref="F483">IF(C483 ="FOB_JP", XLOOKUP(A483,CONTAINER_COST_MONTH!$A$2:$A$13,CONTAINER_COST_MONTH!$B$2:$B$13), 285)</f>
        <v>285</v>
      </c>
      <c r="G483" s="35">
        <f t="shared" si="1"/>
        <v>7.125</v>
      </c>
      <c r="H483" s="38">
        <f t="array" ref="H483">XLOOKUP(COST_BUY_MONTHLY!$C483,TAX!$A$2:$A$3,TAX!$B$2:$B$3)</f>
        <v>0</v>
      </c>
      <c r="I483" s="39">
        <f t="array" ref="I483">XLOOKUP(COST_BUY_MONTHLY!$C483,TAX!$A$2:$A$3,TAX!$C$2:$C$3)</f>
        <v>0</v>
      </c>
      <c r="J483" s="39">
        <f t="array" ref="J483">XLOOKUP(COST_BUY_MONTHLY!$C483,TAX!$A$2:$A$3,TAX!$D$2:$D$3)</f>
        <v>0.1</v>
      </c>
      <c r="K483" s="35">
        <f t="shared" si="2"/>
        <v>2398.4675</v>
      </c>
    </row>
    <row r="484" ht="14.25" customHeight="1">
      <c r="A484" s="33" t="s">
        <v>264</v>
      </c>
      <c r="B484" s="33" t="s">
        <v>22</v>
      </c>
      <c r="C484" s="33" t="s">
        <v>236</v>
      </c>
      <c r="D484" s="35">
        <v>4048.09</v>
      </c>
      <c r="E484" s="33">
        <v>20.0</v>
      </c>
      <c r="F484" s="35">
        <f t="array" ref="F484">IF(C484 ="FOB_JP", XLOOKUP(A484,CONTAINER_COST_MONTH!$A$2:$A$13,CONTAINER_COST_MONTH!$B$2:$B$13), 285)</f>
        <v>3404</v>
      </c>
      <c r="G484" s="35">
        <f t="shared" si="1"/>
        <v>170.2</v>
      </c>
      <c r="H484" s="38">
        <f t="array" ref="H484">XLOOKUP(COST_BUY_MONTHLY!$C484,TAX!$A$2:$A$3,TAX!$B$2:$B$3)</f>
        <v>0.002</v>
      </c>
      <c r="I484" s="39">
        <f t="array" ref="I484">XLOOKUP(COST_BUY_MONTHLY!$C484,TAX!$A$2:$A$3,TAX!$C$2:$C$3)</f>
        <v>0.2</v>
      </c>
      <c r="J484" s="39">
        <f t="array" ref="J484">XLOOKUP(COST_BUY_MONTHLY!$C484,TAX!$A$2:$A$3,TAX!$D$2:$D$3)</f>
        <v>0.1</v>
      </c>
      <c r="K484" s="35">
        <f t="shared" si="2"/>
        <v>5579.279086</v>
      </c>
    </row>
    <row r="485" ht="14.25" customHeight="1">
      <c r="A485" s="33" t="s">
        <v>264</v>
      </c>
      <c r="B485" s="33" t="s">
        <v>24</v>
      </c>
      <c r="C485" s="33" t="s">
        <v>236</v>
      </c>
      <c r="D485" s="35">
        <v>4048.09</v>
      </c>
      <c r="E485" s="33">
        <v>15.0</v>
      </c>
      <c r="F485" s="35">
        <f t="array" ref="F485">IF(C485 ="FOB_JP", XLOOKUP(A485,CONTAINER_COST_MONTH!$A$2:$A$13,CONTAINER_COST_MONTH!$B$2:$B$13), 285)</f>
        <v>3404</v>
      </c>
      <c r="G485" s="35">
        <f t="shared" si="1"/>
        <v>226.9333333</v>
      </c>
      <c r="H485" s="38">
        <f t="array" ref="H485">XLOOKUP(COST_BUY_MONTHLY!$C485,TAX!$A$2:$A$3,TAX!$B$2:$B$3)</f>
        <v>0.002</v>
      </c>
      <c r="I485" s="39">
        <f t="array" ref="I485">XLOOKUP(COST_BUY_MONTHLY!$C485,TAX!$A$2:$A$3,TAX!$C$2:$C$3)</f>
        <v>0.2</v>
      </c>
      <c r="J485" s="39">
        <f t="array" ref="J485">XLOOKUP(COST_BUY_MONTHLY!$C485,TAX!$A$2:$A$3,TAX!$D$2:$D$3)</f>
        <v>0.1</v>
      </c>
      <c r="K485" s="35">
        <f t="shared" si="2"/>
        <v>5654.316862</v>
      </c>
    </row>
    <row r="486" ht="14.25" customHeight="1">
      <c r="A486" s="33" t="s">
        <v>264</v>
      </c>
      <c r="B486" s="33" t="s">
        <v>26</v>
      </c>
      <c r="C486" s="33" t="s">
        <v>237</v>
      </c>
      <c r="D486" s="35">
        <v>2173.3</v>
      </c>
      <c r="E486" s="33">
        <v>120.0</v>
      </c>
      <c r="F486" s="35">
        <f t="array" ref="F486">IF(C486 ="FOB_JP", XLOOKUP(A486,CONTAINER_COST_MONTH!$A$2:$A$13,CONTAINER_COST_MONTH!$B$2:$B$13), 285)</f>
        <v>285</v>
      </c>
      <c r="G486" s="35">
        <f t="shared" si="1"/>
        <v>2.375</v>
      </c>
      <c r="H486" s="38">
        <f t="array" ref="H486">XLOOKUP(COST_BUY_MONTHLY!$C486,TAX!$A$2:$A$3,TAX!$B$2:$B$3)</f>
        <v>0</v>
      </c>
      <c r="I486" s="39">
        <f t="array" ref="I486">XLOOKUP(COST_BUY_MONTHLY!$C486,TAX!$A$2:$A$3,TAX!$C$2:$C$3)</f>
        <v>0</v>
      </c>
      <c r="J486" s="39">
        <f t="array" ref="J486">XLOOKUP(COST_BUY_MONTHLY!$C486,TAX!$A$2:$A$3,TAX!$D$2:$D$3)</f>
        <v>0.1</v>
      </c>
      <c r="K486" s="35">
        <f t="shared" si="2"/>
        <v>2393.2425</v>
      </c>
    </row>
    <row r="487" ht="14.25" customHeight="1">
      <c r="A487" s="33" t="s">
        <v>264</v>
      </c>
      <c r="B487" s="33" t="s">
        <v>30</v>
      </c>
      <c r="C487" s="33" t="s">
        <v>236</v>
      </c>
      <c r="D487" s="35">
        <v>11025.48</v>
      </c>
      <c r="E487" s="33">
        <v>7.0</v>
      </c>
      <c r="F487" s="35">
        <f t="array" ref="F487">IF(C487 ="FOB_JP", XLOOKUP(A487,CONTAINER_COST_MONTH!$A$2:$A$13,CONTAINER_COST_MONTH!$B$2:$B$13), 285)</f>
        <v>3404</v>
      </c>
      <c r="G487" s="35">
        <f t="shared" si="1"/>
        <v>486.2857143</v>
      </c>
      <c r="H487" s="38">
        <f t="array" ref="H487">XLOOKUP(COST_BUY_MONTHLY!$C487,TAX!$A$2:$A$3,TAX!$B$2:$B$3)</f>
        <v>0.002</v>
      </c>
      <c r="I487" s="39">
        <f t="array" ref="I487">XLOOKUP(COST_BUY_MONTHLY!$C487,TAX!$A$2:$A$3,TAX!$C$2:$C$3)</f>
        <v>0.2</v>
      </c>
      <c r="J487" s="39">
        <f t="array" ref="J487">XLOOKUP(COST_BUY_MONTHLY!$C487,TAX!$A$2:$A$3,TAX!$D$2:$D$3)</f>
        <v>0.1</v>
      </c>
      <c r="K487" s="35">
        <f t="shared" si="2"/>
        <v>15225.9218</v>
      </c>
    </row>
    <row r="488" ht="14.25" customHeight="1">
      <c r="A488" s="33" t="s">
        <v>264</v>
      </c>
      <c r="B488" s="33" t="s">
        <v>33</v>
      </c>
      <c r="C488" s="33" t="s">
        <v>237</v>
      </c>
      <c r="D488" s="35">
        <v>6364.62</v>
      </c>
      <c r="E488" s="33">
        <v>28.0</v>
      </c>
      <c r="F488" s="35">
        <f t="array" ref="F488">IF(C488 ="FOB_JP", XLOOKUP(A488,CONTAINER_COST_MONTH!$A$2:$A$13,CONTAINER_COST_MONTH!$B$2:$B$13), 285)</f>
        <v>285</v>
      </c>
      <c r="G488" s="35">
        <f t="shared" si="1"/>
        <v>10.17857143</v>
      </c>
      <c r="H488" s="38">
        <f t="array" ref="H488">XLOOKUP(COST_BUY_MONTHLY!$C488,TAX!$A$2:$A$3,TAX!$B$2:$B$3)</f>
        <v>0</v>
      </c>
      <c r="I488" s="39">
        <f t="array" ref="I488">XLOOKUP(COST_BUY_MONTHLY!$C488,TAX!$A$2:$A$3,TAX!$C$2:$C$3)</f>
        <v>0</v>
      </c>
      <c r="J488" s="39">
        <f t="array" ref="J488">XLOOKUP(COST_BUY_MONTHLY!$C488,TAX!$A$2:$A$3,TAX!$D$2:$D$3)</f>
        <v>0.1</v>
      </c>
      <c r="K488" s="35">
        <f t="shared" si="2"/>
        <v>7012.278429</v>
      </c>
    </row>
    <row r="489" ht="14.25" customHeight="1">
      <c r="A489" s="33" t="s">
        <v>264</v>
      </c>
      <c r="B489" s="33" t="s">
        <v>35</v>
      </c>
      <c r="C489" s="33" t="s">
        <v>236</v>
      </c>
      <c r="D489" s="35">
        <v>11025.48</v>
      </c>
      <c r="E489" s="33">
        <v>14.0</v>
      </c>
      <c r="F489" s="35">
        <f t="array" ref="F489">IF(C489 ="FOB_JP", XLOOKUP(A489,CONTAINER_COST_MONTH!$A$2:$A$13,CONTAINER_COST_MONTH!$B$2:$B$13), 285)</f>
        <v>3404</v>
      </c>
      <c r="G489" s="35">
        <f t="shared" si="1"/>
        <v>243.1428571</v>
      </c>
      <c r="H489" s="38">
        <f t="array" ref="H489">XLOOKUP(COST_BUY_MONTHLY!$C489,TAX!$A$2:$A$3,TAX!$B$2:$B$3)</f>
        <v>0.002</v>
      </c>
      <c r="I489" s="39">
        <f t="array" ref="I489">XLOOKUP(COST_BUY_MONTHLY!$C489,TAX!$A$2:$A$3,TAX!$C$2:$C$3)</f>
        <v>0.2</v>
      </c>
      <c r="J489" s="39">
        <f t="array" ref="J489">XLOOKUP(COST_BUY_MONTHLY!$C489,TAX!$A$2:$A$3,TAX!$D$2:$D$3)</f>
        <v>0.1</v>
      </c>
      <c r="K489" s="35">
        <f t="shared" si="2"/>
        <v>14904.33134</v>
      </c>
    </row>
    <row r="490" ht="14.25" customHeight="1">
      <c r="A490" s="33" t="s">
        <v>264</v>
      </c>
      <c r="B490" s="33" t="s">
        <v>37</v>
      </c>
      <c r="C490" s="33" t="s">
        <v>236</v>
      </c>
      <c r="D490" s="35">
        <v>11025.48</v>
      </c>
      <c r="E490" s="33">
        <v>10.0</v>
      </c>
      <c r="F490" s="35">
        <f t="array" ref="F490">IF(C490 ="FOB_JP", XLOOKUP(A490,CONTAINER_COST_MONTH!$A$2:$A$13,CONTAINER_COST_MONTH!$B$2:$B$13), 285)</f>
        <v>3404</v>
      </c>
      <c r="G490" s="35">
        <f t="shared" si="1"/>
        <v>340.4</v>
      </c>
      <c r="H490" s="38">
        <f t="array" ref="H490">XLOOKUP(COST_BUY_MONTHLY!$C490,TAX!$A$2:$A$3,TAX!$B$2:$B$3)</f>
        <v>0.002</v>
      </c>
      <c r="I490" s="39">
        <f t="array" ref="I490">XLOOKUP(COST_BUY_MONTHLY!$C490,TAX!$A$2:$A$3,TAX!$C$2:$C$3)</f>
        <v>0.2</v>
      </c>
      <c r="J490" s="39">
        <f t="array" ref="J490">XLOOKUP(COST_BUY_MONTHLY!$C490,TAX!$A$2:$A$3,TAX!$D$2:$D$3)</f>
        <v>0.1</v>
      </c>
      <c r="K490" s="35">
        <f t="shared" si="2"/>
        <v>15032.96752</v>
      </c>
    </row>
    <row r="491" ht="14.25" customHeight="1">
      <c r="A491" s="33" t="s">
        <v>264</v>
      </c>
      <c r="B491" s="33" t="s">
        <v>39</v>
      </c>
      <c r="C491" s="33" t="s">
        <v>237</v>
      </c>
      <c r="D491" s="35">
        <v>6364.62</v>
      </c>
      <c r="E491" s="33">
        <v>84.0</v>
      </c>
      <c r="F491" s="35">
        <f t="array" ref="F491">IF(C491 ="FOB_JP", XLOOKUP(A491,CONTAINER_COST_MONTH!$A$2:$A$13,CONTAINER_COST_MONTH!$B$2:$B$13), 285)</f>
        <v>285</v>
      </c>
      <c r="G491" s="35">
        <f t="shared" si="1"/>
        <v>3.392857143</v>
      </c>
      <c r="H491" s="38">
        <f t="array" ref="H491">XLOOKUP(COST_BUY_MONTHLY!$C491,TAX!$A$2:$A$3,TAX!$B$2:$B$3)</f>
        <v>0</v>
      </c>
      <c r="I491" s="39">
        <f t="array" ref="I491">XLOOKUP(COST_BUY_MONTHLY!$C491,TAX!$A$2:$A$3,TAX!$C$2:$C$3)</f>
        <v>0</v>
      </c>
      <c r="J491" s="39">
        <f t="array" ref="J491">XLOOKUP(COST_BUY_MONTHLY!$C491,TAX!$A$2:$A$3,TAX!$D$2:$D$3)</f>
        <v>0.1</v>
      </c>
      <c r="K491" s="35">
        <f t="shared" si="2"/>
        <v>7004.814143</v>
      </c>
    </row>
    <row r="492" ht="14.25" customHeight="1">
      <c r="A492" s="33" t="s">
        <v>264</v>
      </c>
      <c r="B492" s="33" t="s">
        <v>42</v>
      </c>
      <c r="C492" s="33" t="s">
        <v>236</v>
      </c>
      <c r="D492" s="35">
        <v>5577.37</v>
      </c>
      <c r="E492" s="33">
        <v>10.0</v>
      </c>
      <c r="F492" s="35">
        <f t="array" ref="F492">IF(C492 ="FOB_JP", XLOOKUP(A492,CONTAINER_COST_MONTH!$A$2:$A$13,CONTAINER_COST_MONTH!$B$2:$B$13), 285)</f>
        <v>3404</v>
      </c>
      <c r="G492" s="35">
        <f t="shared" si="1"/>
        <v>340.4</v>
      </c>
      <c r="H492" s="38">
        <f t="array" ref="H492">XLOOKUP(COST_BUY_MONTHLY!$C492,TAX!$A$2:$A$3,TAX!$B$2:$B$3)</f>
        <v>0.002</v>
      </c>
      <c r="I492" s="39">
        <f t="array" ref="I492">XLOOKUP(COST_BUY_MONTHLY!$C492,TAX!$A$2:$A$3,TAX!$C$2:$C$3)</f>
        <v>0.2</v>
      </c>
      <c r="J492" s="39">
        <f t="array" ref="J492">XLOOKUP(COST_BUY_MONTHLY!$C492,TAX!$A$2:$A$3,TAX!$D$2:$D$3)</f>
        <v>0.1</v>
      </c>
      <c r="K492" s="35">
        <f t="shared" si="2"/>
        <v>7827.079313</v>
      </c>
    </row>
    <row r="493" ht="14.25" customHeight="1">
      <c r="A493" s="33" t="s">
        <v>264</v>
      </c>
      <c r="B493" s="33" t="s">
        <v>45</v>
      </c>
      <c r="C493" s="33" t="s">
        <v>237</v>
      </c>
      <c r="D493" s="35">
        <v>2994.32</v>
      </c>
      <c r="E493" s="33">
        <v>40.0</v>
      </c>
      <c r="F493" s="35">
        <f t="array" ref="F493">IF(C493 ="FOB_JP", XLOOKUP(A493,CONTAINER_COST_MONTH!$A$2:$A$13,CONTAINER_COST_MONTH!$B$2:$B$13), 285)</f>
        <v>285</v>
      </c>
      <c r="G493" s="35">
        <f t="shared" si="1"/>
        <v>7.125</v>
      </c>
      <c r="H493" s="38">
        <f t="array" ref="H493">XLOOKUP(COST_BUY_MONTHLY!$C493,TAX!$A$2:$A$3,TAX!$B$2:$B$3)</f>
        <v>0</v>
      </c>
      <c r="I493" s="39">
        <f t="array" ref="I493">XLOOKUP(COST_BUY_MONTHLY!$C493,TAX!$A$2:$A$3,TAX!$C$2:$C$3)</f>
        <v>0</v>
      </c>
      <c r="J493" s="39">
        <f t="array" ref="J493">XLOOKUP(COST_BUY_MONTHLY!$C493,TAX!$A$2:$A$3,TAX!$D$2:$D$3)</f>
        <v>0.1</v>
      </c>
      <c r="K493" s="35">
        <f t="shared" si="2"/>
        <v>3301.5895</v>
      </c>
    </row>
    <row r="494" ht="14.25" customHeight="1">
      <c r="A494" s="33" t="s">
        <v>264</v>
      </c>
      <c r="B494" s="33" t="s">
        <v>47</v>
      </c>
      <c r="C494" s="33" t="s">
        <v>236</v>
      </c>
      <c r="D494" s="35">
        <v>5577.37</v>
      </c>
      <c r="E494" s="33">
        <v>20.0</v>
      </c>
      <c r="F494" s="35">
        <f t="array" ref="F494">IF(C494 ="FOB_JP", XLOOKUP(A494,CONTAINER_COST_MONTH!$A$2:$A$13,CONTAINER_COST_MONTH!$B$2:$B$13), 285)</f>
        <v>3404</v>
      </c>
      <c r="G494" s="35">
        <f t="shared" si="1"/>
        <v>170.2</v>
      </c>
      <c r="H494" s="38">
        <f t="array" ref="H494">XLOOKUP(COST_BUY_MONTHLY!$C494,TAX!$A$2:$A$3,TAX!$B$2:$B$3)</f>
        <v>0.002</v>
      </c>
      <c r="I494" s="39">
        <f t="array" ref="I494">XLOOKUP(COST_BUY_MONTHLY!$C494,TAX!$A$2:$A$3,TAX!$C$2:$C$3)</f>
        <v>0.2</v>
      </c>
      <c r="J494" s="39">
        <f t="array" ref="J494">XLOOKUP(COST_BUY_MONTHLY!$C494,TAX!$A$2:$A$3,TAX!$D$2:$D$3)</f>
        <v>0.1</v>
      </c>
      <c r="K494" s="35">
        <f t="shared" si="2"/>
        <v>7601.965985</v>
      </c>
    </row>
    <row r="495" ht="14.25" customHeight="1">
      <c r="A495" s="33" t="s">
        <v>264</v>
      </c>
      <c r="B495" s="33" t="s">
        <v>49</v>
      </c>
      <c r="C495" s="33" t="s">
        <v>236</v>
      </c>
      <c r="D495" s="35">
        <v>5577.37</v>
      </c>
      <c r="E495" s="33">
        <v>15.0</v>
      </c>
      <c r="F495" s="35">
        <f t="array" ref="F495">IF(C495 ="FOB_JP", XLOOKUP(A495,CONTAINER_COST_MONTH!$A$2:$A$13,CONTAINER_COST_MONTH!$B$2:$B$13), 285)</f>
        <v>3404</v>
      </c>
      <c r="G495" s="35">
        <f t="shared" si="1"/>
        <v>226.9333333</v>
      </c>
      <c r="H495" s="38">
        <f t="array" ref="H495">XLOOKUP(COST_BUY_MONTHLY!$C495,TAX!$A$2:$A$3,TAX!$B$2:$B$3)</f>
        <v>0.002</v>
      </c>
      <c r="I495" s="39">
        <f t="array" ref="I495">XLOOKUP(COST_BUY_MONTHLY!$C495,TAX!$A$2:$A$3,TAX!$C$2:$C$3)</f>
        <v>0.2</v>
      </c>
      <c r="J495" s="39">
        <f t="array" ref="J495">XLOOKUP(COST_BUY_MONTHLY!$C495,TAX!$A$2:$A$3,TAX!$D$2:$D$3)</f>
        <v>0.1</v>
      </c>
      <c r="K495" s="35">
        <f t="shared" si="2"/>
        <v>7677.003761</v>
      </c>
    </row>
    <row r="496" ht="14.25" customHeight="1">
      <c r="A496" s="33" t="s">
        <v>264</v>
      </c>
      <c r="B496" s="33" t="s">
        <v>51</v>
      </c>
      <c r="C496" s="33" t="s">
        <v>237</v>
      </c>
      <c r="D496" s="35">
        <v>2994.32</v>
      </c>
      <c r="E496" s="33">
        <v>120.0</v>
      </c>
      <c r="F496" s="35">
        <f t="array" ref="F496">IF(C496 ="FOB_JP", XLOOKUP(A496,CONTAINER_COST_MONTH!$A$2:$A$13,CONTAINER_COST_MONTH!$B$2:$B$13), 285)</f>
        <v>285</v>
      </c>
      <c r="G496" s="35">
        <f t="shared" si="1"/>
        <v>2.375</v>
      </c>
      <c r="H496" s="38">
        <f t="array" ref="H496">XLOOKUP(COST_BUY_MONTHLY!$C496,TAX!$A$2:$A$3,TAX!$B$2:$B$3)</f>
        <v>0</v>
      </c>
      <c r="I496" s="39">
        <f t="array" ref="I496">XLOOKUP(COST_BUY_MONTHLY!$C496,TAX!$A$2:$A$3,TAX!$C$2:$C$3)</f>
        <v>0</v>
      </c>
      <c r="J496" s="39">
        <f t="array" ref="J496">XLOOKUP(COST_BUY_MONTHLY!$C496,TAX!$A$2:$A$3,TAX!$D$2:$D$3)</f>
        <v>0.1</v>
      </c>
      <c r="K496" s="35">
        <f t="shared" si="2"/>
        <v>3296.3645</v>
      </c>
    </row>
    <row r="497" ht="14.25" customHeight="1">
      <c r="A497" s="33" t="s">
        <v>264</v>
      </c>
      <c r="B497" s="33" t="s">
        <v>54</v>
      </c>
      <c r="C497" s="33" t="s">
        <v>236</v>
      </c>
      <c r="D497" s="35">
        <v>8643.97</v>
      </c>
      <c r="E497" s="33">
        <v>7.0</v>
      </c>
      <c r="F497" s="35">
        <f t="array" ref="F497">IF(C497 ="FOB_JP", XLOOKUP(A497,CONTAINER_COST_MONTH!$A$2:$A$13,CONTAINER_COST_MONTH!$B$2:$B$13), 285)</f>
        <v>3404</v>
      </c>
      <c r="G497" s="35">
        <f t="shared" si="1"/>
        <v>486.2857143</v>
      </c>
      <c r="H497" s="38">
        <f t="array" ref="H497">XLOOKUP(COST_BUY_MONTHLY!$C497,TAX!$A$2:$A$3,TAX!$B$2:$B$3)</f>
        <v>0.002</v>
      </c>
      <c r="I497" s="39">
        <f t="array" ref="I497">XLOOKUP(COST_BUY_MONTHLY!$C497,TAX!$A$2:$A$3,TAX!$C$2:$C$3)</f>
        <v>0.2</v>
      </c>
      <c r="J497" s="39">
        <f t="array" ref="J497">XLOOKUP(COST_BUY_MONTHLY!$C497,TAX!$A$2:$A$3,TAX!$D$2:$D$3)</f>
        <v>0.1</v>
      </c>
      <c r="K497" s="35">
        <f t="shared" si="2"/>
        <v>12076.04142</v>
      </c>
    </row>
    <row r="498" ht="14.25" customHeight="1">
      <c r="A498" s="33" t="s">
        <v>264</v>
      </c>
      <c r="B498" s="33" t="s">
        <v>57</v>
      </c>
      <c r="C498" s="33" t="s">
        <v>237</v>
      </c>
      <c r="D498" s="35">
        <v>4989.86</v>
      </c>
      <c r="E498" s="33">
        <v>28.0</v>
      </c>
      <c r="F498" s="35">
        <f t="array" ref="F498">IF(C498 ="FOB_JP", XLOOKUP(A498,CONTAINER_COST_MONTH!$A$2:$A$13,CONTAINER_COST_MONTH!$B$2:$B$13), 285)</f>
        <v>285</v>
      </c>
      <c r="G498" s="35">
        <f t="shared" si="1"/>
        <v>10.17857143</v>
      </c>
      <c r="H498" s="38">
        <f t="array" ref="H498">XLOOKUP(COST_BUY_MONTHLY!$C498,TAX!$A$2:$A$3,TAX!$B$2:$B$3)</f>
        <v>0</v>
      </c>
      <c r="I498" s="39">
        <f t="array" ref="I498">XLOOKUP(COST_BUY_MONTHLY!$C498,TAX!$A$2:$A$3,TAX!$C$2:$C$3)</f>
        <v>0</v>
      </c>
      <c r="J498" s="39">
        <f t="array" ref="J498">XLOOKUP(COST_BUY_MONTHLY!$C498,TAX!$A$2:$A$3,TAX!$D$2:$D$3)</f>
        <v>0.1</v>
      </c>
      <c r="K498" s="35">
        <f t="shared" si="2"/>
        <v>5500.042429</v>
      </c>
    </row>
    <row r="499" ht="14.25" customHeight="1">
      <c r="A499" s="33" t="s">
        <v>264</v>
      </c>
      <c r="B499" s="33" t="s">
        <v>59</v>
      </c>
      <c r="C499" s="33" t="s">
        <v>236</v>
      </c>
      <c r="D499" s="35">
        <v>8643.97</v>
      </c>
      <c r="E499" s="33">
        <v>14.0</v>
      </c>
      <c r="F499" s="35">
        <f t="array" ref="F499">IF(C499 ="FOB_JP", XLOOKUP(A499,CONTAINER_COST_MONTH!$A$2:$A$13,CONTAINER_COST_MONTH!$B$2:$B$13), 285)</f>
        <v>3404</v>
      </c>
      <c r="G499" s="35">
        <f t="shared" si="1"/>
        <v>243.1428571</v>
      </c>
      <c r="H499" s="38">
        <f t="array" ref="H499">XLOOKUP(COST_BUY_MONTHLY!$C499,TAX!$A$2:$A$3,TAX!$B$2:$B$3)</f>
        <v>0.002</v>
      </c>
      <c r="I499" s="39">
        <f t="array" ref="I499">XLOOKUP(COST_BUY_MONTHLY!$C499,TAX!$A$2:$A$3,TAX!$C$2:$C$3)</f>
        <v>0.2</v>
      </c>
      <c r="J499" s="39">
        <f t="array" ref="J499">XLOOKUP(COST_BUY_MONTHLY!$C499,TAX!$A$2:$A$3,TAX!$D$2:$D$3)</f>
        <v>0.1</v>
      </c>
      <c r="K499" s="35">
        <f t="shared" si="2"/>
        <v>11754.45095</v>
      </c>
    </row>
    <row r="500" ht="14.25" customHeight="1">
      <c r="A500" s="33" t="s">
        <v>264</v>
      </c>
      <c r="B500" s="33" t="s">
        <v>61</v>
      </c>
      <c r="C500" s="33" t="s">
        <v>236</v>
      </c>
      <c r="D500" s="35">
        <v>8643.97</v>
      </c>
      <c r="E500" s="33">
        <v>10.0</v>
      </c>
      <c r="F500" s="35">
        <f t="array" ref="F500">IF(C500 ="FOB_JP", XLOOKUP(A500,CONTAINER_COST_MONTH!$A$2:$A$13,CONTAINER_COST_MONTH!$B$2:$B$13), 285)</f>
        <v>3404</v>
      </c>
      <c r="G500" s="35">
        <f t="shared" si="1"/>
        <v>340.4</v>
      </c>
      <c r="H500" s="38">
        <f t="array" ref="H500">XLOOKUP(COST_BUY_MONTHLY!$C500,TAX!$A$2:$A$3,TAX!$B$2:$B$3)</f>
        <v>0.002</v>
      </c>
      <c r="I500" s="39">
        <f t="array" ref="I500">XLOOKUP(COST_BUY_MONTHLY!$C500,TAX!$A$2:$A$3,TAX!$C$2:$C$3)</f>
        <v>0.2</v>
      </c>
      <c r="J500" s="39">
        <f t="array" ref="J500">XLOOKUP(COST_BUY_MONTHLY!$C500,TAX!$A$2:$A$3,TAX!$D$2:$D$3)</f>
        <v>0.1</v>
      </c>
      <c r="K500" s="35">
        <f t="shared" si="2"/>
        <v>11883.08714</v>
      </c>
    </row>
    <row r="501" ht="14.25" customHeight="1">
      <c r="A501" s="33" t="s">
        <v>264</v>
      </c>
      <c r="B501" s="33" t="s">
        <v>63</v>
      </c>
      <c r="C501" s="33" t="s">
        <v>237</v>
      </c>
      <c r="D501" s="35">
        <v>4989.86</v>
      </c>
      <c r="E501" s="33">
        <v>84.0</v>
      </c>
      <c r="F501" s="35">
        <f t="array" ref="F501">IF(C501 ="FOB_JP", XLOOKUP(A501,CONTAINER_COST_MONTH!$A$2:$A$13,CONTAINER_COST_MONTH!$B$2:$B$13), 285)</f>
        <v>285</v>
      </c>
      <c r="G501" s="35">
        <f t="shared" si="1"/>
        <v>3.392857143</v>
      </c>
      <c r="H501" s="38">
        <f t="array" ref="H501">XLOOKUP(COST_BUY_MONTHLY!$C501,TAX!$A$2:$A$3,TAX!$B$2:$B$3)</f>
        <v>0</v>
      </c>
      <c r="I501" s="39">
        <f t="array" ref="I501">XLOOKUP(COST_BUY_MONTHLY!$C501,TAX!$A$2:$A$3,TAX!$C$2:$C$3)</f>
        <v>0</v>
      </c>
      <c r="J501" s="39">
        <f t="array" ref="J501">XLOOKUP(COST_BUY_MONTHLY!$C501,TAX!$A$2:$A$3,TAX!$D$2:$D$3)</f>
        <v>0.1</v>
      </c>
      <c r="K501" s="35">
        <f t="shared" si="2"/>
        <v>5492.578143</v>
      </c>
    </row>
    <row r="502" ht="14.25" customHeight="1">
      <c r="A502" s="33" t="s">
        <v>264</v>
      </c>
      <c r="B502" s="33" t="s">
        <v>65</v>
      </c>
      <c r="C502" s="33" t="s">
        <v>236</v>
      </c>
      <c r="D502" s="35">
        <v>1056.55</v>
      </c>
      <c r="E502" s="33">
        <v>50.0</v>
      </c>
      <c r="F502" s="35">
        <f t="array" ref="F502">IF(C502 ="FOB_JP", XLOOKUP(A502,CONTAINER_COST_MONTH!$A$2:$A$13,CONTAINER_COST_MONTH!$B$2:$B$13), 285)</f>
        <v>3404</v>
      </c>
      <c r="G502" s="35">
        <f t="shared" si="1"/>
        <v>68.08</v>
      </c>
      <c r="H502" s="38">
        <f t="array" ref="H502">XLOOKUP(COST_BUY_MONTHLY!$C502,TAX!$A$2:$A$3,TAX!$B$2:$B$3)</f>
        <v>0.002</v>
      </c>
      <c r="I502" s="39">
        <f t="array" ref="I502">XLOOKUP(COST_BUY_MONTHLY!$C502,TAX!$A$2:$A$3,TAX!$C$2:$C$3)</f>
        <v>0.2</v>
      </c>
      <c r="J502" s="39">
        <f t="array" ref="J502">XLOOKUP(COST_BUY_MONTHLY!$C502,TAX!$A$2:$A$3,TAX!$D$2:$D$3)</f>
        <v>0.1</v>
      </c>
      <c r="K502" s="35">
        <f t="shared" si="2"/>
        <v>1487.480623</v>
      </c>
    </row>
    <row r="503" ht="14.25" customHeight="1">
      <c r="A503" s="33" t="s">
        <v>264</v>
      </c>
      <c r="B503" s="33" t="s">
        <v>67</v>
      </c>
      <c r="C503" s="33" t="s">
        <v>236</v>
      </c>
      <c r="D503" s="35">
        <v>2991.54</v>
      </c>
      <c r="E503" s="33">
        <v>50.0</v>
      </c>
      <c r="F503" s="35">
        <f t="array" ref="F503">IF(C503 ="FOB_JP", XLOOKUP(A503,CONTAINER_COST_MONTH!$A$2:$A$13,CONTAINER_COST_MONTH!$B$2:$B$13), 285)</f>
        <v>3404</v>
      </c>
      <c r="G503" s="35">
        <f t="shared" si="1"/>
        <v>68.08</v>
      </c>
      <c r="H503" s="38">
        <f t="array" ref="H503">XLOOKUP(COST_BUY_MONTHLY!$C503,TAX!$A$2:$A$3,TAX!$B$2:$B$3)</f>
        <v>0.002</v>
      </c>
      <c r="I503" s="39">
        <f t="array" ref="I503">XLOOKUP(COST_BUY_MONTHLY!$C503,TAX!$A$2:$A$3,TAX!$C$2:$C$3)</f>
        <v>0.2</v>
      </c>
      <c r="J503" s="39">
        <f t="array" ref="J503">XLOOKUP(COST_BUY_MONTHLY!$C503,TAX!$A$2:$A$3,TAX!$D$2:$D$3)</f>
        <v>0.1</v>
      </c>
      <c r="K503" s="35">
        <f t="shared" si="2"/>
        <v>4046.775797</v>
      </c>
    </row>
    <row r="504" ht="14.25" customHeight="1">
      <c r="A504" s="33" t="s">
        <v>264</v>
      </c>
      <c r="B504" s="33" t="s">
        <v>70</v>
      </c>
      <c r="C504" s="33" t="s">
        <v>237</v>
      </c>
      <c r="D504" s="35">
        <v>302.74</v>
      </c>
      <c r="E504" s="33">
        <v>50.0</v>
      </c>
      <c r="F504" s="35">
        <f t="array" ref="F504">IF(C504 ="FOB_JP", XLOOKUP(A504,CONTAINER_COST_MONTH!$A$2:$A$13,CONTAINER_COST_MONTH!$B$2:$B$13), 285)</f>
        <v>285</v>
      </c>
      <c r="G504" s="35">
        <f t="shared" si="1"/>
        <v>5.7</v>
      </c>
      <c r="H504" s="38">
        <f t="array" ref="H504">XLOOKUP(COST_BUY_MONTHLY!$C504,TAX!$A$2:$A$3,TAX!$B$2:$B$3)</f>
        <v>0</v>
      </c>
      <c r="I504" s="39">
        <f t="array" ref="I504">XLOOKUP(COST_BUY_MONTHLY!$C504,TAX!$A$2:$A$3,TAX!$C$2:$C$3)</f>
        <v>0</v>
      </c>
      <c r="J504" s="39">
        <f t="array" ref="J504">XLOOKUP(COST_BUY_MONTHLY!$C504,TAX!$A$2:$A$3,TAX!$D$2:$D$3)</f>
        <v>0.1</v>
      </c>
      <c r="K504" s="35">
        <f t="shared" si="2"/>
        <v>339.284</v>
      </c>
    </row>
    <row r="505" ht="14.25" customHeight="1">
      <c r="A505" s="33" t="s">
        <v>264</v>
      </c>
      <c r="B505" s="33" t="s">
        <v>72</v>
      </c>
      <c r="C505" s="33" t="s">
        <v>237</v>
      </c>
      <c r="D505" s="35">
        <v>1870.55</v>
      </c>
      <c r="E505" s="33">
        <v>50.0</v>
      </c>
      <c r="F505" s="35">
        <f t="array" ref="F505">IF(C505 ="FOB_JP", XLOOKUP(A505,CONTAINER_COST_MONTH!$A$2:$A$13,CONTAINER_COST_MONTH!$B$2:$B$13), 285)</f>
        <v>285</v>
      </c>
      <c r="G505" s="35">
        <f t="shared" si="1"/>
        <v>5.7</v>
      </c>
      <c r="H505" s="38">
        <f t="array" ref="H505">XLOOKUP(COST_BUY_MONTHLY!$C505,TAX!$A$2:$A$3,TAX!$B$2:$B$3)</f>
        <v>0</v>
      </c>
      <c r="I505" s="39">
        <f t="array" ref="I505">XLOOKUP(COST_BUY_MONTHLY!$C505,TAX!$A$2:$A$3,TAX!$C$2:$C$3)</f>
        <v>0</v>
      </c>
      <c r="J505" s="39">
        <f t="array" ref="J505">XLOOKUP(COST_BUY_MONTHLY!$C505,TAX!$A$2:$A$3,TAX!$D$2:$D$3)</f>
        <v>0.1</v>
      </c>
      <c r="K505" s="35">
        <f t="shared" si="2"/>
        <v>2063.875</v>
      </c>
    </row>
    <row r="506" ht="14.25" customHeight="1">
      <c r="A506" s="33" t="s">
        <v>264</v>
      </c>
      <c r="B506" s="33" t="s">
        <v>74</v>
      </c>
      <c r="C506" s="33" t="s">
        <v>236</v>
      </c>
      <c r="D506" s="35">
        <v>828.24</v>
      </c>
      <c r="E506" s="33">
        <v>20.0</v>
      </c>
      <c r="F506" s="35">
        <f t="array" ref="F506">IF(C506 ="FOB_JP", XLOOKUP(A506,CONTAINER_COST_MONTH!$A$2:$A$13,CONTAINER_COST_MONTH!$B$2:$B$13), 285)</f>
        <v>3404</v>
      </c>
      <c r="G506" s="35">
        <f t="shared" si="1"/>
        <v>170.2</v>
      </c>
      <c r="H506" s="38">
        <f t="array" ref="H506">XLOOKUP(COST_BUY_MONTHLY!$C506,TAX!$A$2:$A$3,TAX!$B$2:$B$3)</f>
        <v>0.002</v>
      </c>
      <c r="I506" s="39">
        <f t="array" ref="I506">XLOOKUP(COST_BUY_MONTHLY!$C506,TAX!$A$2:$A$3,TAX!$C$2:$C$3)</f>
        <v>0.2</v>
      </c>
      <c r="J506" s="39">
        <f t="array" ref="J506">XLOOKUP(COST_BUY_MONTHLY!$C506,TAX!$A$2:$A$3,TAX!$D$2:$D$3)</f>
        <v>0.1</v>
      </c>
      <c r="K506" s="35">
        <f t="shared" si="2"/>
        <v>1320.576682</v>
      </c>
    </row>
    <row r="507" ht="14.25" customHeight="1">
      <c r="A507" s="33" t="s">
        <v>264</v>
      </c>
      <c r="B507" s="33" t="s">
        <v>76</v>
      </c>
      <c r="C507" s="33" t="s">
        <v>236</v>
      </c>
      <c r="D507" s="35">
        <v>3219.85</v>
      </c>
      <c r="E507" s="33">
        <v>50.0</v>
      </c>
      <c r="F507" s="35">
        <f t="array" ref="F507">IF(C507 ="FOB_JP", XLOOKUP(A507,CONTAINER_COST_MONTH!$A$2:$A$13,CONTAINER_COST_MONTH!$B$2:$B$13), 285)</f>
        <v>3404</v>
      </c>
      <c r="G507" s="35">
        <f t="shared" si="1"/>
        <v>68.08</v>
      </c>
      <c r="H507" s="38">
        <f t="array" ref="H507">XLOOKUP(COST_BUY_MONTHLY!$C507,TAX!$A$2:$A$3,TAX!$B$2:$B$3)</f>
        <v>0.002</v>
      </c>
      <c r="I507" s="39">
        <f t="array" ref="I507">XLOOKUP(COST_BUY_MONTHLY!$C507,TAX!$A$2:$A$3,TAX!$C$2:$C$3)</f>
        <v>0.2</v>
      </c>
      <c r="J507" s="39">
        <f t="array" ref="J507">XLOOKUP(COST_BUY_MONTHLY!$C507,TAX!$A$2:$A$3,TAX!$D$2:$D$3)</f>
        <v>0.1</v>
      </c>
      <c r="K507" s="35">
        <f t="shared" si="2"/>
        <v>4348.747735</v>
      </c>
    </row>
    <row r="508" ht="14.25" customHeight="1">
      <c r="A508" s="33" t="s">
        <v>264</v>
      </c>
      <c r="B508" s="33" t="s">
        <v>78</v>
      </c>
      <c r="C508" s="33" t="s">
        <v>236</v>
      </c>
      <c r="D508" s="35">
        <v>664.3</v>
      </c>
      <c r="E508" s="33">
        <v>50.0</v>
      </c>
      <c r="F508" s="35">
        <f t="array" ref="F508">IF(C508 ="FOB_JP", XLOOKUP(A508,CONTAINER_COST_MONTH!$A$2:$A$13,CONTAINER_COST_MONTH!$B$2:$B$13), 285)</f>
        <v>3404</v>
      </c>
      <c r="G508" s="35">
        <f t="shared" si="1"/>
        <v>68.08</v>
      </c>
      <c r="H508" s="38">
        <f t="array" ref="H508">XLOOKUP(COST_BUY_MONTHLY!$C508,TAX!$A$2:$A$3,TAX!$B$2:$B$3)</f>
        <v>0.002</v>
      </c>
      <c r="I508" s="39">
        <f t="array" ref="I508">XLOOKUP(COST_BUY_MONTHLY!$C508,TAX!$A$2:$A$3,TAX!$C$2:$C$3)</f>
        <v>0.2</v>
      </c>
      <c r="J508" s="39">
        <f t="array" ref="J508">XLOOKUP(COST_BUY_MONTHLY!$C508,TAX!$A$2:$A$3,TAX!$D$2:$D$3)</f>
        <v>0.1</v>
      </c>
      <c r="K508" s="35">
        <f t="shared" si="2"/>
        <v>968.6750832</v>
      </c>
    </row>
    <row r="509" ht="14.25" customHeight="1">
      <c r="A509" s="33" t="s">
        <v>264</v>
      </c>
      <c r="B509" s="33" t="s">
        <v>80</v>
      </c>
      <c r="C509" s="33" t="s">
        <v>236</v>
      </c>
      <c r="D509" s="35">
        <v>3383.8</v>
      </c>
      <c r="E509" s="33">
        <v>50.0</v>
      </c>
      <c r="F509" s="35">
        <f t="array" ref="F509">IF(C509 ="FOB_JP", XLOOKUP(A509,CONTAINER_COST_MONTH!$A$2:$A$13,CONTAINER_COST_MONTH!$B$2:$B$13), 285)</f>
        <v>3404</v>
      </c>
      <c r="G509" s="35">
        <f t="shared" si="1"/>
        <v>68.08</v>
      </c>
      <c r="H509" s="38">
        <f t="array" ref="H509">XLOOKUP(COST_BUY_MONTHLY!$C509,TAX!$A$2:$A$3,TAX!$B$2:$B$3)</f>
        <v>0.002</v>
      </c>
      <c r="I509" s="39">
        <f t="array" ref="I509">XLOOKUP(COST_BUY_MONTHLY!$C509,TAX!$A$2:$A$3,TAX!$C$2:$C$3)</f>
        <v>0.2</v>
      </c>
      <c r="J509" s="39">
        <f t="array" ref="J509">XLOOKUP(COST_BUY_MONTHLY!$C509,TAX!$A$2:$A$3,TAX!$D$2:$D$3)</f>
        <v>0.1</v>
      </c>
      <c r="K509" s="35">
        <f t="shared" si="2"/>
        <v>4565.594563</v>
      </c>
    </row>
    <row r="510" ht="14.25" customHeight="1">
      <c r="A510" s="33" t="s">
        <v>264</v>
      </c>
      <c r="B510" s="33" t="s">
        <v>82</v>
      </c>
      <c r="C510" s="33" t="s">
        <v>237</v>
      </c>
      <c r="D510" s="35">
        <v>1056.87</v>
      </c>
      <c r="E510" s="33">
        <v>50.0</v>
      </c>
      <c r="F510" s="35">
        <f t="array" ref="F510">IF(C510 ="FOB_JP", XLOOKUP(A510,CONTAINER_COST_MONTH!$A$2:$A$13,CONTAINER_COST_MONTH!$B$2:$B$13), 285)</f>
        <v>285</v>
      </c>
      <c r="G510" s="35">
        <f t="shared" si="1"/>
        <v>5.7</v>
      </c>
      <c r="H510" s="38">
        <f t="array" ref="H510">XLOOKUP(COST_BUY_MONTHLY!$C510,TAX!$A$2:$A$3,TAX!$B$2:$B$3)</f>
        <v>0</v>
      </c>
      <c r="I510" s="39">
        <f t="array" ref="I510">XLOOKUP(COST_BUY_MONTHLY!$C510,TAX!$A$2:$A$3,TAX!$C$2:$C$3)</f>
        <v>0</v>
      </c>
      <c r="J510" s="39">
        <f t="array" ref="J510">XLOOKUP(COST_BUY_MONTHLY!$C510,TAX!$A$2:$A$3,TAX!$D$2:$D$3)</f>
        <v>0.1</v>
      </c>
      <c r="K510" s="35">
        <f t="shared" si="2"/>
        <v>1168.827</v>
      </c>
    </row>
    <row r="511" ht="14.25" customHeight="1">
      <c r="A511" s="33" t="s">
        <v>264</v>
      </c>
      <c r="B511" s="33" t="s">
        <v>84</v>
      </c>
      <c r="C511" s="33" t="s">
        <v>237</v>
      </c>
      <c r="D511" s="35">
        <v>1116.42</v>
      </c>
      <c r="E511" s="33">
        <v>50.0</v>
      </c>
      <c r="F511" s="35">
        <f t="array" ref="F511">IF(C511 ="FOB_JP", XLOOKUP(A511,CONTAINER_COST_MONTH!$A$2:$A$13,CONTAINER_COST_MONTH!$B$2:$B$13), 285)</f>
        <v>285</v>
      </c>
      <c r="G511" s="35">
        <f t="shared" si="1"/>
        <v>5.7</v>
      </c>
      <c r="H511" s="38">
        <f t="array" ref="H511">XLOOKUP(COST_BUY_MONTHLY!$C511,TAX!$A$2:$A$3,TAX!$B$2:$B$3)</f>
        <v>0</v>
      </c>
      <c r="I511" s="39">
        <f t="array" ref="I511">XLOOKUP(COST_BUY_MONTHLY!$C511,TAX!$A$2:$A$3,TAX!$C$2:$C$3)</f>
        <v>0</v>
      </c>
      <c r="J511" s="39">
        <f t="array" ref="J511">XLOOKUP(COST_BUY_MONTHLY!$C511,TAX!$A$2:$A$3,TAX!$D$2:$D$3)</f>
        <v>0.1</v>
      </c>
      <c r="K511" s="35">
        <f t="shared" si="2"/>
        <v>1234.332</v>
      </c>
    </row>
    <row r="512" ht="14.25" customHeight="1">
      <c r="A512" s="33" t="s">
        <v>264</v>
      </c>
      <c r="B512" s="33" t="s">
        <v>86</v>
      </c>
      <c r="C512" s="33" t="s">
        <v>236</v>
      </c>
      <c r="D512" s="35">
        <v>4221.66</v>
      </c>
      <c r="E512" s="33">
        <v>35.0</v>
      </c>
      <c r="F512" s="35">
        <f t="array" ref="F512">IF(C512 ="FOB_JP", XLOOKUP(A512,CONTAINER_COST_MONTH!$A$2:$A$13,CONTAINER_COST_MONTH!$B$2:$B$13), 285)</f>
        <v>3404</v>
      </c>
      <c r="G512" s="35">
        <f t="shared" si="1"/>
        <v>97.25714286</v>
      </c>
      <c r="H512" s="38">
        <f t="array" ref="H512">XLOOKUP(COST_BUY_MONTHLY!$C512,TAX!$A$2:$A$3,TAX!$B$2:$B$3)</f>
        <v>0.002</v>
      </c>
      <c r="I512" s="39">
        <f t="array" ref="I512">XLOOKUP(COST_BUY_MONTHLY!$C512,TAX!$A$2:$A$3,TAX!$C$2:$C$3)</f>
        <v>0.2</v>
      </c>
      <c r="J512" s="39">
        <f t="array" ref="J512">XLOOKUP(COST_BUY_MONTHLY!$C512,TAX!$A$2:$A$3,TAX!$D$2:$D$3)</f>
        <v>0.1</v>
      </c>
      <c r="K512" s="35">
        <f t="shared" si="2"/>
        <v>5712.37257</v>
      </c>
    </row>
    <row r="513" ht="14.25" customHeight="1">
      <c r="A513" s="33" t="s">
        <v>264</v>
      </c>
      <c r="B513" s="33" t="s">
        <v>88</v>
      </c>
      <c r="C513" s="33" t="s">
        <v>236</v>
      </c>
      <c r="D513" s="35">
        <v>6803.82</v>
      </c>
      <c r="E513" s="33">
        <v>35.0</v>
      </c>
      <c r="F513" s="35">
        <f t="array" ref="F513">IF(C513 ="FOB_JP", XLOOKUP(A513,CONTAINER_COST_MONTH!$A$2:$A$13,CONTAINER_COST_MONTH!$B$2:$B$13), 285)</f>
        <v>3404</v>
      </c>
      <c r="G513" s="35">
        <f t="shared" si="1"/>
        <v>97.25714286</v>
      </c>
      <c r="H513" s="38">
        <f t="array" ref="H513">XLOOKUP(COST_BUY_MONTHLY!$C513,TAX!$A$2:$A$3,TAX!$B$2:$B$3)</f>
        <v>0.002</v>
      </c>
      <c r="I513" s="39">
        <f t="array" ref="I513">XLOOKUP(COST_BUY_MONTHLY!$C513,TAX!$A$2:$A$3,TAX!$C$2:$C$3)</f>
        <v>0.2</v>
      </c>
      <c r="J513" s="39">
        <f t="array" ref="J513">XLOOKUP(COST_BUY_MONTHLY!$C513,TAX!$A$2:$A$3,TAX!$D$2:$D$3)</f>
        <v>0.1</v>
      </c>
      <c r="K513" s="35">
        <f t="shared" si="2"/>
        <v>9127.640672</v>
      </c>
    </row>
    <row r="514" ht="14.25" customHeight="1">
      <c r="A514" s="33" t="s">
        <v>264</v>
      </c>
      <c r="B514" s="33" t="s">
        <v>90</v>
      </c>
      <c r="C514" s="33" t="s">
        <v>237</v>
      </c>
      <c r="D514" s="35">
        <v>4065.72</v>
      </c>
      <c r="E514" s="33">
        <v>35.0</v>
      </c>
      <c r="F514" s="35">
        <f t="array" ref="F514">IF(C514 ="FOB_JP", XLOOKUP(A514,CONTAINER_COST_MONTH!$A$2:$A$13,CONTAINER_COST_MONTH!$B$2:$B$13), 285)</f>
        <v>285</v>
      </c>
      <c r="G514" s="35">
        <f t="shared" si="1"/>
        <v>8.142857143</v>
      </c>
      <c r="H514" s="38">
        <f t="array" ref="H514">XLOOKUP(COST_BUY_MONTHLY!$C514,TAX!$A$2:$A$3,TAX!$B$2:$B$3)</f>
        <v>0</v>
      </c>
      <c r="I514" s="39">
        <f t="array" ref="I514">XLOOKUP(COST_BUY_MONTHLY!$C514,TAX!$A$2:$A$3,TAX!$C$2:$C$3)</f>
        <v>0</v>
      </c>
      <c r="J514" s="39">
        <f t="array" ref="J514">XLOOKUP(COST_BUY_MONTHLY!$C514,TAX!$A$2:$A$3,TAX!$D$2:$D$3)</f>
        <v>0.1</v>
      </c>
      <c r="K514" s="35">
        <f t="shared" si="2"/>
        <v>4481.249143</v>
      </c>
    </row>
    <row r="515" ht="14.25" customHeight="1">
      <c r="A515" s="33" t="s">
        <v>264</v>
      </c>
      <c r="B515" s="33" t="s">
        <v>92</v>
      </c>
      <c r="C515" s="33" t="s">
        <v>237</v>
      </c>
      <c r="D515" s="35">
        <v>2298.9</v>
      </c>
      <c r="E515" s="33">
        <v>35.0</v>
      </c>
      <c r="F515" s="35">
        <f t="array" ref="F515">IF(C515 ="FOB_JP", XLOOKUP(A515,CONTAINER_COST_MONTH!$A$2:$A$13,CONTAINER_COST_MONTH!$B$2:$B$13), 285)</f>
        <v>285</v>
      </c>
      <c r="G515" s="35">
        <f t="shared" si="1"/>
        <v>8.142857143</v>
      </c>
      <c r="H515" s="38">
        <f t="array" ref="H515">XLOOKUP(COST_BUY_MONTHLY!$C515,TAX!$A$2:$A$3,TAX!$B$2:$B$3)</f>
        <v>0</v>
      </c>
      <c r="I515" s="39">
        <f t="array" ref="I515">XLOOKUP(COST_BUY_MONTHLY!$C515,TAX!$A$2:$A$3,TAX!$C$2:$C$3)</f>
        <v>0</v>
      </c>
      <c r="J515" s="39">
        <f t="array" ref="J515">XLOOKUP(COST_BUY_MONTHLY!$C515,TAX!$A$2:$A$3,TAX!$D$2:$D$3)</f>
        <v>0.1</v>
      </c>
      <c r="K515" s="35">
        <f t="shared" si="2"/>
        <v>2537.747143</v>
      </c>
    </row>
    <row r="516" ht="14.25" customHeight="1">
      <c r="A516" s="33" t="s">
        <v>264</v>
      </c>
      <c r="B516" s="33" t="s">
        <v>94</v>
      </c>
      <c r="C516" s="33" t="s">
        <v>236</v>
      </c>
      <c r="D516" s="35">
        <v>5824.76</v>
      </c>
      <c r="E516" s="33">
        <v>14.0</v>
      </c>
      <c r="F516" s="35">
        <f t="array" ref="F516">IF(C516 ="FOB_JP", XLOOKUP(A516,CONTAINER_COST_MONTH!$A$2:$A$13,CONTAINER_COST_MONTH!$B$2:$B$13), 285)</f>
        <v>3404</v>
      </c>
      <c r="G516" s="35">
        <f t="shared" si="1"/>
        <v>243.1428571</v>
      </c>
      <c r="H516" s="38">
        <f t="array" ref="H516">XLOOKUP(COST_BUY_MONTHLY!$C516,TAX!$A$2:$A$3,TAX!$B$2:$B$3)</f>
        <v>0.002</v>
      </c>
      <c r="I516" s="39">
        <f t="array" ref="I516">XLOOKUP(COST_BUY_MONTHLY!$C516,TAX!$A$2:$A$3,TAX!$C$2:$C$3)</f>
        <v>0.2</v>
      </c>
      <c r="J516" s="39">
        <f t="array" ref="J516">XLOOKUP(COST_BUY_MONTHLY!$C516,TAX!$A$2:$A$3,TAX!$D$2:$D$3)</f>
        <v>0.1</v>
      </c>
      <c r="K516" s="35">
        <f t="shared" si="2"/>
        <v>8025.651035</v>
      </c>
    </row>
    <row r="517" ht="14.25" customHeight="1">
      <c r="A517" s="33" t="s">
        <v>264</v>
      </c>
      <c r="B517" s="33" t="s">
        <v>96</v>
      </c>
      <c r="C517" s="33" t="s">
        <v>236</v>
      </c>
      <c r="D517" s="35">
        <v>5200.72</v>
      </c>
      <c r="E517" s="33">
        <v>35.0</v>
      </c>
      <c r="F517" s="35">
        <f t="array" ref="F517">IF(C517 ="FOB_JP", XLOOKUP(A517,CONTAINER_COST_MONTH!$A$2:$A$13,CONTAINER_COST_MONTH!$B$2:$B$13), 285)</f>
        <v>3404</v>
      </c>
      <c r="G517" s="35">
        <f t="shared" si="1"/>
        <v>97.25714286</v>
      </c>
      <c r="H517" s="38">
        <f t="array" ref="H517">XLOOKUP(COST_BUY_MONTHLY!$C517,TAX!$A$2:$A$3,TAX!$B$2:$B$3)</f>
        <v>0.002</v>
      </c>
      <c r="I517" s="39">
        <f t="array" ref="I517">XLOOKUP(COST_BUY_MONTHLY!$C517,TAX!$A$2:$A$3,TAX!$C$2:$C$3)</f>
        <v>0.2</v>
      </c>
      <c r="J517" s="39">
        <f t="array" ref="J517">XLOOKUP(COST_BUY_MONTHLY!$C517,TAX!$A$2:$A$3,TAX!$D$2:$D$3)</f>
        <v>0.1</v>
      </c>
      <c r="K517" s="35">
        <f t="shared" si="2"/>
        <v>7007.316488</v>
      </c>
    </row>
    <row r="518" ht="14.25" customHeight="1">
      <c r="A518" s="33" t="s">
        <v>264</v>
      </c>
      <c r="B518" s="33" t="s">
        <v>98</v>
      </c>
      <c r="C518" s="33" t="s">
        <v>236</v>
      </c>
      <c r="D518" s="35">
        <v>8465.36</v>
      </c>
      <c r="E518" s="33">
        <v>35.0</v>
      </c>
      <c r="F518" s="35">
        <f t="array" ref="F518">IF(C518 ="FOB_JP", XLOOKUP(A518,CONTAINER_COST_MONTH!$A$2:$A$13,CONTAINER_COST_MONTH!$B$2:$B$13), 285)</f>
        <v>3404</v>
      </c>
      <c r="G518" s="35">
        <f t="shared" si="1"/>
        <v>97.25714286</v>
      </c>
      <c r="H518" s="38">
        <f t="array" ref="H518">XLOOKUP(COST_BUY_MONTHLY!$C518,TAX!$A$2:$A$3,TAX!$B$2:$B$3)</f>
        <v>0.002</v>
      </c>
      <c r="I518" s="39">
        <f t="array" ref="I518">XLOOKUP(COST_BUY_MONTHLY!$C518,TAX!$A$2:$A$3,TAX!$C$2:$C$3)</f>
        <v>0.2</v>
      </c>
      <c r="J518" s="39">
        <f t="array" ref="J518">XLOOKUP(COST_BUY_MONTHLY!$C518,TAX!$A$2:$A$3,TAX!$D$2:$D$3)</f>
        <v>0.1</v>
      </c>
      <c r="K518" s="35">
        <f t="shared" si="2"/>
        <v>11325.25994</v>
      </c>
    </row>
    <row r="519" ht="14.25" customHeight="1">
      <c r="A519" s="33" t="s">
        <v>264</v>
      </c>
      <c r="B519" s="33" t="s">
        <v>100</v>
      </c>
      <c r="C519" s="33" t="s">
        <v>236</v>
      </c>
      <c r="D519" s="35">
        <v>2560.12</v>
      </c>
      <c r="E519" s="33">
        <v>35.0</v>
      </c>
      <c r="F519" s="35">
        <f t="array" ref="F519">IF(C519 ="FOB_JP", XLOOKUP(A519,CONTAINER_COST_MONTH!$A$2:$A$13,CONTAINER_COST_MONTH!$B$2:$B$13), 285)</f>
        <v>3404</v>
      </c>
      <c r="G519" s="35">
        <f t="shared" si="1"/>
        <v>97.25714286</v>
      </c>
      <c r="H519" s="38">
        <f t="array" ref="H519">XLOOKUP(COST_BUY_MONTHLY!$C519,TAX!$A$2:$A$3,TAX!$B$2:$B$3)</f>
        <v>0.002</v>
      </c>
      <c r="I519" s="39">
        <f t="array" ref="I519">XLOOKUP(COST_BUY_MONTHLY!$C519,TAX!$A$2:$A$3,TAX!$C$2:$C$3)</f>
        <v>0.2</v>
      </c>
      <c r="J519" s="39">
        <f t="array" ref="J519">XLOOKUP(COST_BUY_MONTHLY!$C519,TAX!$A$2:$A$3,TAX!$D$2:$D$3)</f>
        <v>0.1</v>
      </c>
      <c r="K519" s="35">
        <f t="shared" si="2"/>
        <v>3514.753304</v>
      </c>
    </row>
    <row r="520" ht="14.25" customHeight="1">
      <c r="A520" s="33" t="s">
        <v>264</v>
      </c>
      <c r="B520" s="33" t="s">
        <v>102</v>
      </c>
      <c r="C520" s="33" t="s">
        <v>237</v>
      </c>
      <c r="D520" s="35">
        <v>2395.64</v>
      </c>
      <c r="E520" s="33">
        <v>35.0</v>
      </c>
      <c r="F520" s="35">
        <f t="array" ref="F520">IF(C520 ="FOB_JP", XLOOKUP(A520,CONTAINER_COST_MONTH!$A$2:$A$13,CONTAINER_COST_MONTH!$B$2:$B$13), 285)</f>
        <v>285</v>
      </c>
      <c r="G520" s="35">
        <f t="shared" si="1"/>
        <v>8.142857143</v>
      </c>
      <c r="H520" s="38">
        <f t="array" ref="H520">XLOOKUP(COST_BUY_MONTHLY!$C520,TAX!$A$2:$A$3,TAX!$B$2:$B$3)</f>
        <v>0</v>
      </c>
      <c r="I520" s="39">
        <f t="array" ref="I520">XLOOKUP(COST_BUY_MONTHLY!$C520,TAX!$A$2:$A$3,TAX!$C$2:$C$3)</f>
        <v>0</v>
      </c>
      <c r="J520" s="39">
        <f t="array" ref="J520">XLOOKUP(COST_BUY_MONTHLY!$C520,TAX!$A$2:$A$3,TAX!$D$2:$D$3)</f>
        <v>0.1</v>
      </c>
      <c r="K520" s="35">
        <f t="shared" si="2"/>
        <v>2644.161143</v>
      </c>
    </row>
    <row r="521" ht="14.25" customHeight="1">
      <c r="A521" s="33" t="s">
        <v>264</v>
      </c>
      <c r="B521" s="33" t="s">
        <v>104</v>
      </c>
      <c r="C521" s="33" t="s">
        <v>237</v>
      </c>
      <c r="D521" s="35">
        <v>3968.98</v>
      </c>
      <c r="E521" s="33">
        <v>35.0</v>
      </c>
      <c r="F521" s="35">
        <f t="array" ref="F521">IF(C521 ="FOB_JP", XLOOKUP(A521,CONTAINER_COST_MONTH!$A$2:$A$13,CONTAINER_COST_MONTH!$B$2:$B$13), 285)</f>
        <v>285</v>
      </c>
      <c r="G521" s="35">
        <f t="shared" si="1"/>
        <v>8.142857143</v>
      </c>
      <c r="H521" s="38">
        <f t="array" ref="H521">XLOOKUP(COST_BUY_MONTHLY!$C521,TAX!$A$2:$A$3,TAX!$B$2:$B$3)</f>
        <v>0</v>
      </c>
      <c r="I521" s="39">
        <f t="array" ref="I521">XLOOKUP(COST_BUY_MONTHLY!$C521,TAX!$A$2:$A$3,TAX!$C$2:$C$3)</f>
        <v>0</v>
      </c>
      <c r="J521" s="39">
        <f t="array" ref="J521">XLOOKUP(COST_BUY_MONTHLY!$C521,TAX!$A$2:$A$3,TAX!$D$2:$D$3)</f>
        <v>0.1</v>
      </c>
      <c r="K521" s="35">
        <f t="shared" si="2"/>
        <v>4374.835143</v>
      </c>
    </row>
    <row r="522" ht="14.25" customHeight="1">
      <c r="A522" s="33" t="s">
        <v>264</v>
      </c>
      <c r="B522" s="33" t="s">
        <v>106</v>
      </c>
      <c r="C522" s="33" t="s">
        <v>236</v>
      </c>
      <c r="D522" s="35">
        <v>3818.27</v>
      </c>
      <c r="E522" s="33">
        <v>50.0</v>
      </c>
      <c r="F522" s="35">
        <f t="array" ref="F522">IF(C522 ="FOB_JP", XLOOKUP(A522,CONTAINER_COST_MONTH!$A$2:$A$13,CONTAINER_COST_MONTH!$B$2:$B$13), 285)</f>
        <v>3404</v>
      </c>
      <c r="G522" s="35">
        <f t="shared" si="1"/>
        <v>68.08</v>
      </c>
      <c r="H522" s="38">
        <f t="array" ref="H522">XLOOKUP(COST_BUY_MONTHLY!$C522,TAX!$A$2:$A$3,TAX!$B$2:$B$3)</f>
        <v>0.002</v>
      </c>
      <c r="I522" s="39">
        <f t="array" ref="I522">XLOOKUP(COST_BUY_MONTHLY!$C522,TAX!$A$2:$A$3,TAX!$C$2:$C$3)</f>
        <v>0.2</v>
      </c>
      <c r="J522" s="39">
        <f t="array" ref="J522">XLOOKUP(COST_BUY_MONTHLY!$C522,TAX!$A$2:$A$3,TAX!$D$2:$D$3)</f>
        <v>0.1</v>
      </c>
      <c r="K522" s="35">
        <f t="shared" si="2"/>
        <v>5140.241964</v>
      </c>
    </row>
    <row r="523" ht="14.25" customHeight="1">
      <c r="A523" s="33" t="s">
        <v>264</v>
      </c>
      <c r="B523" s="33" t="s">
        <v>108</v>
      </c>
      <c r="C523" s="33" t="s">
        <v>236</v>
      </c>
      <c r="D523" s="35">
        <v>1759.11</v>
      </c>
      <c r="E523" s="33">
        <v>50.0</v>
      </c>
      <c r="F523" s="35">
        <f t="array" ref="F523">IF(C523 ="FOB_JP", XLOOKUP(A523,CONTAINER_COST_MONTH!$A$2:$A$13,CONTAINER_COST_MONTH!$B$2:$B$13), 285)</f>
        <v>3404</v>
      </c>
      <c r="G523" s="35">
        <f t="shared" si="1"/>
        <v>68.08</v>
      </c>
      <c r="H523" s="38">
        <f t="array" ref="H523">XLOOKUP(COST_BUY_MONTHLY!$C523,TAX!$A$2:$A$3,TAX!$B$2:$B$3)</f>
        <v>0.002</v>
      </c>
      <c r="I523" s="39">
        <f t="array" ref="I523">XLOOKUP(COST_BUY_MONTHLY!$C523,TAX!$A$2:$A$3,TAX!$C$2:$C$3)</f>
        <v>0.2</v>
      </c>
      <c r="J523" s="39">
        <f t="array" ref="J523">XLOOKUP(COST_BUY_MONTHLY!$C523,TAX!$A$2:$A$3,TAX!$D$2:$D$3)</f>
        <v>0.1</v>
      </c>
      <c r="K523" s="35">
        <f t="shared" si="2"/>
        <v>2416.714582</v>
      </c>
    </row>
    <row r="524" ht="14.25" customHeight="1">
      <c r="A524" s="33" t="s">
        <v>264</v>
      </c>
      <c r="B524" s="33" t="s">
        <v>110</v>
      </c>
      <c r="C524" s="33" t="s">
        <v>237</v>
      </c>
      <c r="D524" s="35">
        <v>1351.63</v>
      </c>
      <c r="E524" s="33">
        <v>50.0</v>
      </c>
      <c r="F524" s="35">
        <f t="array" ref="F524">IF(C524 ="FOB_JP", XLOOKUP(A524,CONTAINER_COST_MONTH!$A$2:$A$13,CONTAINER_COST_MONTH!$B$2:$B$13), 285)</f>
        <v>285</v>
      </c>
      <c r="G524" s="35">
        <f t="shared" si="1"/>
        <v>5.7</v>
      </c>
      <c r="H524" s="38">
        <f t="array" ref="H524">XLOOKUP(COST_BUY_MONTHLY!$C524,TAX!$A$2:$A$3,TAX!$B$2:$B$3)</f>
        <v>0</v>
      </c>
      <c r="I524" s="39">
        <f t="array" ref="I524">XLOOKUP(COST_BUY_MONTHLY!$C524,TAX!$A$2:$A$3,TAX!$C$2:$C$3)</f>
        <v>0</v>
      </c>
      <c r="J524" s="39">
        <f t="array" ref="J524">XLOOKUP(COST_BUY_MONTHLY!$C524,TAX!$A$2:$A$3,TAX!$D$2:$D$3)</f>
        <v>0.1</v>
      </c>
      <c r="K524" s="35">
        <f t="shared" si="2"/>
        <v>1493.063</v>
      </c>
    </row>
    <row r="525" ht="14.25" customHeight="1">
      <c r="A525" s="33" t="s">
        <v>264</v>
      </c>
      <c r="B525" s="33" t="s">
        <v>112</v>
      </c>
      <c r="C525" s="33" t="s">
        <v>237</v>
      </c>
      <c r="D525" s="35">
        <v>1642.68</v>
      </c>
      <c r="E525" s="33">
        <v>50.0</v>
      </c>
      <c r="F525" s="35">
        <f t="array" ref="F525">IF(C525 ="FOB_JP", XLOOKUP(A525,CONTAINER_COST_MONTH!$A$2:$A$13,CONTAINER_COST_MONTH!$B$2:$B$13), 285)</f>
        <v>285</v>
      </c>
      <c r="G525" s="35">
        <f t="shared" si="1"/>
        <v>5.7</v>
      </c>
      <c r="H525" s="38">
        <f t="array" ref="H525">XLOOKUP(COST_BUY_MONTHLY!$C525,TAX!$A$2:$A$3,TAX!$B$2:$B$3)</f>
        <v>0</v>
      </c>
      <c r="I525" s="39">
        <f t="array" ref="I525">XLOOKUP(COST_BUY_MONTHLY!$C525,TAX!$A$2:$A$3,TAX!$C$2:$C$3)</f>
        <v>0</v>
      </c>
      <c r="J525" s="39">
        <f t="array" ref="J525">XLOOKUP(COST_BUY_MONTHLY!$C525,TAX!$A$2:$A$3,TAX!$D$2:$D$3)</f>
        <v>0.1</v>
      </c>
      <c r="K525" s="35">
        <f t="shared" si="2"/>
        <v>1813.218</v>
      </c>
    </row>
    <row r="526" ht="14.25" customHeight="1">
      <c r="A526" s="33" t="s">
        <v>264</v>
      </c>
      <c r="B526" s="33" t="s">
        <v>114</v>
      </c>
      <c r="C526" s="33" t="s">
        <v>236</v>
      </c>
      <c r="D526" s="35">
        <v>4859.01</v>
      </c>
      <c r="E526" s="33">
        <v>20.0</v>
      </c>
      <c r="F526" s="35">
        <f t="array" ref="F526">IF(C526 ="FOB_JP", XLOOKUP(A526,CONTAINER_COST_MONTH!$A$2:$A$13,CONTAINER_COST_MONTH!$B$2:$B$13), 285)</f>
        <v>3404</v>
      </c>
      <c r="G526" s="35">
        <f t="shared" si="1"/>
        <v>170.2</v>
      </c>
      <c r="H526" s="38">
        <f t="array" ref="H526">XLOOKUP(COST_BUY_MONTHLY!$C526,TAX!$A$2:$A$3,TAX!$B$2:$B$3)</f>
        <v>0.002</v>
      </c>
      <c r="I526" s="39">
        <f t="array" ref="I526">XLOOKUP(COST_BUY_MONTHLY!$C526,TAX!$A$2:$A$3,TAX!$C$2:$C$3)</f>
        <v>0.2</v>
      </c>
      <c r="J526" s="39">
        <f t="array" ref="J526">XLOOKUP(COST_BUY_MONTHLY!$C526,TAX!$A$2:$A$3,TAX!$D$2:$D$3)</f>
        <v>0.1</v>
      </c>
      <c r="K526" s="35">
        <f t="shared" si="2"/>
        <v>6651.834314</v>
      </c>
    </row>
    <row r="527" ht="14.25" customHeight="1">
      <c r="A527" s="33" t="s">
        <v>264</v>
      </c>
      <c r="B527" s="33" t="s">
        <v>116</v>
      </c>
      <c r="C527" s="33" t="s">
        <v>236</v>
      </c>
      <c r="D527" s="35">
        <v>718.36</v>
      </c>
      <c r="E527" s="33">
        <v>50.0</v>
      </c>
      <c r="F527" s="35">
        <f t="array" ref="F527">IF(C527 ="FOB_JP", XLOOKUP(A527,CONTAINER_COST_MONTH!$A$2:$A$13,CONTAINER_COST_MONTH!$B$2:$B$13), 285)</f>
        <v>3404</v>
      </c>
      <c r="G527" s="35">
        <f t="shared" si="1"/>
        <v>68.08</v>
      </c>
      <c r="H527" s="38">
        <f t="array" ref="H527">XLOOKUP(COST_BUY_MONTHLY!$C527,TAX!$A$2:$A$3,TAX!$B$2:$B$3)</f>
        <v>0.002</v>
      </c>
      <c r="I527" s="39">
        <f t="array" ref="I527">XLOOKUP(COST_BUY_MONTHLY!$C527,TAX!$A$2:$A$3,TAX!$C$2:$C$3)</f>
        <v>0.2</v>
      </c>
      <c r="J527" s="39">
        <f t="array" ref="J527">XLOOKUP(COST_BUY_MONTHLY!$C527,TAX!$A$2:$A$3,TAX!$D$2:$D$3)</f>
        <v>0.1</v>
      </c>
      <c r="K527" s="35">
        <f t="shared" si="2"/>
        <v>1040.177002</v>
      </c>
    </row>
    <row r="528" ht="14.25" customHeight="1">
      <c r="A528" s="33" t="s">
        <v>264</v>
      </c>
      <c r="B528" s="33" t="s">
        <v>118</v>
      </c>
      <c r="C528" s="33" t="s">
        <v>236</v>
      </c>
      <c r="D528" s="35">
        <v>2169.04</v>
      </c>
      <c r="E528" s="33">
        <v>50.0</v>
      </c>
      <c r="F528" s="35">
        <f t="array" ref="F528">IF(C528 ="FOB_JP", XLOOKUP(A528,CONTAINER_COST_MONTH!$A$2:$A$13,CONTAINER_COST_MONTH!$B$2:$B$13), 285)</f>
        <v>3404</v>
      </c>
      <c r="G528" s="35">
        <f t="shared" si="1"/>
        <v>68.08</v>
      </c>
      <c r="H528" s="38">
        <f t="array" ref="H528">XLOOKUP(COST_BUY_MONTHLY!$C528,TAX!$A$2:$A$3,TAX!$B$2:$B$3)</f>
        <v>0.002</v>
      </c>
      <c r="I528" s="39">
        <f t="array" ref="I528">XLOOKUP(COST_BUY_MONTHLY!$C528,TAX!$A$2:$A$3,TAX!$C$2:$C$3)</f>
        <v>0.2</v>
      </c>
      <c r="J528" s="39">
        <f t="array" ref="J528">XLOOKUP(COST_BUY_MONTHLY!$C528,TAX!$A$2:$A$3,TAX!$D$2:$D$3)</f>
        <v>0.1</v>
      </c>
      <c r="K528" s="35">
        <f t="shared" si="2"/>
        <v>2958.904397</v>
      </c>
    </row>
    <row r="529" ht="14.25" customHeight="1">
      <c r="A529" s="33" t="s">
        <v>264</v>
      </c>
      <c r="B529" s="33" t="s">
        <v>120</v>
      </c>
      <c r="C529" s="33" t="s">
        <v>236</v>
      </c>
      <c r="D529" s="35">
        <v>3408.33</v>
      </c>
      <c r="E529" s="33">
        <v>50.0</v>
      </c>
      <c r="F529" s="35">
        <f t="array" ref="F529">IF(C529 ="FOB_JP", XLOOKUP(A529,CONTAINER_COST_MONTH!$A$2:$A$13,CONTAINER_COST_MONTH!$B$2:$B$13), 285)</f>
        <v>3404</v>
      </c>
      <c r="G529" s="35">
        <f t="shared" si="1"/>
        <v>68.08</v>
      </c>
      <c r="H529" s="38">
        <f t="array" ref="H529">XLOOKUP(COST_BUY_MONTHLY!$C529,TAX!$A$2:$A$3,TAX!$B$2:$B$3)</f>
        <v>0.002</v>
      </c>
      <c r="I529" s="39">
        <f t="array" ref="I529">XLOOKUP(COST_BUY_MONTHLY!$C529,TAX!$A$2:$A$3,TAX!$C$2:$C$3)</f>
        <v>0.2</v>
      </c>
      <c r="J529" s="39">
        <f t="array" ref="J529">XLOOKUP(COST_BUY_MONTHLY!$C529,TAX!$A$2:$A$3,TAX!$D$2:$D$3)</f>
        <v>0.1</v>
      </c>
      <c r="K529" s="35">
        <f t="shared" si="2"/>
        <v>4598.038922</v>
      </c>
    </row>
    <row r="530" ht="14.25" customHeight="1">
      <c r="A530" s="33" t="s">
        <v>264</v>
      </c>
      <c r="B530" s="33" t="s">
        <v>122</v>
      </c>
      <c r="C530" s="33" t="s">
        <v>237</v>
      </c>
      <c r="D530" s="35">
        <v>647.07</v>
      </c>
      <c r="E530" s="33">
        <v>50.0</v>
      </c>
      <c r="F530" s="35">
        <f t="array" ref="F530">IF(C530 ="FOB_JP", XLOOKUP(A530,CONTAINER_COST_MONTH!$A$2:$A$13,CONTAINER_COST_MONTH!$B$2:$B$13), 285)</f>
        <v>285</v>
      </c>
      <c r="G530" s="35">
        <f t="shared" si="1"/>
        <v>5.7</v>
      </c>
      <c r="H530" s="38">
        <f t="array" ref="H530">XLOOKUP(COST_BUY_MONTHLY!$C530,TAX!$A$2:$A$3,TAX!$B$2:$B$3)</f>
        <v>0</v>
      </c>
      <c r="I530" s="39">
        <f t="array" ref="I530">XLOOKUP(COST_BUY_MONTHLY!$C530,TAX!$A$2:$A$3,TAX!$C$2:$C$3)</f>
        <v>0</v>
      </c>
      <c r="J530" s="39">
        <f t="array" ref="J530">XLOOKUP(COST_BUY_MONTHLY!$C530,TAX!$A$2:$A$3,TAX!$D$2:$D$3)</f>
        <v>0.1</v>
      </c>
      <c r="K530" s="35">
        <f t="shared" si="2"/>
        <v>718.047</v>
      </c>
    </row>
    <row r="531" ht="14.25" customHeight="1">
      <c r="A531" s="33" t="s">
        <v>264</v>
      </c>
      <c r="B531" s="33" t="s">
        <v>124</v>
      </c>
      <c r="C531" s="33" t="s">
        <v>237</v>
      </c>
      <c r="D531" s="35">
        <v>2347.24</v>
      </c>
      <c r="E531" s="33">
        <v>50.0</v>
      </c>
      <c r="F531" s="35">
        <f t="array" ref="F531">IF(C531 ="FOB_JP", XLOOKUP(A531,CONTAINER_COST_MONTH!$A$2:$A$13,CONTAINER_COST_MONTH!$B$2:$B$13), 285)</f>
        <v>285</v>
      </c>
      <c r="G531" s="35">
        <f t="shared" si="1"/>
        <v>5.7</v>
      </c>
      <c r="H531" s="38">
        <f t="array" ref="H531">XLOOKUP(COST_BUY_MONTHLY!$C531,TAX!$A$2:$A$3,TAX!$B$2:$B$3)</f>
        <v>0</v>
      </c>
      <c r="I531" s="39">
        <f t="array" ref="I531">XLOOKUP(COST_BUY_MONTHLY!$C531,TAX!$A$2:$A$3,TAX!$C$2:$C$3)</f>
        <v>0</v>
      </c>
      <c r="J531" s="39">
        <f t="array" ref="J531">XLOOKUP(COST_BUY_MONTHLY!$C531,TAX!$A$2:$A$3,TAX!$D$2:$D$3)</f>
        <v>0.1</v>
      </c>
      <c r="K531" s="35">
        <f t="shared" si="2"/>
        <v>2588.234</v>
      </c>
    </row>
    <row r="532" ht="14.25" customHeight="1">
      <c r="A532" s="33" t="s">
        <v>264</v>
      </c>
      <c r="B532" s="33" t="s">
        <v>126</v>
      </c>
      <c r="C532" s="33" t="s">
        <v>236</v>
      </c>
      <c r="D532" s="35">
        <v>3638.25</v>
      </c>
      <c r="E532" s="33">
        <v>35.0</v>
      </c>
      <c r="F532" s="35">
        <f t="array" ref="F532">IF(C532 ="FOB_JP", XLOOKUP(A532,CONTAINER_COST_MONTH!$A$2:$A$13,CONTAINER_COST_MONTH!$B$2:$B$13), 285)</f>
        <v>3404</v>
      </c>
      <c r="G532" s="35">
        <f t="shared" si="1"/>
        <v>97.25714286</v>
      </c>
      <c r="H532" s="38">
        <f t="array" ref="H532">XLOOKUP(COST_BUY_MONTHLY!$C532,TAX!$A$2:$A$3,TAX!$B$2:$B$3)</f>
        <v>0.002</v>
      </c>
      <c r="I532" s="39">
        <f t="array" ref="I532">XLOOKUP(COST_BUY_MONTHLY!$C532,TAX!$A$2:$A$3,TAX!$C$2:$C$3)</f>
        <v>0.2</v>
      </c>
      <c r="J532" s="39">
        <f t="array" ref="J532">XLOOKUP(COST_BUY_MONTHLY!$C532,TAX!$A$2:$A$3,TAX!$D$2:$D$3)</f>
        <v>0.1</v>
      </c>
      <c r="K532" s="35">
        <f t="shared" si="2"/>
        <v>4940.731167</v>
      </c>
    </row>
    <row r="533" ht="14.25" customHeight="1">
      <c r="A533" s="33" t="s">
        <v>264</v>
      </c>
      <c r="B533" s="33" t="s">
        <v>128</v>
      </c>
      <c r="C533" s="33" t="s">
        <v>236</v>
      </c>
      <c r="D533" s="35">
        <v>5005.73</v>
      </c>
      <c r="E533" s="33">
        <v>35.0</v>
      </c>
      <c r="F533" s="35">
        <f t="array" ref="F533">IF(C533 ="FOB_JP", XLOOKUP(A533,CONTAINER_COST_MONTH!$A$2:$A$13,CONTAINER_COST_MONTH!$B$2:$B$13), 285)</f>
        <v>3404</v>
      </c>
      <c r="G533" s="35">
        <f t="shared" si="1"/>
        <v>97.25714286</v>
      </c>
      <c r="H533" s="38">
        <f t="array" ref="H533">XLOOKUP(COST_BUY_MONTHLY!$C533,TAX!$A$2:$A$3,TAX!$B$2:$B$3)</f>
        <v>0.002</v>
      </c>
      <c r="I533" s="39">
        <f t="array" ref="I533">XLOOKUP(COST_BUY_MONTHLY!$C533,TAX!$A$2:$A$3,TAX!$C$2:$C$3)</f>
        <v>0.2</v>
      </c>
      <c r="J533" s="39">
        <f t="array" ref="J533">XLOOKUP(COST_BUY_MONTHLY!$C533,TAX!$A$2:$A$3,TAX!$D$2:$D$3)</f>
        <v>0.1</v>
      </c>
      <c r="K533" s="35">
        <f t="shared" si="2"/>
        <v>6749.414915</v>
      </c>
    </row>
    <row r="534" ht="14.25" customHeight="1">
      <c r="A534" s="33" t="s">
        <v>264</v>
      </c>
      <c r="B534" s="33" t="s">
        <v>130</v>
      </c>
      <c r="C534" s="33" t="s">
        <v>237</v>
      </c>
      <c r="D534" s="35">
        <v>3760.36</v>
      </c>
      <c r="E534" s="33">
        <v>35.0</v>
      </c>
      <c r="F534" s="35">
        <f t="array" ref="F534">IF(C534 ="FOB_JP", XLOOKUP(A534,CONTAINER_COST_MONTH!$A$2:$A$13,CONTAINER_COST_MONTH!$B$2:$B$13), 285)</f>
        <v>285</v>
      </c>
      <c r="G534" s="35">
        <f t="shared" si="1"/>
        <v>8.142857143</v>
      </c>
      <c r="H534" s="38">
        <f t="array" ref="H534">XLOOKUP(COST_BUY_MONTHLY!$C534,TAX!$A$2:$A$3,TAX!$B$2:$B$3)</f>
        <v>0</v>
      </c>
      <c r="I534" s="39">
        <f t="array" ref="I534">XLOOKUP(COST_BUY_MONTHLY!$C534,TAX!$A$2:$A$3,TAX!$C$2:$C$3)</f>
        <v>0</v>
      </c>
      <c r="J534" s="39">
        <f t="array" ref="J534">XLOOKUP(COST_BUY_MONTHLY!$C534,TAX!$A$2:$A$3,TAX!$D$2:$D$3)</f>
        <v>0.1</v>
      </c>
      <c r="K534" s="35">
        <f t="shared" si="2"/>
        <v>4145.353143</v>
      </c>
    </row>
    <row r="535" ht="14.25" customHeight="1">
      <c r="A535" s="33" t="s">
        <v>264</v>
      </c>
      <c r="B535" s="33" t="s">
        <v>132</v>
      </c>
      <c r="C535" s="33" t="s">
        <v>237</v>
      </c>
      <c r="D535" s="35">
        <v>1229.5</v>
      </c>
      <c r="E535" s="33">
        <v>35.0</v>
      </c>
      <c r="F535" s="35">
        <f t="array" ref="F535">IF(C535 ="FOB_JP", XLOOKUP(A535,CONTAINER_COST_MONTH!$A$2:$A$13,CONTAINER_COST_MONTH!$B$2:$B$13), 285)</f>
        <v>285</v>
      </c>
      <c r="G535" s="35">
        <f t="shared" si="1"/>
        <v>8.142857143</v>
      </c>
      <c r="H535" s="38">
        <f t="array" ref="H535">XLOOKUP(COST_BUY_MONTHLY!$C535,TAX!$A$2:$A$3,TAX!$B$2:$B$3)</f>
        <v>0</v>
      </c>
      <c r="I535" s="39">
        <f t="array" ref="I535">XLOOKUP(COST_BUY_MONTHLY!$C535,TAX!$A$2:$A$3,TAX!$C$2:$C$3)</f>
        <v>0</v>
      </c>
      <c r="J535" s="39">
        <f t="array" ref="J535">XLOOKUP(COST_BUY_MONTHLY!$C535,TAX!$A$2:$A$3,TAX!$D$2:$D$3)</f>
        <v>0.1</v>
      </c>
      <c r="K535" s="35">
        <f t="shared" si="2"/>
        <v>1361.407143</v>
      </c>
    </row>
    <row r="536" ht="14.25" customHeight="1">
      <c r="A536" s="33" t="s">
        <v>264</v>
      </c>
      <c r="B536" s="33" t="s">
        <v>134</v>
      </c>
      <c r="C536" s="33" t="s">
        <v>236</v>
      </c>
      <c r="D536" s="35">
        <v>4169.85</v>
      </c>
      <c r="E536" s="33">
        <v>14.0</v>
      </c>
      <c r="F536" s="35">
        <f t="array" ref="F536">IF(C536 ="FOB_JP", XLOOKUP(A536,CONTAINER_COST_MONTH!$A$2:$A$13,CONTAINER_COST_MONTH!$B$2:$B$13), 285)</f>
        <v>3404</v>
      </c>
      <c r="G536" s="35">
        <f t="shared" si="1"/>
        <v>243.1428571</v>
      </c>
      <c r="H536" s="38">
        <f t="array" ref="H536">XLOOKUP(COST_BUY_MONTHLY!$C536,TAX!$A$2:$A$3,TAX!$B$2:$B$3)</f>
        <v>0.002</v>
      </c>
      <c r="I536" s="39">
        <f t="array" ref="I536">XLOOKUP(COST_BUY_MONTHLY!$C536,TAX!$A$2:$A$3,TAX!$C$2:$C$3)</f>
        <v>0.2</v>
      </c>
      <c r="J536" s="39">
        <f t="array" ref="J536">XLOOKUP(COST_BUY_MONTHLY!$C536,TAX!$A$2:$A$3,TAX!$D$2:$D$3)</f>
        <v>0.1</v>
      </c>
      <c r="K536" s="35">
        <f t="shared" si="2"/>
        <v>5836.800873</v>
      </c>
    </row>
    <row r="537" ht="14.25" customHeight="1">
      <c r="A537" s="33" t="s">
        <v>264</v>
      </c>
      <c r="B537" s="33" t="s">
        <v>136</v>
      </c>
      <c r="C537" s="33" t="s">
        <v>236</v>
      </c>
      <c r="D537" s="35">
        <v>4474.12</v>
      </c>
      <c r="E537" s="33">
        <v>35.0</v>
      </c>
      <c r="F537" s="35">
        <f t="array" ref="F537">IF(C537 ="FOB_JP", XLOOKUP(A537,CONTAINER_COST_MONTH!$A$2:$A$13,CONTAINER_COST_MONTH!$B$2:$B$13), 285)</f>
        <v>3404</v>
      </c>
      <c r="G537" s="35">
        <f t="shared" si="1"/>
        <v>97.25714286</v>
      </c>
      <c r="H537" s="38">
        <f t="array" ref="H537">XLOOKUP(COST_BUY_MONTHLY!$C537,TAX!$A$2:$A$3,TAX!$B$2:$B$3)</f>
        <v>0.002</v>
      </c>
      <c r="I537" s="39">
        <f t="array" ref="I537">XLOOKUP(COST_BUY_MONTHLY!$C537,TAX!$A$2:$A$3,TAX!$C$2:$C$3)</f>
        <v>0.2</v>
      </c>
      <c r="J537" s="39">
        <f t="array" ref="J537">XLOOKUP(COST_BUY_MONTHLY!$C537,TAX!$A$2:$A$3,TAX!$D$2:$D$3)</f>
        <v>0.1</v>
      </c>
      <c r="K537" s="35">
        <f t="shared" si="2"/>
        <v>6046.286264</v>
      </c>
    </row>
    <row r="538" ht="14.25" customHeight="1">
      <c r="A538" s="33" t="s">
        <v>264</v>
      </c>
      <c r="B538" s="33" t="s">
        <v>138</v>
      </c>
      <c r="C538" s="33" t="s">
        <v>236</v>
      </c>
      <c r="D538" s="35">
        <v>1857.59</v>
      </c>
      <c r="E538" s="33">
        <v>35.0</v>
      </c>
      <c r="F538" s="35">
        <f t="array" ref="F538">IF(C538 ="FOB_JP", XLOOKUP(A538,CONTAINER_COST_MONTH!$A$2:$A$13,CONTAINER_COST_MONTH!$B$2:$B$13), 285)</f>
        <v>3404</v>
      </c>
      <c r="G538" s="35">
        <f t="shared" si="1"/>
        <v>97.25714286</v>
      </c>
      <c r="H538" s="38">
        <f t="array" ref="H538">XLOOKUP(COST_BUY_MONTHLY!$C538,TAX!$A$2:$A$3,TAX!$B$2:$B$3)</f>
        <v>0.002</v>
      </c>
      <c r="I538" s="39">
        <f t="array" ref="I538">XLOOKUP(COST_BUY_MONTHLY!$C538,TAX!$A$2:$A$3,TAX!$C$2:$C$3)</f>
        <v>0.2</v>
      </c>
      <c r="J538" s="39">
        <f t="array" ref="J538">XLOOKUP(COST_BUY_MONTHLY!$C538,TAX!$A$2:$A$3,TAX!$D$2:$D$3)</f>
        <v>0.1</v>
      </c>
      <c r="K538" s="35">
        <f t="shared" si="2"/>
        <v>2585.559025</v>
      </c>
    </row>
    <row r="539" ht="14.25" customHeight="1">
      <c r="A539" s="33" t="s">
        <v>264</v>
      </c>
      <c r="B539" s="33" t="s">
        <v>140</v>
      </c>
      <c r="C539" s="33" t="s">
        <v>236</v>
      </c>
      <c r="D539" s="35">
        <v>6786.38</v>
      </c>
      <c r="E539" s="33">
        <v>35.0</v>
      </c>
      <c r="F539" s="35">
        <f t="array" ref="F539">IF(C539 ="FOB_JP", XLOOKUP(A539,CONTAINER_COST_MONTH!$A$2:$A$13,CONTAINER_COST_MONTH!$B$2:$B$13), 285)</f>
        <v>3404</v>
      </c>
      <c r="G539" s="35">
        <f t="shared" si="1"/>
        <v>97.25714286</v>
      </c>
      <c r="H539" s="38">
        <f t="array" ref="H539">XLOOKUP(COST_BUY_MONTHLY!$C539,TAX!$A$2:$A$3,TAX!$B$2:$B$3)</f>
        <v>0.002</v>
      </c>
      <c r="I539" s="39">
        <f t="array" ref="I539">XLOOKUP(COST_BUY_MONTHLY!$C539,TAX!$A$2:$A$3,TAX!$C$2:$C$3)</f>
        <v>0.2</v>
      </c>
      <c r="J539" s="39">
        <f t="array" ref="J539">XLOOKUP(COST_BUY_MONTHLY!$C539,TAX!$A$2:$A$3,TAX!$D$2:$D$3)</f>
        <v>0.1</v>
      </c>
      <c r="K539" s="35">
        <f t="shared" si="2"/>
        <v>9104.573831</v>
      </c>
    </row>
    <row r="540" ht="14.25" customHeight="1">
      <c r="A540" s="33" t="s">
        <v>264</v>
      </c>
      <c r="B540" s="33" t="s">
        <v>142</v>
      </c>
      <c r="C540" s="33" t="s">
        <v>237</v>
      </c>
      <c r="D540" s="35">
        <v>2264.4</v>
      </c>
      <c r="E540" s="33">
        <v>35.0</v>
      </c>
      <c r="F540" s="35">
        <f t="array" ref="F540">IF(C540 ="FOB_JP", XLOOKUP(A540,CONTAINER_COST_MONTH!$A$2:$A$13,CONTAINER_COST_MONTH!$B$2:$B$13), 285)</f>
        <v>285</v>
      </c>
      <c r="G540" s="35">
        <f t="shared" si="1"/>
        <v>8.142857143</v>
      </c>
      <c r="H540" s="38">
        <f t="array" ref="H540">XLOOKUP(COST_BUY_MONTHLY!$C540,TAX!$A$2:$A$3,TAX!$B$2:$B$3)</f>
        <v>0</v>
      </c>
      <c r="I540" s="39">
        <f t="array" ref="I540">XLOOKUP(COST_BUY_MONTHLY!$C540,TAX!$A$2:$A$3,TAX!$C$2:$C$3)</f>
        <v>0</v>
      </c>
      <c r="J540" s="39">
        <f t="array" ref="J540">XLOOKUP(COST_BUY_MONTHLY!$C540,TAX!$A$2:$A$3,TAX!$D$2:$D$3)</f>
        <v>0.1</v>
      </c>
      <c r="K540" s="35">
        <f t="shared" si="2"/>
        <v>2499.797143</v>
      </c>
    </row>
    <row r="541" ht="14.25" customHeight="1">
      <c r="A541" s="33" t="s">
        <v>264</v>
      </c>
      <c r="B541" s="33" t="s">
        <v>144</v>
      </c>
      <c r="C541" s="33" t="s">
        <v>237</v>
      </c>
      <c r="D541" s="35">
        <v>2725.46</v>
      </c>
      <c r="E541" s="33">
        <v>35.0</v>
      </c>
      <c r="F541" s="35">
        <f t="array" ref="F541">IF(C541 ="FOB_JP", XLOOKUP(A541,CONTAINER_COST_MONTH!$A$2:$A$13,CONTAINER_COST_MONTH!$B$2:$B$13), 285)</f>
        <v>285</v>
      </c>
      <c r="G541" s="35">
        <f t="shared" si="1"/>
        <v>8.142857143</v>
      </c>
      <c r="H541" s="38">
        <f t="array" ref="H541">XLOOKUP(COST_BUY_MONTHLY!$C541,TAX!$A$2:$A$3,TAX!$B$2:$B$3)</f>
        <v>0</v>
      </c>
      <c r="I541" s="39">
        <f t="array" ref="I541">XLOOKUP(COST_BUY_MONTHLY!$C541,TAX!$A$2:$A$3,TAX!$C$2:$C$3)</f>
        <v>0</v>
      </c>
      <c r="J541" s="39">
        <f t="array" ref="J541">XLOOKUP(COST_BUY_MONTHLY!$C541,TAX!$A$2:$A$3,TAX!$D$2:$D$3)</f>
        <v>0.1</v>
      </c>
      <c r="K541" s="35">
        <f t="shared" si="2"/>
        <v>3006.963143</v>
      </c>
    </row>
    <row r="542" ht="14.25" customHeight="1">
      <c r="A542" s="33" t="s">
        <v>265</v>
      </c>
      <c r="B542" s="33" t="s">
        <v>11</v>
      </c>
      <c r="C542" s="33" t="s">
        <v>236</v>
      </c>
      <c r="D542" s="35">
        <v>4048.09</v>
      </c>
      <c r="E542" s="33">
        <v>10.0</v>
      </c>
      <c r="F542" s="35">
        <f t="array" ref="F542">IF(C542 ="FOB_JP", XLOOKUP(A542,CONTAINER_COST_MONTH!$A$2:$A$13,CONTAINER_COST_MONTH!$B$2:$B$13), 285)</f>
        <v>3418</v>
      </c>
      <c r="G542" s="35">
        <f t="shared" si="1"/>
        <v>341.8</v>
      </c>
      <c r="H542" s="38">
        <f t="array" ref="H542">XLOOKUP(COST_BUY_MONTHLY!$C542,TAX!$A$2:$A$3,TAX!$B$2:$B$3)</f>
        <v>0.002</v>
      </c>
      <c r="I542" s="39">
        <f t="array" ref="I542">XLOOKUP(COST_BUY_MONTHLY!$C542,TAX!$A$2:$A$3,TAX!$C$2:$C$3)</f>
        <v>0.2</v>
      </c>
      <c r="J542" s="39">
        <f t="array" ref="J542">XLOOKUP(COST_BUY_MONTHLY!$C542,TAX!$A$2:$A$3,TAX!$D$2:$D$3)</f>
        <v>0.1</v>
      </c>
      <c r="K542" s="35">
        <f t="shared" si="2"/>
        <v>5806.24411</v>
      </c>
    </row>
    <row r="543" ht="14.25" customHeight="1">
      <c r="A543" s="33" t="s">
        <v>265</v>
      </c>
      <c r="B543" s="33" t="s">
        <v>18</v>
      </c>
      <c r="C543" s="33" t="s">
        <v>237</v>
      </c>
      <c r="D543" s="35">
        <v>2173.3</v>
      </c>
      <c r="E543" s="33">
        <v>40.0</v>
      </c>
      <c r="F543" s="35">
        <f t="array" ref="F543">IF(C543 ="FOB_JP", XLOOKUP(A543,CONTAINER_COST_MONTH!$A$2:$A$13,CONTAINER_COST_MONTH!$B$2:$B$13), 285)</f>
        <v>285</v>
      </c>
      <c r="G543" s="35">
        <f t="shared" si="1"/>
        <v>7.125</v>
      </c>
      <c r="H543" s="38">
        <f t="array" ref="H543">XLOOKUP(COST_BUY_MONTHLY!$C543,TAX!$A$2:$A$3,TAX!$B$2:$B$3)</f>
        <v>0</v>
      </c>
      <c r="I543" s="39">
        <f t="array" ref="I543">XLOOKUP(COST_BUY_MONTHLY!$C543,TAX!$A$2:$A$3,TAX!$C$2:$C$3)</f>
        <v>0</v>
      </c>
      <c r="J543" s="39">
        <f t="array" ref="J543">XLOOKUP(COST_BUY_MONTHLY!$C543,TAX!$A$2:$A$3,TAX!$D$2:$D$3)</f>
        <v>0.1</v>
      </c>
      <c r="K543" s="35">
        <f t="shared" si="2"/>
        <v>2398.4675</v>
      </c>
    </row>
    <row r="544" ht="14.25" customHeight="1">
      <c r="A544" s="33" t="s">
        <v>265</v>
      </c>
      <c r="B544" s="33" t="s">
        <v>22</v>
      </c>
      <c r="C544" s="33" t="s">
        <v>236</v>
      </c>
      <c r="D544" s="35">
        <v>4048.09</v>
      </c>
      <c r="E544" s="33">
        <v>20.0</v>
      </c>
      <c r="F544" s="35">
        <f t="array" ref="F544">IF(C544 ="FOB_JP", XLOOKUP(A544,CONTAINER_COST_MONTH!$A$2:$A$13,CONTAINER_COST_MONTH!$B$2:$B$13), 285)</f>
        <v>3418</v>
      </c>
      <c r="G544" s="35">
        <f t="shared" si="1"/>
        <v>170.9</v>
      </c>
      <c r="H544" s="38">
        <f t="array" ref="H544">XLOOKUP(COST_BUY_MONTHLY!$C544,TAX!$A$2:$A$3,TAX!$B$2:$B$3)</f>
        <v>0.002</v>
      </c>
      <c r="I544" s="39">
        <f t="array" ref="I544">XLOOKUP(COST_BUY_MONTHLY!$C544,TAX!$A$2:$A$3,TAX!$C$2:$C$3)</f>
        <v>0.2</v>
      </c>
      <c r="J544" s="39">
        <f t="array" ref="J544">XLOOKUP(COST_BUY_MONTHLY!$C544,TAX!$A$2:$A$3,TAX!$D$2:$D$3)</f>
        <v>0.1</v>
      </c>
      <c r="K544" s="35">
        <f t="shared" si="2"/>
        <v>5580.204934</v>
      </c>
    </row>
    <row r="545" ht="14.25" customHeight="1">
      <c r="A545" s="33" t="s">
        <v>265</v>
      </c>
      <c r="B545" s="33" t="s">
        <v>24</v>
      </c>
      <c r="C545" s="33" t="s">
        <v>236</v>
      </c>
      <c r="D545" s="35">
        <v>4048.09</v>
      </c>
      <c r="E545" s="33">
        <v>15.0</v>
      </c>
      <c r="F545" s="35">
        <f t="array" ref="F545">IF(C545 ="FOB_JP", XLOOKUP(A545,CONTAINER_COST_MONTH!$A$2:$A$13,CONTAINER_COST_MONTH!$B$2:$B$13), 285)</f>
        <v>3418</v>
      </c>
      <c r="G545" s="35">
        <f t="shared" si="1"/>
        <v>227.8666667</v>
      </c>
      <c r="H545" s="38">
        <f t="array" ref="H545">XLOOKUP(COST_BUY_MONTHLY!$C545,TAX!$A$2:$A$3,TAX!$B$2:$B$3)</f>
        <v>0.002</v>
      </c>
      <c r="I545" s="39">
        <f t="array" ref="I545">XLOOKUP(COST_BUY_MONTHLY!$C545,TAX!$A$2:$A$3,TAX!$C$2:$C$3)</f>
        <v>0.2</v>
      </c>
      <c r="J545" s="39">
        <f t="array" ref="J545">XLOOKUP(COST_BUY_MONTHLY!$C545,TAX!$A$2:$A$3,TAX!$D$2:$D$3)</f>
        <v>0.1</v>
      </c>
      <c r="K545" s="35">
        <f t="shared" si="2"/>
        <v>5655.551326</v>
      </c>
    </row>
    <row r="546" ht="14.25" customHeight="1">
      <c r="A546" s="33" t="s">
        <v>265</v>
      </c>
      <c r="B546" s="33" t="s">
        <v>26</v>
      </c>
      <c r="C546" s="33" t="s">
        <v>237</v>
      </c>
      <c r="D546" s="35">
        <v>2173.3</v>
      </c>
      <c r="E546" s="33">
        <v>120.0</v>
      </c>
      <c r="F546" s="35">
        <f t="array" ref="F546">IF(C546 ="FOB_JP", XLOOKUP(A546,CONTAINER_COST_MONTH!$A$2:$A$13,CONTAINER_COST_MONTH!$B$2:$B$13), 285)</f>
        <v>285</v>
      </c>
      <c r="G546" s="35">
        <f t="shared" si="1"/>
        <v>2.375</v>
      </c>
      <c r="H546" s="38">
        <f t="array" ref="H546">XLOOKUP(COST_BUY_MONTHLY!$C546,TAX!$A$2:$A$3,TAX!$B$2:$B$3)</f>
        <v>0</v>
      </c>
      <c r="I546" s="39">
        <f t="array" ref="I546">XLOOKUP(COST_BUY_MONTHLY!$C546,TAX!$A$2:$A$3,TAX!$C$2:$C$3)</f>
        <v>0</v>
      </c>
      <c r="J546" s="39">
        <f t="array" ref="J546">XLOOKUP(COST_BUY_MONTHLY!$C546,TAX!$A$2:$A$3,TAX!$D$2:$D$3)</f>
        <v>0.1</v>
      </c>
      <c r="K546" s="35">
        <f t="shared" si="2"/>
        <v>2393.2425</v>
      </c>
    </row>
    <row r="547" ht="14.25" customHeight="1">
      <c r="A547" s="33" t="s">
        <v>265</v>
      </c>
      <c r="B547" s="33" t="s">
        <v>30</v>
      </c>
      <c r="C547" s="33" t="s">
        <v>236</v>
      </c>
      <c r="D547" s="35">
        <v>11025.48</v>
      </c>
      <c r="E547" s="33">
        <v>7.0</v>
      </c>
      <c r="F547" s="35">
        <f t="array" ref="F547">IF(C547 ="FOB_JP", XLOOKUP(A547,CONTAINER_COST_MONTH!$A$2:$A$13,CONTAINER_COST_MONTH!$B$2:$B$13), 285)</f>
        <v>3418</v>
      </c>
      <c r="G547" s="35">
        <f t="shared" si="1"/>
        <v>488.2857143</v>
      </c>
      <c r="H547" s="38">
        <f t="array" ref="H547">XLOOKUP(COST_BUY_MONTHLY!$C547,TAX!$A$2:$A$3,TAX!$B$2:$B$3)</f>
        <v>0.002</v>
      </c>
      <c r="I547" s="39">
        <f t="array" ref="I547">XLOOKUP(COST_BUY_MONTHLY!$C547,TAX!$A$2:$A$3,TAX!$C$2:$C$3)</f>
        <v>0.2</v>
      </c>
      <c r="J547" s="39">
        <f t="array" ref="J547">XLOOKUP(COST_BUY_MONTHLY!$C547,TAX!$A$2:$A$3,TAX!$D$2:$D$3)</f>
        <v>0.1</v>
      </c>
      <c r="K547" s="35">
        <f t="shared" si="2"/>
        <v>15228.56708</v>
      </c>
    </row>
    <row r="548" ht="14.25" customHeight="1">
      <c r="A548" s="33" t="s">
        <v>265</v>
      </c>
      <c r="B548" s="33" t="s">
        <v>33</v>
      </c>
      <c r="C548" s="33" t="s">
        <v>237</v>
      </c>
      <c r="D548" s="35">
        <v>6364.62</v>
      </c>
      <c r="E548" s="33">
        <v>28.0</v>
      </c>
      <c r="F548" s="35">
        <f t="array" ref="F548">IF(C548 ="FOB_JP", XLOOKUP(A548,CONTAINER_COST_MONTH!$A$2:$A$13,CONTAINER_COST_MONTH!$B$2:$B$13), 285)</f>
        <v>285</v>
      </c>
      <c r="G548" s="35">
        <f t="shared" si="1"/>
        <v>10.17857143</v>
      </c>
      <c r="H548" s="38">
        <f t="array" ref="H548">XLOOKUP(COST_BUY_MONTHLY!$C548,TAX!$A$2:$A$3,TAX!$B$2:$B$3)</f>
        <v>0</v>
      </c>
      <c r="I548" s="39">
        <f t="array" ref="I548">XLOOKUP(COST_BUY_MONTHLY!$C548,TAX!$A$2:$A$3,TAX!$C$2:$C$3)</f>
        <v>0</v>
      </c>
      <c r="J548" s="39">
        <f t="array" ref="J548">XLOOKUP(COST_BUY_MONTHLY!$C548,TAX!$A$2:$A$3,TAX!$D$2:$D$3)</f>
        <v>0.1</v>
      </c>
      <c r="K548" s="35">
        <f t="shared" si="2"/>
        <v>7012.278429</v>
      </c>
    </row>
    <row r="549" ht="14.25" customHeight="1">
      <c r="A549" s="33" t="s">
        <v>265</v>
      </c>
      <c r="B549" s="33" t="s">
        <v>35</v>
      </c>
      <c r="C549" s="33" t="s">
        <v>236</v>
      </c>
      <c r="D549" s="35">
        <v>11025.48</v>
      </c>
      <c r="E549" s="33">
        <v>14.0</v>
      </c>
      <c r="F549" s="35">
        <f t="array" ref="F549">IF(C549 ="FOB_JP", XLOOKUP(A549,CONTAINER_COST_MONTH!$A$2:$A$13,CONTAINER_COST_MONTH!$B$2:$B$13), 285)</f>
        <v>3418</v>
      </c>
      <c r="G549" s="35">
        <f t="shared" si="1"/>
        <v>244.1428571</v>
      </c>
      <c r="H549" s="38">
        <f t="array" ref="H549">XLOOKUP(COST_BUY_MONTHLY!$C549,TAX!$A$2:$A$3,TAX!$B$2:$B$3)</f>
        <v>0.002</v>
      </c>
      <c r="I549" s="39">
        <f t="array" ref="I549">XLOOKUP(COST_BUY_MONTHLY!$C549,TAX!$A$2:$A$3,TAX!$C$2:$C$3)</f>
        <v>0.2</v>
      </c>
      <c r="J549" s="39">
        <f t="array" ref="J549">XLOOKUP(COST_BUY_MONTHLY!$C549,TAX!$A$2:$A$3,TAX!$D$2:$D$3)</f>
        <v>0.1</v>
      </c>
      <c r="K549" s="35">
        <f t="shared" si="2"/>
        <v>14905.65398</v>
      </c>
    </row>
    <row r="550" ht="14.25" customHeight="1">
      <c r="A550" s="33" t="s">
        <v>265</v>
      </c>
      <c r="B550" s="33" t="s">
        <v>37</v>
      </c>
      <c r="C550" s="33" t="s">
        <v>236</v>
      </c>
      <c r="D550" s="35">
        <v>11025.48</v>
      </c>
      <c r="E550" s="33">
        <v>10.0</v>
      </c>
      <c r="F550" s="35">
        <f t="array" ref="F550">IF(C550 ="FOB_JP", XLOOKUP(A550,CONTAINER_COST_MONTH!$A$2:$A$13,CONTAINER_COST_MONTH!$B$2:$B$13), 285)</f>
        <v>3418</v>
      </c>
      <c r="G550" s="35">
        <f t="shared" si="1"/>
        <v>341.8</v>
      </c>
      <c r="H550" s="38">
        <f t="array" ref="H550">XLOOKUP(COST_BUY_MONTHLY!$C550,TAX!$A$2:$A$3,TAX!$B$2:$B$3)</f>
        <v>0.002</v>
      </c>
      <c r="I550" s="39">
        <f t="array" ref="I550">XLOOKUP(COST_BUY_MONTHLY!$C550,TAX!$A$2:$A$3,TAX!$C$2:$C$3)</f>
        <v>0.2</v>
      </c>
      <c r="J550" s="39">
        <f t="array" ref="J550">XLOOKUP(COST_BUY_MONTHLY!$C550,TAX!$A$2:$A$3,TAX!$D$2:$D$3)</f>
        <v>0.1</v>
      </c>
      <c r="K550" s="35">
        <f t="shared" si="2"/>
        <v>15034.81922</v>
      </c>
    </row>
    <row r="551" ht="14.25" customHeight="1">
      <c r="A551" s="33" t="s">
        <v>265</v>
      </c>
      <c r="B551" s="33" t="s">
        <v>39</v>
      </c>
      <c r="C551" s="33" t="s">
        <v>237</v>
      </c>
      <c r="D551" s="35">
        <v>6364.62</v>
      </c>
      <c r="E551" s="33">
        <v>84.0</v>
      </c>
      <c r="F551" s="35">
        <f t="array" ref="F551">IF(C551 ="FOB_JP", XLOOKUP(A551,CONTAINER_COST_MONTH!$A$2:$A$13,CONTAINER_COST_MONTH!$B$2:$B$13), 285)</f>
        <v>285</v>
      </c>
      <c r="G551" s="35">
        <f t="shared" si="1"/>
        <v>3.392857143</v>
      </c>
      <c r="H551" s="38">
        <f t="array" ref="H551">XLOOKUP(COST_BUY_MONTHLY!$C551,TAX!$A$2:$A$3,TAX!$B$2:$B$3)</f>
        <v>0</v>
      </c>
      <c r="I551" s="39">
        <f t="array" ref="I551">XLOOKUP(COST_BUY_MONTHLY!$C551,TAX!$A$2:$A$3,TAX!$C$2:$C$3)</f>
        <v>0</v>
      </c>
      <c r="J551" s="39">
        <f t="array" ref="J551">XLOOKUP(COST_BUY_MONTHLY!$C551,TAX!$A$2:$A$3,TAX!$D$2:$D$3)</f>
        <v>0.1</v>
      </c>
      <c r="K551" s="35">
        <f t="shared" si="2"/>
        <v>7004.814143</v>
      </c>
    </row>
    <row r="552" ht="14.25" customHeight="1">
      <c r="A552" s="33" t="s">
        <v>265</v>
      </c>
      <c r="B552" s="33" t="s">
        <v>42</v>
      </c>
      <c r="C552" s="33" t="s">
        <v>236</v>
      </c>
      <c r="D552" s="35">
        <v>5577.37</v>
      </c>
      <c r="E552" s="33">
        <v>10.0</v>
      </c>
      <c r="F552" s="35">
        <f t="array" ref="F552">IF(C552 ="FOB_JP", XLOOKUP(A552,CONTAINER_COST_MONTH!$A$2:$A$13,CONTAINER_COST_MONTH!$B$2:$B$13), 285)</f>
        <v>3418</v>
      </c>
      <c r="G552" s="35">
        <f t="shared" si="1"/>
        <v>341.8</v>
      </c>
      <c r="H552" s="38">
        <f t="array" ref="H552">XLOOKUP(COST_BUY_MONTHLY!$C552,TAX!$A$2:$A$3,TAX!$B$2:$B$3)</f>
        <v>0.002</v>
      </c>
      <c r="I552" s="39">
        <f t="array" ref="I552">XLOOKUP(COST_BUY_MONTHLY!$C552,TAX!$A$2:$A$3,TAX!$C$2:$C$3)</f>
        <v>0.2</v>
      </c>
      <c r="J552" s="39">
        <f t="array" ref="J552">XLOOKUP(COST_BUY_MONTHLY!$C552,TAX!$A$2:$A$3,TAX!$D$2:$D$3)</f>
        <v>0.1</v>
      </c>
      <c r="K552" s="35">
        <f t="shared" si="2"/>
        <v>7828.931009</v>
      </c>
    </row>
    <row r="553" ht="14.25" customHeight="1">
      <c r="A553" s="33" t="s">
        <v>265</v>
      </c>
      <c r="B553" s="33" t="s">
        <v>45</v>
      </c>
      <c r="C553" s="33" t="s">
        <v>237</v>
      </c>
      <c r="D553" s="35">
        <v>2994.32</v>
      </c>
      <c r="E553" s="33">
        <v>40.0</v>
      </c>
      <c r="F553" s="35">
        <f t="array" ref="F553">IF(C553 ="FOB_JP", XLOOKUP(A553,CONTAINER_COST_MONTH!$A$2:$A$13,CONTAINER_COST_MONTH!$B$2:$B$13), 285)</f>
        <v>285</v>
      </c>
      <c r="G553" s="35">
        <f t="shared" si="1"/>
        <v>7.125</v>
      </c>
      <c r="H553" s="38">
        <f t="array" ref="H553">XLOOKUP(COST_BUY_MONTHLY!$C553,TAX!$A$2:$A$3,TAX!$B$2:$B$3)</f>
        <v>0</v>
      </c>
      <c r="I553" s="39">
        <f t="array" ref="I553">XLOOKUP(COST_BUY_MONTHLY!$C553,TAX!$A$2:$A$3,TAX!$C$2:$C$3)</f>
        <v>0</v>
      </c>
      <c r="J553" s="39">
        <f t="array" ref="J553">XLOOKUP(COST_BUY_MONTHLY!$C553,TAX!$A$2:$A$3,TAX!$D$2:$D$3)</f>
        <v>0.1</v>
      </c>
      <c r="K553" s="35">
        <f t="shared" si="2"/>
        <v>3301.5895</v>
      </c>
    </row>
    <row r="554" ht="14.25" customHeight="1">
      <c r="A554" s="33" t="s">
        <v>265</v>
      </c>
      <c r="B554" s="33" t="s">
        <v>47</v>
      </c>
      <c r="C554" s="33" t="s">
        <v>236</v>
      </c>
      <c r="D554" s="35">
        <v>5577.37</v>
      </c>
      <c r="E554" s="33">
        <v>20.0</v>
      </c>
      <c r="F554" s="35">
        <f t="array" ref="F554">IF(C554 ="FOB_JP", XLOOKUP(A554,CONTAINER_COST_MONTH!$A$2:$A$13,CONTAINER_COST_MONTH!$B$2:$B$13), 285)</f>
        <v>3418</v>
      </c>
      <c r="G554" s="35">
        <f t="shared" si="1"/>
        <v>170.9</v>
      </c>
      <c r="H554" s="38">
        <f t="array" ref="H554">XLOOKUP(COST_BUY_MONTHLY!$C554,TAX!$A$2:$A$3,TAX!$B$2:$B$3)</f>
        <v>0.002</v>
      </c>
      <c r="I554" s="39">
        <f t="array" ref="I554">XLOOKUP(COST_BUY_MONTHLY!$C554,TAX!$A$2:$A$3,TAX!$C$2:$C$3)</f>
        <v>0.2</v>
      </c>
      <c r="J554" s="39">
        <f t="array" ref="J554">XLOOKUP(COST_BUY_MONTHLY!$C554,TAX!$A$2:$A$3,TAX!$D$2:$D$3)</f>
        <v>0.1</v>
      </c>
      <c r="K554" s="35">
        <f t="shared" si="2"/>
        <v>7602.891833</v>
      </c>
    </row>
    <row r="555" ht="14.25" customHeight="1">
      <c r="A555" s="33" t="s">
        <v>265</v>
      </c>
      <c r="B555" s="33" t="s">
        <v>49</v>
      </c>
      <c r="C555" s="33" t="s">
        <v>236</v>
      </c>
      <c r="D555" s="35">
        <v>5577.37</v>
      </c>
      <c r="E555" s="33">
        <v>15.0</v>
      </c>
      <c r="F555" s="35">
        <f t="array" ref="F555">IF(C555 ="FOB_JP", XLOOKUP(A555,CONTAINER_COST_MONTH!$A$2:$A$13,CONTAINER_COST_MONTH!$B$2:$B$13), 285)</f>
        <v>3418</v>
      </c>
      <c r="G555" s="35">
        <f t="shared" si="1"/>
        <v>227.8666667</v>
      </c>
      <c r="H555" s="38">
        <f t="array" ref="H555">XLOOKUP(COST_BUY_MONTHLY!$C555,TAX!$A$2:$A$3,TAX!$B$2:$B$3)</f>
        <v>0.002</v>
      </c>
      <c r="I555" s="39">
        <f t="array" ref="I555">XLOOKUP(COST_BUY_MONTHLY!$C555,TAX!$A$2:$A$3,TAX!$C$2:$C$3)</f>
        <v>0.2</v>
      </c>
      <c r="J555" s="39">
        <f t="array" ref="J555">XLOOKUP(COST_BUY_MONTHLY!$C555,TAX!$A$2:$A$3,TAX!$D$2:$D$3)</f>
        <v>0.1</v>
      </c>
      <c r="K555" s="35">
        <f t="shared" si="2"/>
        <v>7678.238225</v>
      </c>
    </row>
    <row r="556" ht="14.25" customHeight="1">
      <c r="A556" s="33" t="s">
        <v>265</v>
      </c>
      <c r="B556" s="33" t="s">
        <v>51</v>
      </c>
      <c r="C556" s="33" t="s">
        <v>237</v>
      </c>
      <c r="D556" s="35">
        <v>2994.32</v>
      </c>
      <c r="E556" s="33">
        <v>120.0</v>
      </c>
      <c r="F556" s="35">
        <f t="array" ref="F556">IF(C556 ="FOB_JP", XLOOKUP(A556,CONTAINER_COST_MONTH!$A$2:$A$13,CONTAINER_COST_MONTH!$B$2:$B$13), 285)</f>
        <v>285</v>
      </c>
      <c r="G556" s="35">
        <f t="shared" si="1"/>
        <v>2.375</v>
      </c>
      <c r="H556" s="38">
        <f t="array" ref="H556">XLOOKUP(COST_BUY_MONTHLY!$C556,TAX!$A$2:$A$3,TAX!$B$2:$B$3)</f>
        <v>0</v>
      </c>
      <c r="I556" s="39">
        <f t="array" ref="I556">XLOOKUP(COST_BUY_MONTHLY!$C556,TAX!$A$2:$A$3,TAX!$C$2:$C$3)</f>
        <v>0</v>
      </c>
      <c r="J556" s="39">
        <f t="array" ref="J556">XLOOKUP(COST_BUY_MONTHLY!$C556,TAX!$A$2:$A$3,TAX!$D$2:$D$3)</f>
        <v>0.1</v>
      </c>
      <c r="K556" s="35">
        <f t="shared" si="2"/>
        <v>3296.3645</v>
      </c>
    </row>
    <row r="557" ht="14.25" customHeight="1">
      <c r="A557" s="33" t="s">
        <v>265</v>
      </c>
      <c r="B557" s="33" t="s">
        <v>54</v>
      </c>
      <c r="C557" s="33" t="s">
        <v>236</v>
      </c>
      <c r="D557" s="35">
        <v>8643.97</v>
      </c>
      <c r="E557" s="33">
        <v>7.0</v>
      </c>
      <c r="F557" s="35">
        <f t="array" ref="F557">IF(C557 ="FOB_JP", XLOOKUP(A557,CONTAINER_COST_MONTH!$A$2:$A$13,CONTAINER_COST_MONTH!$B$2:$B$13), 285)</f>
        <v>3418</v>
      </c>
      <c r="G557" s="35">
        <f t="shared" si="1"/>
        <v>488.2857143</v>
      </c>
      <c r="H557" s="38">
        <f t="array" ref="H557">XLOOKUP(COST_BUY_MONTHLY!$C557,TAX!$A$2:$A$3,TAX!$B$2:$B$3)</f>
        <v>0.002</v>
      </c>
      <c r="I557" s="39">
        <f t="array" ref="I557">XLOOKUP(COST_BUY_MONTHLY!$C557,TAX!$A$2:$A$3,TAX!$C$2:$C$3)</f>
        <v>0.2</v>
      </c>
      <c r="J557" s="39">
        <f t="array" ref="J557">XLOOKUP(COST_BUY_MONTHLY!$C557,TAX!$A$2:$A$3,TAX!$D$2:$D$3)</f>
        <v>0.1</v>
      </c>
      <c r="K557" s="35">
        <f t="shared" si="2"/>
        <v>12078.6867</v>
      </c>
    </row>
    <row r="558" ht="14.25" customHeight="1">
      <c r="A558" s="33" t="s">
        <v>265</v>
      </c>
      <c r="B558" s="33" t="s">
        <v>57</v>
      </c>
      <c r="C558" s="33" t="s">
        <v>237</v>
      </c>
      <c r="D558" s="35">
        <v>4989.86</v>
      </c>
      <c r="E558" s="33">
        <v>28.0</v>
      </c>
      <c r="F558" s="35">
        <f t="array" ref="F558">IF(C558 ="FOB_JP", XLOOKUP(A558,CONTAINER_COST_MONTH!$A$2:$A$13,CONTAINER_COST_MONTH!$B$2:$B$13), 285)</f>
        <v>285</v>
      </c>
      <c r="G558" s="35">
        <f t="shared" si="1"/>
        <v>10.17857143</v>
      </c>
      <c r="H558" s="38">
        <f t="array" ref="H558">XLOOKUP(COST_BUY_MONTHLY!$C558,TAX!$A$2:$A$3,TAX!$B$2:$B$3)</f>
        <v>0</v>
      </c>
      <c r="I558" s="39">
        <f t="array" ref="I558">XLOOKUP(COST_BUY_MONTHLY!$C558,TAX!$A$2:$A$3,TAX!$C$2:$C$3)</f>
        <v>0</v>
      </c>
      <c r="J558" s="39">
        <f t="array" ref="J558">XLOOKUP(COST_BUY_MONTHLY!$C558,TAX!$A$2:$A$3,TAX!$D$2:$D$3)</f>
        <v>0.1</v>
      </c>
      <c r="K558" s="35">
        <f t="shared" si="2"/>
        <v>5500.042429</v>
      </c>
    </row>
    <row r="559" ht="14.25" customHeight="1">
      <c r="A559" s="33" t="s">
        <v>265</v>
      </c>
      <c r="B559" s="33" t="s">
        <v>59</v>
      </c>
      <c r="C559" s="33" t="s">
        <v>236</v>
      </c>
      <c r="D559" s="35">
        <v>8643.97</v>
      </c>
      <c r="E559" s="33">
        <v>14.0</v>
      </c>
      <c r="F559" s="35">
        <f t="array" ref="F559">IF(C559 ="FOB_JP", XLOOKUP(A559,CONTAINER_COST_MONTH!$A$2:$A$13,CONTAINER_COST_MONTH!$B$2:$B$13), 285)</f>
        <v>3418</v>
      </c>
      <c r="G559" s="35">
        <f t="shared" si="1"/>
        <v>244.1428571</v>
      </c>
      <c r="H559" s="38">
        <f t="array" ref="H559">XLOOKUP(COST_BUY_MONTHLY!$C559,TAX!$A$2:$A$3,TAX!$B$2:$B$3)</f>
        <v>0.002</v>
      </c>
      <c r="I559" s="39">
        <f t="array" ref="I559">XLOOKUP(COST_BUY_MONTHLY!$C559,TAX!$A$2:$A$3,TAX!$C$2:$C$3)</f>
        <v>0.2</v>
      </c>
      <c r="J559" s="39">
        <f t="array" ref="J559">XLOOKUP(COST_BUY_MONTHLY!$C559,TAX!$A$2:$A$3,TAX!$D$2:$D$3)</f>
        <v>0.1</v>
      </c>
      <c r="K559" s="35">
        <f t="shared" si="2"/>
        <v>11755.77359</v>
      </c>
    </row>
    <row r="560" ht="14.25" customHeight="1">
      <c r="A560" s="33" t="s">
        <v>265</v>
      </c>
      <c r="B560" s="33" t="s">
        <v>61</v>
      </c>
      <c r="C560" s="33" t="s">
        <v>236</v>
      </c>
      <c r="D560" s="35">
        <v>8643.97</v>
      </c>
      <c r="E560" s="33">
        <v>10.0</v>
      </c>
      <c r="F560" s="35">
        <f t="array" ref="F560">IF(C560 ="FOB_JP", XLOOKUP(A560,CONTAINER_COST_MONTH!$A$2:$A$13,CONTAINER_COST_MONTH!$B$2:$B$13), 285)</f>
        <v>3418</v>
      </c>
      <c r="G560" s="35">
        <f t="shared" si="1"/>
        <v>341.8</v>
      </c>
      <c r="H560" s="38">
        <f t="array" ref="H560">XLOOKUP(COST_BUY_MONTHLY!$C560,TAX!$A$2:$A$3,TAX!$B$2:$B$3)</f>
        <v>0.002</v>
      </c>
      <c r="I560" s="39">
        <f t="array" ref="I560">XLOOKUP(COST_BUY_MONTHLY!$C560,TAX!$A$2:$A$3,TAX!$C$2:$C$3)</f>
        <v>0.2</v>
      </c>
      <c r="J560" s="39">
        <f t="array" ref="J560">XLOOKUP(COST_BUY_MONTHLY!$C560,TAX!$A$2:$A$3,TAX!$D$2:$D$3)</f>
        <v>0.1</v>
      </c>
      <c r="K560" s="35">
        <f t="shared" si="2"/>
        <v>11884.93883</v>
      </c>
    </row>
    <row r="561" ht="14.25" customHeight="1">
      <c r="A561" s="33" t="s">
        <v>265</v>
      </c>
      <c r="B561" s="33" t="s">
        <v>63</v>
      </c>
      <c r="C561" s="33" t="s">
        <v>237</v>
      </c>
      <c r="D561" s="35">
        <v>4989.86</v>
      </c>
      <c r="E561" s="33">
        <v>84.0</v>
      </c>
      <c r="F561" s="35">
        <f t="array" ref="F561">IF(C561 ="FOB_JP", XLOOKUP(A561,CONTAINER_COST_MONTH!$A$2:$A$13,CONTAINER_COST_MONTH!$B$2:$B$13), 285)</f>
        <v>285</v>
      </c>
      <c r="G561" s="35">
        <f t="shared" si="1"/>
        <v>3.392857143</v>
      </c>
      <c r="H561" s="38">
        <f t="array" ref="H561">XLOOKUP(COST_BUY_MONTHLY!$C561,TAX!$A$2:$A$3,TAX!$B$2:$B$3)</f>
        <v>0</v>
      </c>
      <c r="I561" s="39">
        <f t="array" ref="I561">XLOOKUP(COST_BUY_MONTHLY!$C561,TAX!$A$2:$A$3,TAX!$C$2:$C$3)</f>
        <v>0</v>
      </c>
      <c r="J561" s="39">
        <f t="array" ref="J561">XLOOKUP(COST_BUY_MONTHLY!$C561,TAX!$A$2:$A$3,TAX!$D$2:$D$3)</f>
        <v>0.1</v>
      </c>
      <c r="K561" s="35">
        <f t="shared" si="2"/>
        <v>5492.578143</v>
      </c>
    </row>
    <row r="562" ht="14.25" customHeight="1">
      <c r="A562" s="33" t="s">
        <v>265</v>
      </c>
      <c r="B562" s="33" t="s">
        <v>65</v>
      </c>
      <c r="C562" s="33" t="s">
        <v>236</v>
      </c>
      <c r="D562" s="35">
        <v>1056.55</v>
      </c>
      <c r="E562" s="33">
        <v>50.0</v>
      </c>
      <c r="F562" s="35">
        <f t="array" ref="F562">IF(C562 ="FOB_JP", XLOOKUP(A562,CONTAINER_COST_MONTH!$A$2:$A$13,CONTAINER_COST_MONTH!$B$2:$B$13), 285)</f>
        <v>3418</v>
      </c>
      <c r="G562" s="35">
        <f t="shared" si="1"/>
        <v>68.36</v>
      </c>
      <c r="H562" s="38">
        <f t="array" ref="H562">XLOOKUP(COST_BUY_MONTHLY!$C562,TAX!$A$2:$A$3,TAX!$B$2:$B$3)</f>
        <v>0.002</v>
      </c>
      <c r="I562" s="39">
        <f t="array" ref="I562">XLOOKUP(COST_BUY_MONTHLY!$C562,TAX!$A$2:$A$3,TAX!$C$2:$C$3)</f>
        <v>0.2</v>
      </c>
      <c r="J562" s="39">
        <f t="array" ref="J562">XLOOKUP(COST_BUY_MONTHLY!$C562,TAX!$A$2:$A$3,TAX!$D$2:$D$3)</f>
        <v>0.1</v>
      </c>
      <c r="K562" s="35">
        <f t="shared" si="2"/>
        <v>1487.850962</v>
      </c>
    </row>
    <row r="563" ht="14.25" customHeight="1">
      <c r="A563" s="33" t="s">
        <v>265</v>
      </c>
      <c r="B563" s="33" t="s">
        <v>67</v>
      </c>
      <c r="C563" s="33" t="s">
        <v>236</v>
      </c>
      <c r="D563" s="35">
        <v>2991.54</v>
      </c>
      <c r="E563" s="33">
        <v>50.0</v>
      </c>
      <c r="F563" s="35">
        <f t="array" ref="F563">IF(C563 ="FOB_JP", XLOOKUP(A563,CONTAINER_COST_MONTH!$A$2:$A$13,CONTAINER_COST_MONTH!$B$2:$B$13), 285)</f>
        <v>3418</v>
      </c>
      <c r="G563" s="35">
        <f t="shared" si="1"/>
        <v>68.36</v>
      </c>
      <c r="H563" s="38">
        <f t="array" ref="H563">XLOOKUP(COST_BUY_MONTHLY!$C563,TAX!$A$2:$A$3,TAX!$B$2:$B$3)</f>
        <v>0.002</v>
      </c>
      <c r="I563" s="39">
        <f t="array" ref="I563">XLOOKUP(COST_BUY_MONTHLY!$C563,TAX!$A$2:$A$3,TAX!$C$2:$C$3)</f>
        <v>0.2</v>
      </c>
      <c r="J563" s="39">
        <f t="array" ref="J563">XLOOKUP(COST_BUY_MONTHLY!$C563,TAX!$A$2:$A$3,TAX!$D$2:$D$3)</f>
        <v>0.1</v>
      </c>
      <c r="K563" s="35">
        <f t="shared" si="2"/>
        <v>4047.146136</v>
      </c>
    </row>
    <row r="564" ht="14.25" customHeight="1">
      <c r="A564" s="33" t="s">
        <v>265</v>
      </c>
      <c r="B564" s="33" t="s">
        <v>70</v>
      </c>
      <c r="C564" s="33" t="s">
        <v>237</v>
      </c>
      <c r="D564" s="35">
        <v>302.74</v>
      </c>
      <c r="E564" s="33">
        <v>50.0</v>
      </c>
      <c r="F564" s="35">
        <f t="array" ref="F564">IF(C564 ="FOB_JP", XLOOKUP(A564,CONTAINER_COST_MONTH!$A$2:$A$13,CONTAINER_COST_MONTH!$B$2:$B$13), 285)</f>
        <v>285</v>
      </c>
      <c r="G564" s="35">
        <f t="shared" si="1"/>
        <v>5.7</v>
      </c>
      <c r="H564" s="38">
        <f t="array" ref="H564">XLOOKUP(COST_BUY_MONTHLY!$C564,TAX!$A$2:$A$3,TAX!$B$2:$B$3)</f>
        <v>0</v>
      </c>
      <c r="I564" s="39">
        <f t="array" ref="I564">XLOOKUP(COST_BUY_MONTHLY!$C564,TAX!$A$2:$A$3,TAX!$C$2:$C$3)</f>
        <v>0</v>
      </c>
      <c r="J564" s="39">
        <f t="array" ref="J564">XLOOKUP(COST_BUY_MONTHLY!$C564,TAX!$A$2:$A$3,TAX!$D$2:$D$3)</f>
        <v>0.1</v>
      </c>
      <c r="K564" s="35">
        <f t="shared" si="2"/>
        <v>339.284</v>
      </c>
    </row>
    <row r="565" ht="14.25" customHeight="1">
      <c r="A565" s="33" t="s">
        <v>265</v>
      </c>
      <c r="B565" s="33" t="s">
        <v>72</v>
      </c>
      <c r="C565" s="33" t="s">
        <v>237</v>
      </c>
      <c r="D565" s="35">
        <v>1870.55</v>
      </c>
      <c r="E565" s="33">
        <v>50.0</v>
      </c>
      <c r="F565" s="35">
        <f t="array" ref="F565">IF(C565 ="FOB_JP", XLOOKUP(A565,CONTAINER_COST_MONTH!$A$2:$A$13,CONTAINER_COST_MONTH!$B$2:$B$13), 285)</f>
        <v>285</v>
      </c>
      <c r="G565" s="35">
        <f t="shared" si="1"/>
        <v>5.7</v>
      </c>
      <c r="H565" s="38">
        <f t="array" ref="H565">XLOOKUP(COST_BUY_MONTHLY!$C565,TAX!$A$2:$A$3,TAX!$B$2:$B$3)</f>
        <v>0</v>
      </c>
      <c r="I565" s="39">
        <f t="array" ref="I565">XLOOKUP(COST_BUY_MONTHLY!$C565,TAX!$A$2:$A$3,TAX!$C$2:$C$3)</f>
        <v>0</v>
      </c>
      <c r="J565" s="39">
        <f t="array" ref="J565">XLOOKUP(COST_BUY_MONTHLY!$C565,TAX!$A$2:$A$3,TAX!$D$2:$D$3)</f>
        <v>0.1</v>
      </c>
      <c r="K565" s="35">
        <f t="shared" si="2"/>
        <v>2063.875</v>
      </c>
    </row>
    <row r="566" ht="14.25" customHeight="1">
      <c r="A566" s="33" t="s">
        <v>265</v>
      </c>
      <c r="B566" s="33" t="s">
        <v>74</v>
      </c>
      <c r="C566" s="33" t="s">
        <v>236</v>
      </c>
      <c r="D566" s="35">
        <v>828.24</v>
      </c>
      <c r="E566" s="33">
        <v>20.0</v>
      </c>
      <c r="F566" s="35">
        <f t="array" ref="F566">IF(C566 ="FOB_JP", XLOOKUP(A566,CONTAINER_COST_MONTH!$A$2:$A$13,CONTAINER_COST_MONTH!$B$2:$B$13), 285)</f>
        <v>3418</v>
      </c>
      <c r="G566" s="35">
        <f t="shared" si="1"/>
        <v>170.9</v>
      </c>
      <c r="H566" s="38">
        <f t="array" ref="H566">XLOOKUP(COST_BUY_MONTHLY!$C566,TAX!$A$2:$A$3,TAX!$B$2:$B$3)</f>
        <v>0.002</v>
      </c>
      <c r="I566" s="39">
        <f t="array" ref="I566">XLOOKUP(COST_BUY_MONTHLY!$C566,TAX!$A$2:$A$3,TAX!$C$2:$C$3)</f>
        <v>0.2</v>
      </c>
      <c r="J566" s="39">
        <f t="array" ref="J566">XLOOKUP(COST_BUY_MONTHLY!$C566,TAX!$A$2:$A$3,TAX!$D$2:$D$3)</f>
        <v>0.1</v>
      </c>
      <c r="K566" s="35">
        <f t="shared" si="2"/>
        <v>1321.50253</v>
      </c>
    </row>
    <row r="567" ht="14.25" customHeight="1">
      <c r="A567" s="33" t="s">
        <v>265</v>
      </c>
      <c r="B567" s="33" t="s">
        <v>76</v>
      </c>
      <c r="C567" s="33" t="s">
        <v>236</v>
      </c>
      <c r="D567" s="35">
        <v>3219.85</v>
      </c>
      <c r="E567" s="33">
        <v>50.0</v>
      </c>
      <c r="F567" s="35">
        <f t="array" ref="F567">IF(C567 ="FOB_JP", XLOOKUP(A567,CONTAINER_COST_MONTH!$A$2:$A$13,CONTAINER_COST_MONTH!$B$2:$B$13), 285)</f>
        <v>3418</v>
      </c>
      <c r="G567" s="35">
        <f t="shared" si="1"/>
        <v>68.36</v>
      </c>
      <c r="H567" s="38">
        <f t="array" ref="H567">XLOOKUP(COST_BUY_MONTHLY!$C567,TAX!$A$2:$A$3,TAX!$B$2:$B$3)</f>
        <v>0.002</v>
      </c>
      <c r="I567" s="39">
        <f t="array" ref="I567">XLOOKUP(COST_BUY_MONTHLY!$C567,TAX!$A$2:$A$3,TAX!$C$2:$C$3)</f>
        <v>0.2</v>
      </c>
      <c r="J567" s="39">
        <f t="array" ref="J567">XLOOKUP(COST_BUY_MONTHLY!$C567,TAX!$A$2:$A$3,TAX!$D$2:$D$3)</f>
        <v>0.1</v>
      </c>
      <c r="K567" s="35">
        <f t="shared" si="2"/>
        <v>4349.118074</v>
      </c>
    </row>
    <row r="568" ht="14.25" customHeight="1">
      <c r="A568" s="33" t="s">
        <v>265</v>
      </c>
      <c r="B568" s="33" t="s">
        <v>78</v>
      </c>
      <c r="C568" s="33" t="s">
        <v>236</v>
      </c>
      <c r="D568" s="35">
        <v>664.3</v>
      </c>
      <c r="E568" s="33">
        <v>50.0</v>
      </c>
      <c r="F568" s="35">
        <f t="array" ref="F568">IF(C568 ="FOB_JP", XLOOKUP(A568,CONTAINER_COST_MONTH!$A$2:$A$13,CONTAINER_COST_MONTH!$B$2:$B$13), 285)</f>
        <v>3418</v>
      </c>
      <c r="G568" s="35">
        <f t="shared" si="1"/>
        <v>68.36</v>
      </c>
      <c r="H568" s="38">
        <f t="array" ref="H568">XLOOKUP(COST_BUY_MONTHLY!$C568,TAX!$A$2:$A$3,TAX!$B$2:$B$3)</f>
        <v>0.002</v>
      </c>
      <c r="I568" s="39">
        <f t="array" ref="I568">XLOOKUP(COST_BUY_MONTHLY!$C568,TAX!$A$2:$A$3,TAX!$C$2:$C$3)</f>
        <v>0.2</v>
      </c>
      <c r="J568" s="39">
        <f t="array" ref="J568">XLOOKUP(COST_BUY_MONTHLY!$C568,TAX!$A$2:$A$3,TAX!$D$2:$D$3)</f>
        <v>0.1</v>
      </c>
      <c r="K568" s="35">
        <f t="shared" si="2"/>
        <v>969.0454224</v>
      </c>
    </row>
    <row r="569" ht="14.25" customHeight="1">
      <c r="A569" s="33" t="s">
        <v>265</v>
      </c>
      <c r="B569" s="33" t="s">
        <v>80</v>
      </c>
      <c r="C569" s="33" t="s">
        <v>236</v>
      </c>
      <c r="D569" s="35">
        <v>3383.8</v>
      </c>
      <c r="E569" s="33">
        <v>50.0</v>
      </c>
      <c r="F569" s="35">
        <f t="array" ref="F569">IF(C569 ="FOB_JP", XLOOKUP(A569,CONTAINER_COST_MONTH!$A$2:$A$13,CONTAINER_COST_MONTH!$B$2:$B$13), 285)</f>
        <v>3418</v>
      </c>
      <c r="G569" s="35">
        <f t="shared" si="1"/>
        <v>68.36</v>
      </c>
      <c r="H569" s="38">
        <f t="array" ref="H569">XLOOKUP(COST_BUY_MONTHLY!$C569,TAX!$A$2:$A$3,TAX!$B$2:$B$3)</f>
        <v>0.002</v>
      </c>
      <c r="I569" s="39">
        <f t="array" ref="I569">XLOOKUP(COST_BUY_MONTHLY!$C569,TAX!$A$2:$A$3,TAX!$C$2:$C$3)</f>
        <v>0.2</v>
      </c>
      <c r="J569" s="39">
        <f t="array" ref="J569">XLOOKUP(COST_BUY_MONTHLY!$C569,TAX!$A$2:$A$3,TAX!$D$2:$D$3)</f>
        <v>0.1</v>
      </c>
      <c r="K569" s="35">
        <f t="shared" si="2"/>
        <v>4565.964902</v>
      </c>
    </row>
    <row r="570" ht="14.25" customHeight="1">
      <c r="A570" s="33" t="s">
        <v>265</v>
      </c>
      <c r="B570" s="33" t="s">
        <v>82</v>
      </c>
      <c r="C570" s="33" t="s">
        <v>237</v>
      </c>
      <c r="D570" s="35">
        <v>1056.87</v>
      </c>
      <c r="E570" s="33">
        <v>50.0</v>
      </c>
      <c r="F570" s="35">
        <f t="array" ref="F570">IF(C570 ="FOB_JP", XLOOKUP(A570,CONTAINER_COST_MONTH!$A$2:$A$13,CONTAINER_COST_MONTH!$B$2:$B$13), 285)</f>
        <v>285</v>
      </c>
      <c r="G570" s="35">
        <f t="shared" si="1"/>
        <v>5.7</v>
      </c>
      <c r="H570" s="38">
        <f t="array" ref="H570">XLOOKUP(COST_BUY_MONTHLY!$C570,TAX!$A$2:$A$3,TAX!$B$2:$B$3)</f>
        <v>0</v>
      </c>
      <c r="I570" s="39">
        <f t="array" ref="I570">XLOOKUP(COST_BUY_MONTHLY!$C570,TAX!$A$2:$A$3,TAX!$C$2:$C$3)</f>
        <v>0</v>
      </c>
      <c r="J570" s="39">
        <f t="array" ref="J570">XLOOKUP(COST_BUY_MONTHLY!$C570,TAX!$A$2:$A$3,TAX!$D$2:$D$3)</f>
        <v>0.1</v>
      </c>
      <c r="K570" s="35">
        <f t="shared" si="2"/>
        <v>1168.827</v>
      </c>
    </row>
    <row r="571" ht="14.25" customHeight="1">
      <c r="A571" s="33" t="s">
        <v>265</v>
      </c>
      <c r="B571" s="33" t="s">
        <v>84</v>
      </c>
      <c r="C571" s="33" t="s">
        <v>237</v>
      </c>
      <c r="D571" s="35">
        <v>1116.42</v>
      </c>
      <c r="E571" s="33">
        <v>50.0</v>
      </c>
      <c r="F571" s="35">
        <f t="array" ref="F571">IF(C571 ="FOB_JP", XLOOKUP(A571,CONTAINER_COST_MONTH!$A$2:$A$13,CONTAINER_COST_MONTH!$B$2:$B$13), 285)</f>
        <v>285</v>
      </c>
      <c r="G571" s="35">
        <f t="shared" si="1"/>
        <v>5.7</v>
      </c>
      <c r="H571" s="38">
        <f t="array" ref="H571">XLOOKUP(COST_BUY_MONTHLY!$C571,TAX!$A$2:$A$3,TAX!$B$2:$B$3)</f>
        <v>0</v>
      </c>
      <c r="I571" s="39">
        <f t="array" ref="I571">XLOOKUP(COST_BUY_MONTHLY!$C571,TAX!$A$2:$A$3,TAX!$C$2:$C$3)</f>
        <v>0</v>
      </c>
      <c r="J571" s="39">
        <f t="array" ref="J571">XLOOKUP(COST_BUY_MONTHLY!$C571,TAX!$A$2:$A$3,TAX!$D$2:$D$3)</f>
        <v>0.1</v>
      </c>
      <c r="K571" s="35">
        <f t="shared" si="2"/>
        <v>1234.332</v>
      </c>
    </row>
    <row r="572" ht="14.25" customHeight="1">
      <c r="A572" s="33" t="s">
        <v>265</v>
      </c>
      <c r="B572" s="33" t="s">
        <v>86</v>
      </c>
      <c r="C572" s="33" t="s">
        <v>236</v>
      </c>
      <c r="D572" s="35">
        <v>4221.66</v>
      </c>
      <c r="E572" s="33">
        <v>35.0</v>
      </c>
      <c r="F572" s="35">
        <f t="array" ref="F572">IF(C572 ="FOB_JP", XLOOKUP(A572,CONTAINER_COST_MONTH!$A$2:$A$13,CONTAINER_COST_MONTH!$B$2:$B$13), 285)</f>
        <v>3418</v>
      </c>
      <c r="G572" s="35">
        <f t="shared" si="1"/>
        <v>97.65714286</v>
      </c>
      <c r="H572" s="38">
        <f t="array" ref="H572">XLOOKUP(COST_BUY_MONTHLY!$C572,TAX!$A$2:$A$3,TAX!$B$2:$B$3)</f>
        <v>0.002</v>
      </c>
      <c r="I572" s="39">
        <f t="array" ref="I572">XLOOKUP(COST_BUY_MONTHLY!$C572,TAX!$A$2:$A$3,TAX!$C$2:$C$3)</f>
        <v>0.2</v>
      </c>
      <c r="J572" s="39">
        <f t="array" ref="J572">XLOOKUP(COST_BUY_MONTHLY!$C572,TAX!$A$2:$A$3,TAX!$D$2:$D$3)</f>
        <v>0.1</v>
      </c>
      <c r="K572" s="35">
        <f t="shared" si="2"/>
        <v>5712.901626</v>
      </c>
    </row>
    <row r="573" ht="14.25" customHeight="1">
      <c r="A573" s="33" t="s">
        <v>265</v>
      </c>
      <c r="B573" s="33" t="s">
        <v>88</v>
      </c>
      <c r="C573" s="33" t="s">
        <v>236</v>
      </c>
      <c r="D573" s="35">
        <v>6803.82</v>
      </c>
      <c r="E573" s="33">
        <v>35.0</v>
      </c>
      <c r="F573" s="35">
        <f t="array" ref="F573">IF(C573 ="FOB_JP", XLOOKUP(A573,CONTAINER_COST_MONTH!$A$2:$A$13,CONTAINER_COST_MONTH!$B$2:$B$13), 285)</f>
        <v>3418</v>
      </c>
      <c r="G573" s="35">
        <f t="shared" si="1"/>
        <v>97.65714286</v>
      </c>
      <c r="H573" s="38">
        <f t="array" ref="H573">XLOOKUP(COST_BUY_MONTHLY!$C573,TAX!$A$2:$A$3,TAX!$B$2:$B$3)</f>
        <v>0.002</v>
      </c>
      <c r="I573" s="39">
        <f t="array" ref="I573">XLOOKUP(COST_BUY_MONTHLY!$C573,TAX!$A$2:$A$3,TAX!$C$2:$C$3)</f>
        <v>0.2</v>
      </c>
      <c r="J573" s="39">
        <f t="array" ref="J573">XLOOKUP(COST_BUY_MONTHLY!$C573,TAX!$A$2:$A$3,TAX!$D$2:$D$3)</f>
        <v>0.1</v>
      </c>
      <c r="K573" s="35">
        <f t="shared" si="2"/>
        <v>9128.169728</v>
      </c>
    </row>
    <row r="574" ht="14.25" customHeight="1">
      <c r="A574" s="33" t="s">
        <v>265</v>
      </c>
      <c r="B574" s="33" t="s">
        <v>90</v>
      </c>
      <c r="C574" s="33" t="s">
        <v>237</v>
      </c>
      <c r="D574" s="35">
        <v>4065.72</v>
      </c>
      <c r="E574" s="33">
        <v>35.0</v>
      </c>
      <c r="F574" s="35">
        <f t="array" ref="F574">IF(C574 ="FOB_JP", XLOOKUP(A574,CONTAINER_COST_MONTH!$A$2:$A$13,CONTAINER_COST_MONTH!$B$2:$B$13), 285)</f>
        <v>285</v>
      </c>
      <c r="G574" s="35">
        <f t="shared" si="1"/>
        <v>8.142857143</v>
      </c>
      <c r="H574" s="38">
        <f t="array" ref="H574">XLOOKUP(COST_BUY_MONTHLY!$C574,TAX!$A$2:$A$3,TAX!$B$2:$B$3)</f>
        <v>0</v>
      </c>
      <c r="I574" s="39">
        <f t="array" ref="I574">XLOOKUP(COST_BUY_MONTHLY!$C574,TAX!$A$2:$A$3,TAX!$C$2:$C$3)</f>
        <v>0</v>
      </c>
      <c r="J574" s="39">
        <f t="array" ref="J574">XLOOKUP(COST_BUY_MONTHLY!$C574,TAX!$A$2:$A$3,TAX!$D$2:$D$3)</f>
        <v>0.1</v>
      </c>
      <c r="K574" s="35">
        <f t="shared" si="2"/>
        <v>4481.249143</v>
      </c>
    </row>
    <row r="575" ht="14.25" customHeight="1">
      <c r="A575" s="33" t="s">
        <v>265</v>
      </c>
      <c r="B575" s="33" t="s">
        <v>92</v>
      </c>
      <c r="C575" s="33" t="s">
        <v>237</v>
      </c>
      <c r="D575" s="35">
        <v>2298.9</v>
      </c>
      <c r="E575" s="33">
        <v>35.0</v>
      </c>
      <c r="F575" s="35">
        <f t="array" ref="F575">IF(C575 ="FOB_JP", XLOOKUP(A575,CONTAINER_COST_MONTH!$A$2:$A$13,CONTAINER_COST_MONTH!$B$2:$B$13), 285)</f>
        <v>285</v>
      </c>
      <c r="G575" s="35">
        <f t="shared" si="1"/>
        <v>8.142857143</v>
      </c>
      <c r="H575" s="38">
        <f t="array" ref="H575">XLOOKUP(COST_BUY_MONTHLY!$C575,TAX!$A$2:$A$3,TAX!$B$2:$B$3)</f>
        <v>0</v>
      </c>
      <c r="I575" s="39">
        <f t="array" ref="I575">XLOOKUP(COST_BUY_MONTHLY!$C575,TAX!$A$2:$A$3,TAX!$C$2:$C$3)</f>
        <v>0</v>
      </c>
      <c r="J575" s="39">
        <f t="array" ref="J575">XLOOKUP(COST_BUY_MONTHLY!$C575,TAX!$A$2:$A$3,TAX!$D$2:$D$3)</f>
        <v>0.1</v>
      </c>
      <c r="K575" s="35">
        <f t="shared" si="2"/>
        <v>2537.747143</v>
      </c>
    </row>
    <row r="576" ht="14.25" customHeight="1">
      <c r="A576" s="33" t="s">
        <v>265</v>
      </c>
      <c r="B576" s="33" t="s">
        <v>94</v>
      </c>
      <c r="C576" s="33" t="s">
        <v>236</v>
      </c>
      <c r="D576" s="35">
        <v>5824.76</v>
      </c>
      <c r="E576" s="33">
        <v>14.0</v>
      </c>
      <c r="F576" s="35">
        <f t="array" ref="F576">IF(C576 ="FOB_JP", XLOOKUP(A576,CONTAINER_COST_MONTH!$A$2:$A$13,CONTAINER_COST_MONTH!$B$2:$B$13), 285)</f>
        <v>3418</v>
      </c>
      <c r="G576" s="35">
        <f t="shared" si="1"/>
        <v>244.1428571</v>
      </c>
      <c r="H576" s="38">
        <f t="array" ref="H576">XLOOKUP(COST_BUY_MONTHLY!$C576,TAX!$A$2:$A$3,TAX!$B$2:$B$3)</f>
        <v>0.002</v>
      </c>
      <c r="I576" s="39">
        <f t="array" ref="I576">XLOOKUP(COST_BUY_MONTHLY!$C576,TAX!$A$2:$A$3,TAX!$C$2:$C$3)</f>
        <v>0.2</v>
      </c>
      <c r="J576" s="39">
        <f t="array" ref="J576">XLOOKUP(COST_BUY_MONTHLY!$C576,TAX!$A$2:$A$3,TAX!$D$2:$D$3)</f>
        <v>0.1</v>
      </c>
      <c r="K576" s="35">
        <f t="shared" si="2"/>
        <v>8026.973675</v>
      </c>
    </row>
    <row r="577" ht="14.25" customHeight="1">
      <c r="A577" s="33" t="s">
        <v>265</v>
      </c>
      <c r="B577" s="33" t="s">
        <v>96</v>
      </c>
      <c r="C577" s="33" t="s">
        <v>236</v>
      </c>
      <c r="D577" s="35">
        <v>5200.72</v>
      </c>
      <c r="E577" s="33">
        <v>35.0</v>
      </c>
      <c r="F577" s="35">
        <f t="array" ref="F577">IF(C577 ="FOB_JP", XLOOKUP(A577,CONTAINER_COST_MONTH!$A$2:$A$13,CONTAINER_COST_MONTH!$B$2:$B$13), 285)</f>
        <v>3418</v>
      </c>
      <c r="G577" s="35">
        <f t="shared" si="1"/>
        <v>97.65714286</v>
      </c>
      <c r="H577" s="38">
        <f t="array" ref="H577">XLOOKUP(COST_BUY_MONTHLY!$C577,TAX!$A$2:$A$3,TAX!$B$2:$B$3)</f>
        <v>0.002</v>
      </c>
      <c r="I577" s="39">
        <f t="array" ref="I577">XLOOKUP(COST_BUY_MONTHLY!$C577,TAX!$A$2:$A$3,TAX!$C$2:$C$3)</f>
        <v>0.2</v>
      </c>
      <c r="J577" s="39">
        <f t="array" ref="J577">XLOOKUP(COST_BUY_MONTHLY!$C577,TAX!$A$2:$A$3,TAX!$D$2:$D$3)</f>
        <v>0.1</v>
      </c>
      <c r="K577" s="35">
        <f t="shared" si="2"/>
        <v>7007.845544</v>
      </c>
    </row>
    <row r="578" ht="14.25" customHeight="1">
      <c r="A578" s="33" t="s">
        <v>265</v>
      </c>
      <c r="B578" s="33" t="s">
        <v>98</v>
      </c>
      <c r="C578" s="33" t="s">
        <v>236</v>
      </c>
      <c r="D578" s="35">
        <v>8465.36</v>
      </c>
      <c r="E578" s="33">
        <v>35.0</v>
      </c>
      <c r="F578" s="35">
        <f t="array" ref="F578">IF(C578 ="FOB_JP", XLOOKUP(A578,CONTAINER_COST_MONTH!$A$2:$A$13,CONTAINER_COST_MONTH!$B$2:$B$13), 285)</f>
        <v>3418</v>
      </c>
      <c r="G578" s="35">
        <f t="shared" si="1"/>
        <v>97.65714286</v>
      </c>
      <c r="H578" s="38">
        <f t="array" ref="H578">XLOOKUP(COST_BUY_MONTHLY!$C578,TAX!$A$2:$A$3,TAX!$B$2:$B$3)</f>
        <v>0.002</v>
      </c>
      <c r="I578" s="39">
        <f t="array" ref="I578">XLOOKUP(COST_BUY_MONTHLY!$C578,TAX!$A$2:$A$3,TAX!$C$2:$C$3)</f>
        <v>0.2</v>
      </c>
      <c r="J578" s="39">
        <f t="array" ref="J578">XLOOKUP(COST_BUY_MONTHLY!$C578,TAX!$A$2:$A$3,TAX!$D$2:$D$3)</f>
        <v>0.1</v>
      </c>
      <c r="K578" s="35">
        <f t="shared" si="2"/>
        <v>11325.78899</v>
      </c>
    </row>
    <row r="579" ht="14.25" customHeight="1">
      <c r="A579" s="33" t="s">
        <v>265</v>
      </c>
      <c r="B579" s="33" t="s">
        <v>100</v>
      </c>
      <c r="C579" s="33" t="s">
        <v>236</v>
      </c>
      <c r="D579" s="35">
        <v>2560.12</v>
      </c>
      <c r="E579" s="33">
        <v>35.0</v>
      </c>
      <c r="F579" s="35">
        <f t="array" ref="F579">IF(C579 ="FOB_JP", XLOOKUP(A579,CONTAINER_COST_MONTH!$A$2:$A$13,CONTAINER_COST_MONTH!$B$2:$B$13), 285)</f>
        <v>3418</v>
      </c>
      <c r="G579" s="35">
        <f t="shared" si="1"/>
        <v>97.65714286</v>
      </c>
      <c r="H579" s="38">
        <f t="array" ref="H579">XLOOKUP(COST_BUY_MONTHLY!$C579,TAX!$A$2:$A$3,TAX!$B$2:$B$3)</f>
        <v>0.002</v>
      </c>
      <c r="I579" s="39">
        <f t="array" ref="I579">XLOOKUP(COST_BUY_MONTHLY!$C579,TAX!$A$2:$A$3,TAX!$C$2:$C$3)</f>
        <v>0.2</v>
      </c>
      <c r="J579" s="39">
        <f t="array" ref="J579">XLOOKUP(COST_BUY_MONTHLY!$C579,TAX!$A$2:$A$3,TAX!$D$2:$D$3)</f>
        <v>0.1</v>
      </c>
      <c r="K579" s="35">
        <f t="shared" si="2"/>
        <v>3515.28236</v>
      </c>
    </row>
    <row r="580" ht="14.25" customHeight="1">
      <c r="A580" s="33" t="s">
        <v>265</v>
      </c>
      <c r="B580" s="33" t="s">
        <v>102</v>
      </c>
      <c r="C580" s="33" t="s">
        <v>237</v>
      </c>
      <c r="D580" s="35">
        <v>2395.64</v>
      </c>
      <c r="E580" s="33">
        <v>35.0</v>
      </c>
      <c r="F580" s="35">
        <f t="array" ref="F580">IF(C580 ="FOB_JP", XLOOKUP(A580,CONTAINER_COST_MONTH!$A$2:$A$13,CONTAINER_COST_MONTH!$B$2:$B$13), 285)</f>
        <v>285</v>
      </c>
      <c r="G580" s="35">
        <f t="shared" si="1"/>
        <v>8.142857143</v>
      </c>
      <c r="H580" s="38">
        <f t="array" ref="H580">XLOOKUP(COST_BUY_MONTHLY!$C580,TAX!$A$2:$A$3,TAX!$B$2:$B$3)</f>
        <v>0</v>
      </c>
      <c r="I580" s="39">
        <f t="array" ref="I580">XLOOKUP(COST_BUY_MONTHLY!$C580,TAX!$A$2:$A$3,TAX!$C$2:$C$3)</f>
        <v>0</v>
      </c>
      <c r="J580" s="39">
        <f t="array" ref="J580">XLOOKUP(COST_BUY_MONTHLY!$C580,TAX!$A$2:$A$3,TAX!$D$2:$D$3)</f>
        <v>0.1</v>
      </c>
      <c r="K580" s="35">
        <f t="shared" si="2"/>
        <v>2644.161143</v>
      </c>
    </row>
    <row r="581" ht="14.25" customHeight="1">
      <c r="A581" s="33" t="s">
        <v>265</v>
      </c>
      <c r="B581" s="33" t="s">
        <v>104</v>
      </c>
      <c r="C581" s="33" t="s">
        <v>237</v>
      </c>
      <c r="D581" s="35">
        <v>3968.98</v>
      </c>
      <c r="E581" s="33">
        <v>35.0</v>
      </c>
      <c r="F581" s="35">
        <f t="array" ref="F581">IF(C581 ="FOB_JP", XLOOKUP(A581,CONTAINER_COST_MONTH!$A$2:$A$13,CONTAINER_COST_MONTH!$B$2:$B$13), 285)</f>
        <v>285</v>
      </c>
      <c r="G581" s="35">
        <f t="shared" si="1"/>
        <v>8.142857143</v>
      </c>
      <c r="H581" s="38">
        <f t="array" ref="H581">XLOOKUP(COST_BUY_MONTHLY!$C581,TAX!$A$2:$A$3,TAX!$B$2:$B$3)</f>
        <v>0</v>
      </c>
      <c r="I581" s="39">
        <f t="array" ref="I581">XLOOKUP(COST_BUY_MONTHLY!$C581,TAX!$A$2:$A$3,TAX!$C$2:$C$3)</f>
        <v>0</v>
      </c>
      <c r="J581" s="39">
        <f t="array" ref="J581">XLOOKUP(COST_BUY_MONTHLY!$C581,TAX!$A$2:$A$3,TAX!$D$2:$D$3)</f>
        <v>0.1</v>
      </c>
      <c r="K581" s="35">
        <f t="shared" si="2"/>
        <v>4374.835143</v>
      </c>
    </row>
    <row r="582" ht="14.25" customHeight="1">
      <c r="A582" s="33" t="s">
        <v>265</v>
      </c>
      <c r="B582" s="33" t="s">
        <v>106</v>
      </c>
      <c r="C582" s="33" t="s">
        <v>236</v>
      </c>
      <c r="D582" s="35">
        <v>3818.27</v>
      </c>
      <c r="E582" s="33">
        <v>50.0</v>
      </c>
      <c r="F582" s="35">
        <f t="array" ref="F582">IF(C582 ="FOB_JP", XLOOKUP(A582,CONTAINER_COST_MONTH!$A$2:$A$13,CONTAINER_COST_MONTH!$B$2:$B$13), 285)</f>
        <v>3418</v>
      </c>
      <c r="G582" s="35">
        <f t="shared" si="1"/>
        <v>68.36</v>
      </c>
      <c r="H582" s="38">
        <f t="array" ref="H582">XLOOKUP(COST_BUY_MONTHLY!$C582,TAX!$A$2:$A$3,TAX!$B$2:$B$3)</f>
        <v>0.002</v>
      </c>
      <c r="I582" s="39">
        <f t="array" ref="I582">XLOOKUP(COST_BUY_MONTHLY!$C582,TAX!$A$2:$A$3,TAX!$C$2:$C$3)</f>
        <v>0.2</v>
      </c>
      <c r="J582" s="39">
        <f t="array" ref="J582">XLOOKUP(COST_BUY_MONTHLY!$C582,TAX!$A$2:$A$3,TAX!$D$2:$D$3)</f>
        <v>0.1</v>
      </c>
      <c r="K582" s="35">
        <f t="shared" si="2"/>
        <v>5140.612303</v>
      </c>
    </row>
    <row r="583" ht="14.25" customHeight="1">
      <c r="A583" s="33" t="s">
        <v>265</v>
      </c>
      <c r="B583" s="33" t="s">
        <v>108</v>
      </c>
      <c r="C583" s="33" t="s">
        <v>236</v>
      </c>
      <c r="D583" s="35">
        <v>1759.11</v>
      </c>
      <c r="E583" s="33">
        <v>50.0</v>
      </c>
      <c r="F583" s="35">
        <f t="array" ref="F583">IF(C583 ="FOB_JP", XLOOKUP(A583,CONTAINER_COST_MONTH!$A$2:$A$13,CONTAINER_COST_MONTH!$B$2:$B$13), 285)</f>
        <v>3418</v>
      </c>
      <c r="G583" s="35">
        <f t="shared" si="1"/>
        <v>68.36</v>
      </c>
      <c r="H583" s="38">
        <f t="array" ref="H583">XLOOKUP(COST_BUY_MONTHLY!$C583,TAX!$A$2:$A$3,TAX!$B$2:$B$3)</f>
        <v>0.002</v>
      </c>
      <c r="I583" s="39">
        <f t="array" ref="I583">XLOOKUP(COST_BUY_MONTHLY!$C583,TAX!$A$2:$A$3,TAX!$C$2:$C$3)</f>
        <v>0.2</v>
      </c>
      <c r="J583" s="39">
        <f t="array" ref="J583">XLOOKUP(COST_BUY_MONTHLY!$C583,TAX!$A$2:$A$3,TAX!$D$2:$D$3)</f>
        <v>0.1</v>
      </c>
      <c r="K583" s="35">
        <f t="shared" si="2"/>
        <v>2417.084921</v>
      </c>
    </row>
    <row r="584" ht="14.25" customHeight="1">
      <c r="A584" s="33" t="s">
        <v>265</v>
      </c>
      <c r="B584" s="33" t="s">
        <v>110</v>
      </c>
      <c r="C584" s="33" t="s">
        <v>237</v>
      </c>
      <c r="D584" s="35">
        <v>1351.63</v>
      </c>
      <c r="E584" s="33">
        <v>50.0</v>
      </c>
      <c r="F584" s="35">
        <f t="array" ref="F584">IF(C584 ="FOB_JP", XLOOKUP(A584,CONTAINER_COST_MONTH!$A$2:$A$13,CONTAINER_COST_MONTH!$B$2:$B$13), 285)</f>
        <v>285</v>
      </c>
      <c r="G584" s="35">
        <f t="shared" si="1"/>
        <v>5.7</v>
      </c>
      <c r="H584" s="38">
        <f t="array" ref="H584">XLOOKUP(COST_BUY_MONTHLY!$C584,TAX!$A$2:$A$3,TAX!$B$2:$B$3)</f>
        <v>0</v>
      </c>
      <c r="I584" s="39">
        <f t="array" ref="I584">XLOOKUP(COST_BUY_MONTHLY!$C584,TAX!$A$2:$A$3,TAX!$C$2:$C$3)</f>
        <v>0</v>
      </c>
      <c r="J584" s="39">
        <f t="array" ref="J584">XLOOKUP(COST_BUY_MONTHLY!$C584,TAX!$A$2:$A$3,TAX!$D$2:$D$3)</f>
        <v>0.1</v>
      </c>
      <c r="K584" s="35">
        <f t="shared" si="2"/>
        <v>1493.063</v>
      </c>
    </row>
    <row r="585" ht="14.25" customHeight="1">
      <c r="A585" s="33" t="s">
        <v>265</v>
      </c>
      <c r="B585" s="33" t="s">
        <v>112</v>
      </c>
      <c r="C585" s="33" t="s">
        <v>237</v>
      </c>
      <c r="D585" s="35">
        <v>1642.68</v>
      </c>
      <c r="E585" s="33">
        <v>50.0</v>
      </c>
      <c r="F585" s="35">
        <f t="array" ref="F585">IF(C585 ="FOB_JP", XLOOKUP(A585,CONTAINER_COST_MONTH!$A$2:$A$13,CONTAINER_COST_MONTH!$B$2:$B$13), 285)</f>
        <v>285</v>
      </c>
      <c r="G585" s="35">
        <f t="shared" si="1"/>
        <v>5.7</v>
      </c>
      <c r="H585" s="38">
        <f t="array" ref="H585">XLOOKUP(COST_BUY_MONTHLY!$C585,TAX!$A$2:$A$3,TAX!$B$2:$B$3)</f>
        <v>0</v>
      </c>
      <c r="I585" s="39">
        <f t="array" ref="I585">XLOOKUP(COST_BUY_MONTHLY!$C585,TAX!$A$2:$A$3,TAX!$C$2:$C$3)</f>
        <v>0</v>
      </c>
      <c r="J585" s="39">
        <f t="array" ref="J585">XLOOKUP(COST_BUY_MONTHLY!$C585,TAX!$A$2:$A$3,TAX!$D$2:$D$3)</f>
        <v>0.1</v>
      </c>
      <c r="K585" s="35">
        <f t="shared" si="2"/>
        <v>1813.218</v>
      </c>
    </row>
    <row r="586" ht="14.25" customHeight="1">
      <c r="A586" s="33" t="s">
        <v>265</v>
      </c>
      <c r="B586" s="33" t="s">
        <v>114</v>
      </c>
      <c r="C586" s="33" t="s">
        <v>236</v>
      </c>
      <c r="D586" s="35">
        <v>4859.01</v>
      </c>
      <c r="E586" s="33">
        <v>20.0</v>
      </c>
      <c r="F586" s="35">
        <f t="array" ref="F586">IF(C586 ="FOB_JP", XLOOKUP(A586,CONTAINER_COST_MONTH!$A$2:$A$13,CONTAINER_COST_MONTH!$B$2:$B$13), 285)</f>
        <v>3418</v>
      </c>
      <c r="G586" s="35">
        <f t="shared" si="1"/>
        <v>170.9</v>
      </c>
      <c r="H586" s="38">
        <f t="array" ref="H586">XLOOKUP(COST_BUY_MONTHLY!$C586,TAX!$A$2:$A$3,TAX!$B$2:$B$3)</f>
        <v>0.002</v>
      </c>
      <c r="I586" s="39">
        <f t="array" ref="I586">XLOOKUP(COST_BUY_MONTHLY!$C586,TAX!$A$2:$A$3,TAX!$C$2:$C$3)</f>
        <v>0.2</v>
      </c>
      <c r="J586" s="39">
        <f t="array" ref="J586">XLOOKUP(COST_BUY_MONTHLY!$C586,TAX!$A$2:$A$3,TAX!$D$2:$D$3)</f>
        <v>0.1</v>
      </c>
      <c r="K586" s="35">
        <f t="shared" si="2"/>
        <v>6652.760162</v>
      </c>
    </row>
    <row r="587" ht="14.25" customHeight="1">
      <c r="A587" s="33" t="s">
        <v>265</v>
      </c>
      <c r="B587" s="33" t="s">
        <v>116</v>
      </c>
      <c r="C587" s="33" t="s">
        <v>236</v>
      </c>
      <c r="D587" s="35">
        <v>718.36</v>
      </c>
      <c r="E587" s="33">
        <v>50.0</v>
      </c>
      <c r="F587" s="35">
        <f t="array" ref="F587">IF(C587 ="FOB_JP", XLOOKUP(A587,CONTAINER_COST_MONTH!$A$2:$A$13,CONTAINER_COST_MONTH!$B$2:$B$13), 285)</f>
        <v>3418</v>
      </c>
      <c r="G587" s="35">
        <f t="shared" si="1"/>
        <v>68.36</v>
      </c>
      <c r="H587" s="38">
        <f t="array" ref="H587">XLOOKUP(COST_BUY_MONTHLY!$C587,TAX!$A$2:$A$3,TAX!$B$2:$B$3)</f>
        <v>0.002</v>
      </c>
      <c r="I587" s="39">
        <f t="array" ref="I587">XLOOKUP(COST_BUY_MONTHLY!$C587,TAX!$A$2:$A$3,TAX!$C$2:$C$3)</f>
        <v>0.2</v>
      </c>
      <c r="J587" s="39">
        <f t="array" ref="J587">XLOOKUP(COST_BUY_MONTHLY!$C587,TAX!$A$2:$A$3,TAX!$D$2:$D$3)</f>
        <v>0.1</v>
      </c>
      <c r="K587" s="35">
        <f t="shared" si="2"/>
        <v>1040.547341</v>
      </c>
    </row>
    <row r="588" ht="14.25" customHeight="1">
      <c r="A588" s="33" t="s">
        <v>265</v>
      </c>
      <c r="B588" s="33" t="s">
        <v>118</v>
      </c>
      <c r="C588" s="33" t="s">
        <v>236</v>
      </c>
      <c r="D588" s="35">
        <v>2169.04</v>
      </c>
      <c r="E588" s="33">
        <v>50.0</v>
      </c>
      <c r="F588" s="35">
        <f t="array" ref="F588">IF(C588 ="FOB_JP", XLOOKUP(A588,CONTAINER_COST_MONTH!$A$2:$A$13,CONTAINER_COST_MONTH!$B$2:$B$13), 285)</f>
        <v>3418</v>
      </c>
      <c r="G588" s="35">
        <f t="shared" si="1"/>
        <v>68.36</v>
      </c>
      <c r="H588" s="38">
        <f t="array" ref="H588">XLOOKUP(COST_BUY_MONTHLY!$C588,TAX!$A$2:$A$3,TAX!$B$2:$B$3)</f>
        <v>0.002</v>
      </c>
      <c r="I588" s="39">
        <f t="array" ref="I588">XLOOKUP(COST_BUY_MONTHLY!$C588,TAX!$A$2:$A$3,TAX!$C$2:$C$3)</f>
        <v>0.2</v>
      </c>
      <c r="J588" s="39">
        <f t="array" ref="J588">XLOOKUP(COST_BUY_MONTHLY!$C588,TAX!$A$2:$A$3,TAX!$D$2:$D$3)</f>
        <v>0.1</v>
      </c>
      <c r="K588" s="35">
        <f t="shared" si="2"/>
        <v>2959.274736</v>
      </c>
    </row>
    <row r="589" ht="14.25" customHeight="1">
      <c r="A589" s="33" t="s">
        <v>265</v>
      </c>
      <c r="B589" s="33" t="s">
        <v>120</v>
      </c>
      <c r="C589" s="33" t="s">
        <v>236</v>
      </c>
      <c r="D589" s="35">
        <v>3408.33</v>
      </c>
      <c r="E589" s="33">
        <v>50.0</v>
      </c>
      <c r="F589" s="35">
        <f t="array" ref="F589">IF(C589 ="FOB_JP", XLOOKUP(A589,CONTAINER_COST_MONTH!$A$2:$A$13,CONTAINER_COST_MONTH!$B$2:$B$13), 285)</f>
        <v>3418</v>
      </c>
      <c r="G589" s="35">
        <f t="shared" si="1"/>
        <v>68.36</v>
      </c>
      <c r="H589" s="38">
        <f t="array" ref="H589">XLOOKUP(COST_BUY_MONTHLY!$C589,TAX!$A$2:$A$3,TAX!$B$2:$B$3)</f>
        <v>0.002</v>
      </c>
      <c r="I589" s="39">
        <f t="array" ref="I589">XLOOKUP(COST_BUY_MONTHLY!$C589,TAX!$A$2:$A$3,TAX!$C$2:$C$3)</f>
        <v>0.2</v>
      </c>
      <c r="J589" s="39">
        <f t="array" ref="J589">XLOOKUP(COST_BUY_MONTHLY!$C589,TAX!$A$2:$A$3,TAX!$D$2:$D$3)</f>
        <v>0.1</v>
      </c>
      <c r="K589" s="35">
        <f t="shared" si="2"/>
        <v>4598.409262</v>
      </c>
    </row>
    <row r="590" ht="14.25" customHeight="1">
      <c r="A590" s="33" t="s">
        <v>265</v>
      </c>
      <c r="B590" s="33" t="s">
        <v>122</v>
      </c>
      <c r="C590" s="33" t="s">
        <v>237</v>
      </c>
      <c r="D590" s="35">
        <v>647.07</v>
      </c>
      <c r="E590" s="33">
        <v>50.0</v>
      </c>
      <c r="F590" s="35">
        <f t="array" ref="F590">IF(C590 ="FOB_JP", XLOOKUP(A590,CONTAINER_COST_MONTH!$A$2:$A$13,CONTAINER_COST_MONTH!$B$2:$B$13), 285)</f>
        <v>285</v>
      </c>
      <c r="G590" s="35">
        <f t="shared" si="1"/>
        <v>5.7</v>
      </c>
      <c r="H590" s="38">
        <f t="array" ref="H590">XLOOKUP(COST_BUY_MONTHLY!$C590,TAX!$A$2:$A$3,TAX!$B$2:$B$3)</f>
        <v>0</v>
      </c>
      <c r="I590" s="39">
        <f t="array" ref="I590">XLOOKUP(COST_BUY_MONTHLY!$C590,TAX!$A$2:$A$3,TAX!$C$2:$C$3)</f>
        <v>0</v>
      </c>
      <c r="J590" s="39">
        <f t="array" ref="J590">XLOOKUP(COST_BUY_MONTHLY!$C590,TAX!$A$2:$A$3,TAX!$D$2:$D$3)</f>
        <v>0.1</v>
      </c>
      <c r="K590" s="35">
        <f t="shared" si="2"/>
        <v>718.047</v>
      </c>
    </row>
    <row r="591" ht="14.25" customHeight="1">
      <c r="A591" s="33" t="s">
        <v>265</v>
      </c>
      <c r="B591" s="33" t="s">
        <v>124</v>
      </c>
      <c r="C591" s="33" t="s">
        <v>237</v>
      </c>
      <c r="D591" s="35">
        <v>2347.24</v>
      </c>
      <c r="E591" s="33">
        <v>50.0</v>
      </c>
      <c r="F591" s="35">
        <f t="array" ref="F591">IF(C591 ="FOB_JP", XLOOKUP(A591,CONTAINER_COST_MONTH!$A$2:$A$13,CONTAINER_COST_MONTH!$B$2:$B$13), 285)</f>
        <v>285</v>
      </c>
      <c r="G591" s="35">
        <f t="shared" si="1"/>
        <v>5.7</v>
      </c>
      <c r="H591" s="38">
        <f t="array" ref="H591">XLOOKUP(COST_BUY_MONTHLY!$C591,TAX!$A$2:$A$3,TAX!$B$2:$B$3)</f>
        <v>0</v>
      </c>
      <c r="I591" s="39">
        <f t="array" ref="I591">XLOOKUP(COST_BUY_MONTHLY!$C591,TAX!$A$2:$A$3,TAX!$C$2:$C$3)</f>
        <v>0</v>
      </c>
      <c r="J591" s="39">
        <f t="array" ref="J591">XLOOKUP(COST_BUY_MONTHLY!$C591,TAX!$A$2:$A$3,TAX!$D$2:$D$3)</f>
        <v>0.1</v>
      </c>
      <c r="K591" s="35">
        <f t="shared" si="2"/>
        <v>2588.234</v>
      </c>
    </row>
    <row r="592" ht="14.25" customHeight="1">
      <c r="A592" s="33" t="s">
        <v>265</v>
      </c>
      <c r="B592" s="33" t="s">
        <v>126</v>
      </c>
      <c r="C592" s="33" t="s">
        <v>236</v>
      </c>
      <c r="D592" s="35">
        <v>3638.25</v>
      </c>
      <c r="E592" s="33">
        <v>35.0</v>
      </c>
      <c r="F592" s="35">
        <f t="array" ref="F592">IF(C592 ="FOB_JP", XLOOKUP(A592,CONTAINER_COST_MONTH!$A$2:$A$13,CONTAINER_COST_MONTH!$B$2:$B$13), 285)</f>
        <v>3418</v>
      </c>
      <c r="G592" s="35">
        <f t="shared" si="1"/>
        <v>97.65714286</v>
      </c>
      <c r="H592" s="38">
        <f t="array" ref="H592">XLOOKUP(COST_BUY_MONTHLY!$C592,TAX!$A$2:$A$3,TAX!$B$2:$B$3)</f>
        <v>0.002</v>
      </c>
      <c r="I592" s="39">
        <f t="array" ref="I592">XLOOKUP(COST_BUY_MONTHLY!$C592,TAX!$A$2:$A$3,TAX!$C$2:$C$3)</f>
        <v>0.2</v>
      </c>
      <c r="J592" s="39">
        <f t="array" ref="J592">XLOOKUP(COST_BUY_MONTHLY!$C592,TAX!$A$2:$A$3,TAX!$D$2:$D$3)</f>
        <v>0.1</v>
      </c>
      <c r="K592" s="35">
        <f t="shared" si="2"/>
        <v>4941.260223</v>
      </c>
    </row>
    <row r="593" ht="14.25" customHeight="1">
      <c r="A593" s="33" t="s">
        <v>265</v>
      </c>
      <c r="B593" s="33" t="s">
        <v>128</v>
      </c>
      <c r="C593" s="33" t="s">
        <v>236</v>
      </c>
      <c r="D593" s="35">
        <v>5005.73</v>
      </c>
      <c r="E593" s="33">
        <v>35.0</v>
      </c>
      <c r="F593" s="35">
        <f t="array" ref="F593">IF(C593 ="FOB_JP", XLOOKUP(A593,CONTAINER_COST_MONTH!$A$2:$A$13,CONTAINER_COST_MONTH!$B$2:$B$13), 285)</f>
        <v>3418</v>
      </c>
      <c r="G593" s="35">
        <f t="shared" si="1"/>
        <v>97.65714286</v>
      </c>
      <c r="H593" s="38">
        <f t="array" ref="H593">XLOOKUP(COST_BUY_MONTHLY!$C593,TAX!$A$2:$A$3,TAX!$B$2:$B$3)</f>
        <v>0.002</v>
      </c>
      <c r="I593" s="39">
        <f t="array" ref="I593">XLOOKUP(COST_BUY_MONTHLY!$C593,TAX!$A$2:$A$3,TAX!$C$2:$C$3)</f>
        <v>0.2</v>
      </c>
      <c r="J593" s="39">
        <f t="array" ref="J593">XLOOKUP(COST_BUY_MONTHLY!$C593,TAX!$A$2:$A$3,TAX!$D$2:$D$3)</f>
        <v>0.1</v>
      </c>
      <c r="K593" s="35">
        <f t="shared" si="2"/>
        <v>6749.943971</v>
      </c>
    </row>
    <row r="594" ht="14.25" customHeight="1">
      <c r="A594" s="33" t="s">
        <v>265</v>
      </c>
      <c r="B594" s="33" t="s">
        <v>130</v>
      </c>
      <c r="C594" s="33" t="s">
        <v>237</v>
      </c>
      <c r="D594" s="35">
        <v>3760.36</v>
      </c>
      <c r="E594" s="33">
        <v>35.0</v>
      </c>
      <c r="F594" s="35">
        <f t="array" ref="F594">IF(C594 ="FOB_JP", XLOOKUP(A594,CONTAINER_COST_MONTH!$A$2:$A$13,CONTAINER_COST_MONTH!$B$2:$B$13), 285)</f>
        <v>285</v>
      </c>
      <c r="G594" s="35">
        <f t="shared" si="1"/>
        <v>8.142857143</v>
      </c>
      <c r="H594" s="38">
        <f t="array" ref="H594">XLOOKUP(COST_BUY_MONTHLY!$C594,TAX!$A$2:$A$3,TAX!$B$2:$B$3)</f>
        <v>0</v>
      </c>
      <c r="I594" s="39">
        <f t="array" ref="I594">XLOOKUP(COST_BUY_MONTHLY!$C594,TAX!$A$2:$A$3,TAX!$C$2:$C$3)</f>
        <v>0</v>
      </c>
      <c r="J594" s="39">
        <f t="array" ref="J594">XLOOKUP(COST_BUY_MONTHLY!$C594,TAX!$A$2:$A$3,TAX!$D$2:$D$3)</f>
        <v>0.1</v>
      </c>
      <c r="K594" s="35">
        <f t="shared" si="2"/>
        <v>4145.353143</v>
      </c>
    </row>
    <row r="595" ht="14.25" customHeight="1">
      <c r="A595" s="33" t="s">
        <v>265</v>
      </c>
      <c r="B595" s="33" t="s">
        <v>132</v>
      </c>
      <c r="C595" s="33" t="s">
        <v>237</v>
      </c>
      <c r="D595" s="35">
        <v>1229.5</v>
      </c>
      <c r="E595" s="33">
        <v>35.0</v>
      </c>
      <c r="F595" s="35">
        <f t="array" ref="F595">IF(C595 ="FOB_JP", XLOOKUP(A595,CONTAINER_COST_MONTH!$A$2:$A$13,CONTAINER_COST_MONTH!$B$2:$B$13), 285)</f>
        <v>285</v>
      </c>
      <c r="G595" s="35">
        <f t="shared" si="1"/>
        <v>8.142857143</v>
      </c>
      <c r="H595" s="38">
        <f t="array" ref="H595">XLOOKUP(COST_BUY_MONTHLY!$C595,TAX!$A$2:$A$3,TAX!$B$2:$B$3)</f>
        <v>0</v>
      </c>
      <c r="I595" s="39">
        <f t="array" ref="I595">XLOOKUP(COST_BUY_MONTHLY!$C595,TAX!$A$2:$A$3,TAX!$C$2:$C$3)</f>
        <v>0</v>
      </c>
      <c r="J595" s="39">
        <f t="array" ref="J595">XLOOKUP(COST_BUY_MONTHLY!$C595,TAX!$A$2:$A$3,TAX!$D$2:$D$3)</f>
        <v>0.1</v>
      </c>
      <c r="K595" s="35">
        <f t="shared" si="2"/>
        <v>1361.407143</v>
      </c>
    </row>
    <row r="596" ht="14.25" customHeight="1">
      <c r="A596" s="33" t="s">
        <v>265</v>
      </c>
      <c r="B596" s="33" t="s">
        <v>134</v>
      </c>
      <c r="C596" s="33" t="s">
        <v>236</v>
      </c>
      <c r="D596" s="35">
        <v>4169.85</v>
      </c>
      <c r="E596" s="33">
        <v>14.0</v>
      </c>
      <c r="F596" s="35">
        <f t="array" ref="F596">IF(C596 ="FOB_JP", XLOOKUP(A596,CONTAINER_COST_MONTH!$A$2:$A$13,CONTAINER_COST_MONTH!$B$2:$B$13), 285)</f>
        <v>3418</v>
      </c>
      <c r="G596" s="35">
        <f t="shared" si="1"/>
        <v>244.1428571</v>
      </c>
      <c r="H596" s="38">
        <f t="array" ref="H596">XLOOKUP(COST_BUY_MONTHLY!$C596,TAX!$A$2:$A$3,TAX!$B$2:$B$3)</f>
        <v>0.002</v>
      </c>
      <c r="I596" s="39">
        <f t="array" ref="I596">XLOOKUP(COST_BUY_MONTHLY!$C596,TAX!$A$2:$A$3,TAX!$C$2:$C$3)</f>
        <v>0.2</v>
      </c>
      <c r="J596" s="39">
        <f t="array" ref="J596">XLOOKUP(COST_BUY_MONTHLY!$C596,TAX!$A$2:$A$3,TAX!$D$2:$D$3)</f>
        <v>0.1</v>
      </c>
      <c r="K596" s="35">
        <f t="shared" si="2"/>
        <v>5838.123513</v>
      </c>
    </row>
    <row r="597" ht="14.25" customHeight="1">
      <c r="A597" s="33" t="s">
        <v>265</v>
      </c>
      <c r="B597" s="33" t="s">
        <v>136</v>
      </c>
      <c r="C597" s="33" t="s">
        <v>236</v>
      </c>
      <c r="D597" s="35">
        <v>4474.12</v>
      </c>
      <c r="E597" s="33">
        <v>35.0</v>
      </c>
      <c r="F597" s="35">
        <f t="array" ref="F597">IF(C597 ="FOB_JP", XLOOKUP(A597,CONTAINER_COST_MONTH!$A$2:$A$13,CONTAINER_COST_MONTH!$B$2:$B$13), 285)</f>
        <v>3418</v>
      </c>
      <c r="G597" s="35">
        <f t="shared" si="1"/>
        <v>97.65714286</v>
      </c>
      <c r="H597" s="38">
        <f t="array" ref="H597">XLOOKUP(COST_BUY_MONTHLY!$C597,TAX!$A$2:$A$3,TAX!$B$2:$B$3)</f>
        <v>0.002</v>
      </c>
      <c r="I597" s="39">
        <f t="array" ref="I597">XLOOKUP(COST_BUY_MONTHLY!$C597,TAX!$A$2:$A$3,TAX!$C$2:$C$3)</f>
        <v>0.2</v>
      </c>
      <c r="J597" s="39">
        <f t="array" ref="J597">XLOOKUP(COST_BUY_MONTHLY!$C597,TAX!$A$2:$A$3,TAX!$D$2:$D$3)</f>
        <v>0.1</v>
      </c>
      <c r="K597" s="35">
        <f t="shared" si="2"/>
        <v>6046.81532</v>
      </c>
    </row>
    <row r="598" ht="14.25" customHeight="1">
      <c r="A598" s="33" t="s">
        <v>265</v>
      </c>
      <c r="B598" s="33" t="s">
        <v>138</v>
      </c>
      <c r="C598" s="33" t="s">
        <v>236</v>
      </c>
      <c r="D598" s="35">
        <v>1857.59</v>
      </c>
      <c r="E598" s="33">
        <v>35.0</v>
      </c>
      <c r="F598" s="35">
        <f t="array" ref="F598">IF(C598 ="FOB_JP", XLOOKUP(A598,CONTAINER_COST_MONTH!$A$2:$A$13,CONTAINER_COST_MONTH!$B$2:$B$13), 285)</f>
        <v>3418</v>
      </c>
      <c r="G598" s="35">
        <f t="shared" si="1"/>
        <v>97.65714286</v>
      </c>
      <c r="H598" s="38">
        <f t="array" ref="H598">XLOOKUP(COST_BUY_MONTHLY!$C598,TAX!$A$2:$A$3,TAX!$B$2:$B$3)</f>
        <v>0.002</v>
      </c>
      <c r="I598" s="39">
        <f t="array" ref="I598">XLOOKUP(COST_BUY_MONTHLY!$C598,TAX!$A$2:$A$3,TAX!$C$2:$C$3)</f>
        <v>0.2</v>
      </c>
      <c r="J598" s="39">
        <f t="array" ref="J598">XLOOKUP(COST_BUY_MONTHLY!$C598,TAX!$A$2:$A$3,TAX!$D$2:$D$3)</f>
        <v>0.1</v>
      </c>
      <c r="K598" s="35">
        <f t="shared" si="2"/>
        <v>2586.088081</v>
      </c>
    </row>
    <row r="599" ht="14.25" customHeight="1">
      <c r="A599" s="33" t="s">
        <v>265</v>
      </c>
      <c r="B599" s="33" t="s">
        <v>140</v>
      </c>
      <c r="C599" s="33" t="s">
        <v>236</v>
      </c>
      <c r="D599" s="35">
        <v>6786.38</v>
      </c>
      <c r="E599" s="33">
        <v>35.0</v>
      </c>
      <c r="F599" s="35">
        <f t="array" ref="F599">IF(C599 ="FOB_JP", XLOOKUP(A599,CONTAINER_COST_MONTH!$A$2:$A$13,CONTAINER_COST_MONTH!$B$2:$B$13), 285)</f>
        <v>3418</v>
      </c>
      <c r="G599" s="35">
        <f t="shared" si="1"/>
        <v>97.65714286</v>
      </c>
      <c r="H599" s="38">
        <f t="array" ref="H599">XLOOKUP(COST_BUY_MONTHLY!$C599,TAX!$A$2:$A$3,TAX!$B$2:$B$3)</f>
        <v>0.002</v>
      </c>
      <c r="I599" s="39">
        <f t="array" ref="I599">XLOOKUP(COST_BUY_MONTHLY!$C599,TAX!$A$2:$A$3,TAX!$C$2:$C$3)</f>
        <v>0.2</v>
      </c>
      <c r="J599" s="39">
        <f t="array" ref="J599">XLOOKUP(COST_BUY_MONTHLY!$C599,TAX!$A$2:$A$3,TAX!$D$2:$D$3)</f>
        <v>0.1</v>
      </c>
      <c r="K599" s="35">
        <f t="shared" si="2"/>
        <v>9105.102887</v>
      </c>
    </row>
    <row r="600" ht="14.25" customHeight="1">
      <c r="A600" s="33" t="s">
        <v>265</v>
      </c>
      <c r="B600" s="33" t="s">
        <v>142</v>
      </c>
      <c r="C600" s="33" t="s">
        <v>237</v>
      </c>
      <c r="D600" s="35">
        <v>2264.4</v>
      </c>
      <c r="E600" s="33">
        <v>35.0</v>
      </c>
      <c r="F600" s="35">
        <f t="array" ref="F600">IF(C600 ="FOB_JP", XLOOKUP(A600,CONTAINER_COST_MONTH!$A$2:$A$13,CONTAINER_COST_MONTH!$B$2:$B$13), 285)</f>
        <v>285</v>
      </c>
      <c r="G600" s="35">
        <f t="shared" si="1"/>
        <v>8.142857143</v>
      </c>
      <c r="H600" s="38">
        <f t="array" ref="H600">XLOOKUP(COST_BUY_MONTHLY!$C600,TAX!$A$2:$A$3,TAX!$B$2:$B$3)</f>
        <v>0</v>
      </c>
      <c r="I600" s="39">
        <f t="array" ref="I600">XLOOKUP(COST_BUY_MONTHLY!$C600,TAX!$A$2:$A$3,TAX!$C$2:$C$3)</f>
        <v>0</v>
      </c>
      <c r="J600" s="39">
        <f t="array" ref="J600">XLOOKUP(COST_BUY_MONTHLY!$C600,TAX!$A$2:$A$3,TAX!$D$2:$D$3)</f>
        <v>0.1</v>
      </c>
      <c r="K600" s="35">
        <f t="shared" si="2"/>
        <v>2499.797143</v>
      </c>
    </row>
    <row r="601" ht="14.25" customHeight="1">
      <c r="A601" s="33" t="s">
        <v>265</v>
      </c>
      <c r="B601" s="33" t="s">
        <v>144</v>
      </c>
      <c r="C601" s="33" t="s">
        <v>237</v>
      </c>
      <c r="D601" s="35">
        <v>2725.46</v>
      </c>
      <c r="E601" s="33">
        <v>35.0</v>
      </c>
      <c r="F601" s="35">
        <f t="array" ref="F601">IF(C601 ="FOB_JP", XLOOKUP(A601,CONTAINER_COST_MONTH!$A$2:$A$13,CONTAINER_COST_MONTH!$B$2:$B$13), 285)</f>
        <v>285</v>
      </c>
      <c r="G601" s="35">
        <f t="shared" si="1"/>
        <v>8.142857143</v>
      </c>
      <c r="H601" s="38">
        <f t="array" ref="H601">XLOOKUP(COST_BUY_MONTHLY!$C601,TAX!$A$2:$A$3,TAX!$B$2:$B$3)</f>
        <v>0</v>
      </c>
      <c r="I601" s="39">
        <f t="array" ref="I601">XLOOKUP(COST_BUY_MONTHLY!$C601,TAX!$A$2:$A$3,TAX!$C$2:$C$3)</f>
        <v>0</v>
      </c>
      <c r="J601" s="39">
        <f t="array" ref="J601">XLOOKUP(COST_BUY_MONTHLY!$C601,TAX!$A$2:$A$3,TAX!$D$2:$D$3)</f>
        <v>0.1</v>
      </c>
      <c r="K601" s="35">
        <f t="shared" si="2"/>
        <v>3006.963143</v>
      </c>
    </row>
    <row r="602" ht="14.25" customHeight="1">
      <c r="A602" s="33" t="s">
        <v>266</v>
      </c>
      <c r="B602" s="33" t="s">
        <v>11</v>
      </c>
      <c r="C602" s="33" t="s">
        <v>236</v>
      </c>
      <c r="D602" s="35">
        <v>4048.09</v>
      </c>
      <c r="E602" s="33">
        <v>10.0</v>
      </c>
      <c r="F602" s="35">
        <f t="array" ref="F602">IF(C602 ="FOB_JP", XLOOKUP(A602,CONTAINER_COST_MONTH!$A$2:$A$13,CONTAINER_COST_MONTH!$B$2:$B$13), 285)</f>
        <v>3637</v>
      </c>
      <c r="G602" s="35">
        <f t="shared" si="1"/>
        <v>363.7</v>
      </c>
      <c r="H602" s="38">
        <f t="array" ref="H602">XLOOKUP(COST_BUY_MONTHLY!$C602,TAX!$A$2:$A$3,TAX!$B$2:$B$3)</f>
        <v>0.002</v>
      </c>
      <c r="I602" s="39">
        <f t="array" ref="I602">XLOOKUP(COST_BUY_MONTHLY!$C602,TAX!$A$2:$A$3,TAX!$C$2:$C$3)</f>
        <v>0.2</v>
      </c>
      <c r="J602" s="39">
        <f t="array" ref="J602">XLOOKUP(COST_BUY_MONTHLY!$C602,TAX!$A$2:$A$3,TAX!$D$2:$D$3)</f>
        <v>0.1</v>
      </c>
      <c r="K602" s="35">
        <f t="shared" si="2"/>
        <v>5835.209926</v>
      </c>
    </row>
    <row r="603" ht="14.25" customHeight="1">
      <c r="A603" s="33" t="s">
        <v>266</v>
      </c>
      <c r="B603" s="33" t="s">
        <v>18</v>
      </c>
      <c r="C603" s="33" t="s">
        <v>237</v>
      </c>
      <c r="D603" s="35">
        <v>2173.3</v>
      </c>
      <c r="E603" s="33">
        <v>40.0</v>
      </c>
      <c r="F603" s="35">
        <f t="array" ref="F603">IF(C603 ="FOB_JP", XLOOKUP(A603,CONTAINER_COST_MONTH!$A$2:$A$13,CONTAINER_COST_MONTH!$B$2:$B$13), 285)</f>
        <v>285</v>
      </c>
      <c r="G603" s="35">
        <f t="shared" si="1"/>
        <v>7.125</v>
      </c>
      <c r="H603" s="38">
        <f t="array" ref="H603">XLOOKUP(COST_BUY_MONTHLY!$C603,TAX!$A$2:$A$3,TAX!$B$2:$B$3)</f>
        <v>0</v>
      </c>
      <c r="I603" s="39">
        <f t="array" ref="I603">XLOOKUP(COST_BUY_MONTHLY!$C603,TAX!$A$2:$A$3,TAX!$C$2:$C$3)</f>
        <v>0</v>
      </c>
      <c r="J603" s="39">
        <f t="array" ref="J603">XLOOKUP(COST_BUY_MONTHLY!$C603,TAX!$A$2:$A$3,TAX!$D$2:$D$3)</f>
        <v>0.1</v>
      </c>
      <c r="K603" s="35">
        <f t="shared" si="2"/>
        <v>2398.4675</v>
      </c>
    </row>
    <row r="604" ht="14.25" customHeight="1">
      <c r="A604" s="33" t="s">
        <v>266</v>
      </c>
      <c r="B604" s="33" t="s">
        <v>22</v>
      </c>
      <c r="C604" s="33" t="s">
        <v>236</v>
      </c>
      <c r="D604" s="35">
        <v>4048.09</v>
      </c>
      <c r="E604" s="33">
        <v>20.0</v>
      </c>
      <c r="F604" s="35">
        <f t="array" ref="F604">IF(C604 ="FOB_JP", XLOOKUP(A604,CONTAINER_COST_MONTH!$A$2:$A$13,CONTAINER_COST_MONTH!$B$2:$B$13), 285)</f>
        <v>3637</v>
      </c>
      <c r="G604" s="35">
        <f t="shared" si="1"/>
        <v>181.85</v>
      </c>
      <c r="H604" s="38">
        <f t="array" ref="H604">XLOOKUP(COST_BUY_MONTHLY!$C604,TAX!$A$2:$A$3,TAX!$B$2:$B$3)</f>
        <v>0.002</v>
      </c>
      <c r="I604" s="39">
        <f t="array" ref="I604">XLOOKUP(COST_BUY_MONTHLY!$C604,TAX!$A$2:$A$3,TAX!$C$2:$C$3)</f>
        <v>0.2</v>
      </c>
      <c r="J604" s="39">
        <f t="array" ref="J604">XLOOKUP(COST_BUY_MONTHLY!$C604,TAX!$A$2:$A$3,TAX!$D$2:$D$3)</f>
        <v>0.1</v>
      </c>
      <c r="K604" s="35">
        <f t="shared" si="2"/>
        <v>5594.687842</v>
      </c>
    </row>
    <row r="605" ht="14.25" customHeight="1">
      <c r="A605" s="33" t="s">
        <v>266</v>
      </c>
      <c r="B605" s="33" t="s">
        <v>24</v>
      </c>
      <c r="C605" s="33" t="s">
        <v>236</v>
      </c>
      <c r="D605" s="35">
        <v>4048.09</v>
      </c>
      <c r="E605" s="33">
        <v>15.0</v>
      </c>
      <c r="F605" s="35">
        <f t="array" ref="F605">IF(C605 ="FOB_JP", XLOOKUP(A605,CONTAINER_COST_MONTH!$A$2:$A$13,CONTAINER_COST_MONTH!$B$2:$B$13), 285)</f>
        <v>3637</v>
      </c>
      <c r="G605" s="35">
        <f t="shared" si="1"/>
        <v>242.4666667</v>
      </c>
      <c r="H605" s="38">
        <f t="array" ref="H605">XLOOKUP(COST_BUY_MONTHLY!$C605,TAX!$A$2:$A$3,TAX!$B$2:$B$3)</f>
        <v>0.002</v>
      </c>
      <c r="I605" s="39">
        <f t="array" ref="I605">XLOOKUP(COST_BUY_MONTHLY!$C605,TAX!$A$2:$A$3,TAX!$C$2:$C$3)</f>
        <v>0.2</v>
      </c>
      <c r="J605" s="39">
        <f t="array" ref="J605">XLOOKUP(COST_BUY_MONTHLY!$C605,TAX!$A$2:$A$3,TAX!$D$2:$D$3)</f>
        <v>0.1</v>
      </c>
      <c r="K605" s="35">
        <f t="shared" si="2"/>
        <v>5674.86187</v>
      </c>
    </row>
    <row r="606" ht="14.25" customHeight="1">
      <c r="A606" s="33" t="s">
        <v>266</v>
      </c>
      <c r="B606" s="33" t="s">
        <v>26</v>
      </c>
      <c r="C606" s="33" t="s">
        <v>237</v>
      </c>
      <c r="D606" s="35">
        <v>2173.3</v>
      </c>
      <c r="E606" s="33">
        <v>120.0</v>
      </c>
      <c r="F606" s="35">
        <f t="array" ref="F606">IF(C606 ="FOB_JP", XLOOKUP(A606,CONTAINER_COST_MONTH!$A$2:$A$13,CONTAINER_COST_MONTH!$B$2:$B$13), 285)</f>
        <v>285</v>
      </c>
      <c r="G606" s="35">
        <f t="shared" si="1"/>
        <v>2.375</v>
      </c>
      <c r="H606" s="38">
        <f t="array" ref="H606">XLOOKUP(COST_BUY_MONTHLY!$C606,TAX!$A$2:$A$3,TAX!$B$2:$B$3)</f>
        <v>0</v>
      </c>
      <c r="I606" s="39">
        <f t="array" ref="I606">XLOOKUP(COST_BUY_MONTHLY!$C606,TAX!$A$2:$A$3,TAX!$C$2:$C$3)</f>
        <v>0</v>
      </c>
      <c r="J606" s="39">
        <f t="array" ref="J606">XLOOKUP(COST_BUY_MONTHLY!$C606,TAX!$A$2:$A$3,TAX!$D$2:$D$3)</f>
        <v>0.1</v>
      </c>
      <c r="K606" s="35">
        <f t="shared" si="2"/>
        <v>2393.2425</v>
      </c>
    </row>
    <row r="607" ht="14.25" customHeight="1">
      <c r="A607" s="33" t="s">
        <v>266</v>
      </c>
      <c r="B607" s="33" t="s">
        <v>30</v>
      </c>
      <c r="C607" s="33" t="s">
        <v>236</v>
      </c>
      <c r="D607" s="35">
        <v>11025.48</v>
      </c>
      <c r="E607" s="33">
        <v>7.0</v>
      </c>
      <c r="F607" s="35">
        <f t="array" ref="F607">IF(C607 ="FOB_JP", XLOOKUP(A607,CONTAINER_COST_MONTH!$A$2:$A$13,CONTAINER_COST_MONTH!$B$2:$B$13), 285)</f>
        <v>3637</v>
      </c>
      <c r="G607" s="35">
        <f t="shared" si="1"/>
        <v>519.5714286</v>
      </c>
      <c r="H607" s="38">
        <f t="array" ref="H607">XLOOKUP(COST_BUY_MONTHLY!$C607,TAX!$A$2:$A$3,TAX!$B$2:$B$3)</f>
        <v>0.002</v>
      </c>
      <c r="I607" s="39">
        <f t="array" ref="I607">XLOOKUP(COST_BUY_MONTHLY!$C607,TAX!$A$2:$A$3,TAX!$C$2:$C$3)</f>
        <v>0.2</v>
      </c>
      <c r="J607" s="39">
        <f t="array" ref="J607">XLOOKUP(COST_BUY_MONTHLY!$C607,TAX!$A$2:$A$3,TAX!$D$2:$D$3)</f>
        <v>0.1</v>
      </c>
      <c r="K607" s="35">
        <f t="shared" si="2"/>
        <v>15269.94682</v>
      </c>
    </row>
    <row r="608" ht="14.25" customHeight="1">
      <c r="A608" s="33" t="s">
        <v>266</v>
      </c>
      <c r="B608" s="33" t="s">
        <v>33</v>
      </c>
      <c r="C608" s="33" t="s">
        <v>237</v>
      </c>
      <c r="D608" s="35">
        <v>6364.62</v>
      </c>
      <c r="E608" s="33">
        <v>28.0</v>
      </c>
      <c r="F608" s="35">
        <f t="array" ref="F608">IF(C608 ="FOB_JP", XLOOKUP(A608,CONTAINER_COST_MONTH!$A$2:$A$13,CONTAINER_COST_MONTH!$B$2:$B$13), 285)</f>
        <v>285</v>
      </c>
      <c r="G608" s="35">
        <f t="shared" si="1"/>
        <v>10.17857143</v>
      </c>
      <c r="H608" s="38">
        <f t="array" ref="H608">XLOOKUP(COST_BUY_MONTHLY!$C608,TAX!$A$2:$A$3,TAX!$B$2:$B$3)</f>
        <v>0</v>
      </c>
      <c r="I608" s="39">
        <f t="array" ref="I608">XLOOKUP(COST_BUY_MONTHLY!$C608,TAX!$A$2:$A$3,TAX!$C$2:$C$3)</f>
        <v>0</v>
      </c>
      <c r="J608" s="39">
        <f t="array" ref="J608">XLOOKUP(COST_BUY_MONTHLY!$C608,TAX!$A$2:$A$3,TAX!$D$2:$D$3)</f>
        <v>0.1</v>
      </c>
      <c r="K608" s="35">
        <f t="shared" si="2"/>
        <v>7012.278429</v>
      </c>
    </row>
    <row r="609" ht="14.25" customHeight="1">
      <c r="A609" s="33" t="s">
        <v>266</v>
      </c>
      <c r="B609" s="33" t="s">
        <v>35</v>
      </c>
      <c r="C609" s="33" t="s">
        <v>236</v>
      </c>
      <c r="D609" s="35">
        <v>11025.48</v>
      </c>
      <c r="E609" s="33">
        <v>14.0</v>
      </c>
      <c r="F609" s="35">
        <f t="array" ref="F609">IF(C609 ="FOB_JP", XLOOKUP(A609,CONTAINER_COST_MONTH!$A$2:$A$13,CONTAINER_COST_MONTH!$B$2:$B$13), 285)</f>
        <v>3637</v>
      </c>
      <c r="G609" s="35">
        <f t="shared" si="1"/>
        <v>259.7857143</v>
      </c>
      <c r="H609" s="38">
        <f t="array" ref="H609">XLOOKUP(COST_BUY_MONTHLY!$C609,TAX!$A$2:$A$3,TAX!$B$2:$B$3)</f>
        <v>0.002</v>
      </c>
      <c r="I609" s="39">
        <f t="array" ref="I609">XLOOKUP(COST_BUY_MONTHLY!$C609,TAX!$A$2:$A$3,TAX!$C$2:$C$3)</f>
        <v>0.2</v>
      </c>
      <c r="J609" s="39">
        <f t="array" ref="J609">XLOOKUP(COST_BUY_MONTHLY!$C609,TAX!$A$2:$A$3,TAX!$D$2:$D$3)</f>
        <v>0.1</v>
      </c>
      <c r="K609" s="35">
        <f t="shared" si="2"/>
        <v>14926.34384</v>
      </c>
    </row>
    <row r="610" ht="14.25" customHeight="1">
      <c r="A610" s="33" t="s">
        <v>266</v>
      </c>
      <c r="B610" s="33" t="s">
        <v>37</v>
      </c>
      <c r="C610" s="33" t="s">
        <v>236</v>
      </c>
      <c r="D610" s="35">
        <v>11025.48</v>
      </c>
      <c r="E610" s="33">
        <v>10.0</v>
      </c>
      <c r="F610" s="35">
        <f t="array" ref="F610">IF(C610 ="FOB_JP", XLOOKUP(A610,CONTAINER_COST_MONTH!$A$2:$A$13,CONTAINER_COST_MONTH!$B$2:$B$13), 285)</f>
        <v>3637</v>
      </c>
      <c r="G610" s="35">
        <f t="shared" si="1"/>
        <v>363.7</v>
      </c>
      <c r="H610" s="38">
        <f t="array" ref="H610">XLOOKUP(COST_BUY_MONTHLY!$C610,TAX!$A$2:$A$3,TAX!$B$2:$B$3)</f>
        <v>0.002</v>
      </c>
      <c r="I610" s="39">
        <f t="array" ref="I610">XLOOKUP(COST_BUY_MONTHLY!$C610,TAX!$A$2:$A$3,TAX!$C$2:$C$3)</f>
        <v>0.2</v>
      </c>
      <c r="J610" s="39">
        <f t="array" ref="J610">XLOOKUP(COST_BUY_MONTHLY!$C610,TAX!$A$2:$A$3,TAX!$D$2:$D$3)</f>
        <v>0.1</v>
      </c>
      <c r="K610" s="35">
        <f t="shared" si="2"/>
        <v>15063.78504</v>
      </c>
    </row>
    <row r="611" ht="14.25" customHeight="1">
      <c r="A611" s="33" t="s">
        <v>266</v>
      </c>
      <c r="B611" s="33" t="s">
        <v>39</v>
      </c>
      <c r="C611" s="33" t="s">
        <v>237</v>
      </c>
      <c r="D611" s="35">
        <v>6364.62</v>
      </c>
      <c r="E611" s="33">
        <v>84.0</v>
      </c>
      <c r="F611" s="35">
        <f t="array" ref="F611">IF(C611 ="FOB_JP", XLOOKUP(A611,CONTAINER_COST_MONTH!$A$2:$A$13,CONTAINER_COST_MONTH!$B$2:$B$13), 285)</f>
        <v>285</v>
      </c>
      <c r="G611" s="35">
        <f t="shared" si="1"/>
        <v>3.392857143</v>
      </c>
      <c r="H611" s="38">
        <f t="array" ref="H611">XLOOKUP(COST_BUY_MONTHLY!$C611,TAX!$A$2:$A$3,TAX!$B$2:$B$3)</f>
        <v>0</v>
      </c>
      <c r="I611" s="39">
        <f t="array" ref="I611">XLOOKUP(COST_BUY_MONTHLY!$C611,TAX!$A$2:$A$3,TAX!$C$2:$C$3)</f>
        <v>0</v>
      </c>
      <c r="J611" s="39">
        <f t="array" ref="J611">XLOOKUP(COST_BUY_MONTHLY!$C611,TAX!$A$2:$A$3,TAX!$D$2:$D$3)</f>
        <v>0.1</v>
      </c>
      <c r="K611" s="35">
        <f t="shared" si="2"/>
        <v>7004.814143</v>
      </c>
    </row>
    <row r="612" ht="14.25" customHeight="1">
      <c r="A612" s="33" t="s">
        <v>266</v>
      </c>
      <c r="B612" s="33" t="s">
        <v>42</v>
      </c>
      <c r="C612" s="33" t="s">
        <v>236</v>
      </c>
      <c r="D612" s="35">
        <v>5577.37</v>
      </c>
      <c r="E612" s="33">
        <v>10.0</v>
      </c>
      <c r="F612" s="35">
        <f t="array" ref="F612">IF(C612 ="FOB_JP", XLOOKUP(A612,CONTAINER_COST_MONTH!$A$2:$A$13,CONTAINER_COST_MONTH!$B$2:$B$13), 285)</f>
        <v>3637</v>
      </c>
      <c r="G612" s="35">
        <f t="shared" si="1"/>
        <v>363.7</v>
      </c>
      <c r="H612" s="38">
        <f t="array" ref="H612">XLOOKUP(COST_BUY_MONTHLY!$C612,TAX!$A$2:$A$3,TAX!$B$2:$B$3)</f>
        <v>0.002</v>
      </c>
      <c r="I612" s="39">
        <f t="array" ref="I612">XLOOKUP(COST_BUY_MONTHLY!$C612,TAX!$A$2:$A$3,TAX!$C$2:$C$3)</f>
        <v>0.2</v>
      </c>
      <c r="J612" s="39">
        <f t="array" ref="J612">XLOOKUP(COST_BUY_MONTHLY!$C612,TAX!$A$2:$A$3,TAX!$D$2:$D$3)</f>
        <v>0.1</v>
      </c>
      <c r="K612" s="35">
        <f t="shared" si="2"/>
        <v>7857.896825</v>
      </c>
    </row>
    <row r="613" ht="14.25" customHeight="1">
      <c r="A613" s="33" t="s">
        <v>266</v>
      </c>
      <c r="B613" s="33" t="s">
        <v>45</v>
      </c>
      <c r="C613" s="33" t="s">
        <v>237</v>
      </c>
      <c r="D613" s="35">
        <v>2994.32</v>
      </c>
      <c r="E613" s="33">
        <v>40.0</v>
      </c>
      <c r="F613" s="35">
        <f t="array" ref="F613">IF(C613 ="FOB_JP", XLOOKUP(A613,CONTAINER_COST_MONTH!$A$2:$A$13,CONTAINER_COST_MONTH!$B$2:$B$13), 285)</f>
        <v>285</v>
      </c>
      <c r="G613" s="35">
        <f t="shared" si="1"/>
        <v>7.125</v>
      </c>
      <c r="H613" s="38">
        <f t="array" ref="H613">XLOOKUP(COST_BUY_MONTHLY!$C613,TAX!$A$2:$A$3,TAX!$B$2:$B$3)</f>
        <v>0</v>
      </c>
      <c r="I613" s="39">
        <f t="array" ref="I613">XLOOKUP(COST_BUY_MONTHLY!$C613,TAX!$A$2:$A$3,TAX!$C$2:$C$3)</f>
        <v>0</v>
      </c>
      <c r="J613" s="39">
        <f t="array" ref="J613">XLOOKUP(COST_BUY_MONTHLY!$C613,TAX!$A$2:$A$3,TAX!$D$2:$D$3)</f>
        <v>0.1</v>
      </c>
      <c r="K613" s="35">
        <f t="shared" si="2"/>
        <v>3301.5895</v>
      </c>
    </row>
    <row r="614" ht="14.25" customHeight="1">
      <c r="A614" s="33" t="s">
        <v>266</v>
      </c>
      <c r="B614" s="33" t="s">
        <v>47</v>
      </c>
      <c r="C614" s="33" t="s">
        <v>236</v>
      </c>
      <c r="D614" s="35">
        <v>5577.37</v>
      </c>
      <c r="E614" s="33">
        <v>20.0</v>
      </c>
      <c r="F614" s="35">
        <f t="array" ref="F614">IF(C614 ="FOB_JP", XLOOKUP(A614,CONTAINER_COST_MONTH!$A$2:$A$13,CONTAINER_COST_MONTH!$B$2:$B$13), 285)</f>
        <v>3637</v>
      </c>
      <c r="G614" s="35">
        <f t="shared" si="1"/>
        <v>181.85</v>
      </c>
      <c r="H614" s="38">
        <f t="array" ref="H614">XLOOKUP(COST_BUY_MONTHLY!$C614,TAX!$A$2:$A$3,TAX!$B$2:$B$3)</f>
        <v>0.002</v>
      </c>
      <c r="I614" s="39">
        <f t="array" ref="I614">XLOOKUP(COST_BUY_MONTHLY!$C614,TAX!$A$2:$A$3,TAX!$C$2:$C$3)</f>
        <v>0.2</v>
      </c>
      <c r="J614" s="39">
        <f t="array" ref="J614">XLOOKUP(COST_BUY_MONTHLY!$C614,TAX!$A$2:$A$3,TAX!$D$2:$D$3)</f>
        <v>0.1</v>
      </c>
      <c r="K614" s="35">
        <f t="shared" si="2"/>
        <v>7617.374741</v>
      </c>
    </row>
    <row r="615" ht="14.25" customHeight="1">
      <c r="A615" s="33" t="s">
        <v>266</v>
      </c>
      <c r="B615" s="33" t="s">
        <v>49</v>
      </c>
      <c r="C615" s="33" t="s">
        <v>236</v>
      </c>
      <c r="D615" s="35">
        <v>5577.37</v>
      </c>
      <c r="E615" s="33">
        <v>15.0</v>
      </c>
      <c r="F615" s="35">
        <f t="array" ref="F615">IF(C615 ="FOB_JP", XLOOKUP(A615,CONTAINER_COST_MONTH!$A$2:$A$13,CONTAINER_COST_MONTH!$B$2:$B$13), 285)</f>
        <v>3637</v>
      </c>
      <c r="G615" s="35">
        <f t="shared" si="1"/>
        <v>242.4666667</v>
      </c>
      <c r="H615" s="38">
        <f t="array" ref="H615">XLOOKUP(COST_BUY_MONTHLY!$C615,TAX!$A$2:$A$3,TAX!$B$2:$B$3)</f>
        <v>0.002</v>
      </c>
      <c r="I615" s="39">
        <f t="array" ref="I615">XLOOKUP(COST_BUY_MONTHLY!$C615,TAX!$A$2:$A$3,TAX!$C$2:$C$3)</f>
        <v>0.2</v>
      </c>
      <c r="J615" s="39">
        <f t="array" ref="J615">XLOOKUP(COST_BUY_MONTHLY!$C615,TAX!$A$2:$A$3,TAX!$D$2:$D$3)</f>
        <v>0.1</v>
      </c>
      <c r="K615" s="35">
        <f t="shared" si="2"/>
        <v>7697.548769</v>
      </c>
    </row>
    <row r="616" ht="14.25" customHeight="1">
      <c r="A616" s="33" t="s">
        <v>266</v>
      </c>
      <c r="B616" s="33" t="s">
        <v>51</v>
      </c>
      <c r="C616" s="33" t="s">
        <v>237</v>
      </c>
      <c r="D616" s="35">
        <v>2994.32</v>
      </c>
      <c r="E616" s="33">
        <v>120.0</v>
      </c>
      <c r="F616" s="35">
        <f t="array" ref="F616">IF(C616 ="FOB_JP", XLOOKUP(A616,CONTAINER_COST_MONTH!$A$2:$A$13,CONTAINER_COST_MONTH!$B$2:$B$13), 285)</f>
        <v>285</v>
      </c>
      <c r="G616" s="35">
        <f t="shared" si="1"/>
        <v>2.375</v>
      </c>
      <c r="H616" s="38">
        <f t="array" ref="H616">XLOOKUP(COST_BUY_MONTHLY!$C616,TAX!$A$2:$A$3,TAX!$B$2:$B$3)</f>
        <v>0</v>
      </c>
      <c r="I616" s="39">
        <f t="array" ref="I616">XLOOKUP(COST_BUY_MONTHLY!$C616,TAX!$A$2:$A$3,TAX!$C$2:$C$3)</f>
        <v>0</v>
      </c>
      <c r="J616" s="39">
        <f t="array" ref="J616">XLOOKUP(COST_BUY_MONTHLY!$C616,TAX!$A$2:$A$3,TAX!$D$2:$D$3)</f>
        <v>0.1</v>
      </c>
      <c r="K616" s="35">
        <f t="shared" si="2"/>
        <v>3296.3645</v>
      </c>
    </row>
    <row r="617" ht="14.25" customHeight="1">
      <c r="A617" s="33" t="s">
        <v>266</v>
      </c>
      <c r="B617" s="33" t="s">
        <v>54</v>
      </c>
      <c r="C617" s="33" t="s">
        <v>236</v>
      </c>
      <c r="D617" s="35">
        <v>8643.97</v>
      </c>
      <c r="E617" s="33">
        <v>7.0</v>
      </c>
      <c r="F617" s="35">
        <f t="array" ref="F617">IF(C617 ="FOB_JP", XLOOKUP(A617,CONTAINER_COST_MONTH!$A$2:$A$13,CONTAINER_COST_MONTH!$B$2:$B$13), 285)</f>
        <v>3637</v>
      </c>
      <c r="G617" s="35">
        <f t="shared" si="1"/>
        <v>519.5714286</v>
      </c>
      <c r="H617" s="38">
        <f t="array" ref="H617">XLOOKUP(COST_BUY_MONTHLY!$C617,TAX!$A$2:$A$3,TAX!$B$2:$B$3)</f>
        <v>0.002</v>
      </c>
      <c r="I617" s="39">
        <f t="array" ref="I617">XLOOKUP(COST_BUY_MONTHLY!$C617,TAX!$A$2:$A$3,TAX!$C$2:$C$3)</f>
        <v>0.2</v>
      </c>
      <c r="J617" s="39">
        <f t="array" ref="J617">XLOOKUP(COST_BUY_MONTHLY!$C617,TAX!$A$2:$A$3,TAX!$D$2:$D$3)</f>
        <v>0.1</v>
      </c>
      <c r="K617" s="35">
        <f t="shared" si="2"/>
        <v>12120.06644</v>
      </c>
    </row>
    <row r="618" ht="14.25" customHeight="1">
      <c r="A618" s="33" t="s">
        <v>266</v>
      </c>
      <c r="B618" s="33" t="s">
        <v>57</v>
      </c>
      <c r="C618" s="33" t="s">
        <v>237</v>
      </c>
      <c r="D618" s="35">
        <v>4989.86</v>
      </c>
      <c r="E618" s="33">
        <v>28.0</v>
      </c>
      <c r="F618" s="35">
        <f t="array" ref="F618">IF(C618 ="FOB_JP", XLOOKUP(A618,CONTAINER_COST_MONTH!$A$2:$A$13,CONTAINER_COST_MONTH!$B$2:$B$13), 285)</f>
        <v>285</v>
      </c>
      <c r="G618" s="35">
        <f t="shared" si="1"/>
        <v>10.17857143</v>
      </c>
      <c r="H618" s="38">
        <f t="array" ref="H618">XLOOKUP(COST_BUY_MONTHLY!$C618,TAX!$A$2:$A$3,TAX!$B$2:$B$3)</f>
        <v>0</v>
      </c>
      <c r="I618" s="39">
        <f t="array" ref="I618">XLOOKUP(COST_BUY_MONTHLY!$C618,TAX!$A$2:$A$3,TAX!$C$2:$C$3)</f>
        <v>0</v>
      </c>
      <c r="J618" s="39">
        <f t="array" ref="J618">XLOOKUP(COST_BUY_MONTHLY!$C618,TAX!$A$2:$A$3,TAX!$D$2:$D$3)</f>
        <v>0.1</v>
      </c>
      <c r="K618" s="35">
        <f t="shared" si="2"/>
        <v>5500.042429</v>
      </c>
    </row>
    <row r="619" ht="14.25" customHeight="1">
      <c r="A619" s="33" t="s">
        <v>266</v>
      </c>
      <c r="B619" s="33" t="s">
        <v>59</v>
      </c>
      <c r="C619" s="33" t="s">
        <v>236</v>
      </c>
      <c r="D619" s="35">
        <v>8643.97</v>
      </c>
      <c r="E619" s="33">
        <v>14.0</v>
      </c>
      <c r="F619" s="35">
        <f t="array" ref="F619">IF(C619 ="FOB_JP", XLOOKUP(A619,CONTAINER_COST_MONTH!$A$2:$A$13,CONTAINER_COST_MONTH!$B$2:$B$13), 285)</f>
        <v>3637</v>
      </c>
      <c r="G619" s="35">
        <f t="shared" si="1"/>
        <v>259.7857143</v>
      </c>
      <c r="H619" s="38">
        <f t="array" ref="H619">XLOOKUP(COST_BUY_MONTHLY!$C619,TAX!$A$2:$A$3,TAX!$B$2:$B$3)</f>
        <v>0.002</v>
      </c>
      <c r="I619" s="39">
        <f t="array" ref="I619">XLOOKUP(COST_BUY_MONTHLY!$C619,TAX!$A$2:$A$3,TAX!$C$2:$C$3)</f>
        <v>0.2</v>
      </c>
      <c r="J619" s="39">
        <f t="array" ref="J619">XLOOKUP(COST_BUY_MONTHLY!$C619,TAX!$A$2:$A$3,TAX!$D$2:$D$3)</f>
        <v>0.1</v>
      </c>
      <c r="K619" s="35">
        <f t="shared" si="2"/>
        <v>11776.46346</v>
      </c>
    </row>
    <row r="620" ht="14.25" customHeight="1">
      <c r="A620" s="33" t="s">
        <v>266</v>
      </c>
      <c r="B620" s="33" t="s">
        <v>61</v>
      </c>
      <c r="C620" s="33" t="s">
        <v>236</v>
      </c>
      <c r="D620" s="35">
        <v>8643.97</v>
      </c>
      <c r="E620" s="33">
        <v>10.0</v>
      </c>
      <c r="F620" s="35">
        <f t="array" ref="F620">IF(C620 ="FOB_JP", XLOOKUP(A620,CONTAINER_COST_MONTH!$A$2:$A$13,CONTAINER_COST_MONTH!$B$2:$B$13), 285)</f>
        <v>3637</v>
      </c>
      <c r="G620" s="35">
        <f t="shared" si="1"/>
        <v>363.7</v>
      </c>
      <c r="H620" s="38">
        <f t="array" ref="H620">XLOOKUP(COST_BUY_MONTHLY!$C620,TAX!$A$2:$A$3,TAX!$B$2:$B$3)</f>
        <v>0.002</v>
      </c>
      <c r="I620" s="39">
        <f t="array" ref="I620">XLOOKUP(COST_BUY_MONTHLY!$C620,TAX!$A$2:$A$3,TAX!$C$2:$C$3)</f>
        <v>0.2</v>
      </c>
      <c r="J620" s="39">
        <f t="array" ref="J620">XLOOKUP(COST_BUY_MONTHLY!$C620,TAX!$A$2:$A$3,TAX!$D$2:$D$3)</f>
        <v>0.1</v>
      </c>
      <c r="K620" s="35">
        <f t="shared" si="2"/>
        <v>11913.90465</v>
      </c>
    </row>
    <row r="621" ht="14.25" customHeight="1">
      <c r="A621" s="33" t="s">
        <v>266</v>
      </c>
      <c r="B621" s="33" t="s">
        <v>63</v>
      </c>
      <c r="C621" s="33" t="s">
        <v>237</v>
      </c>
      <c r="D621" s="35">
        <v>4989.86</v>
      </c>
      <c r="E621" s="33">
        <v>84.0</v>
      </c>
      <c r="F621" s="35">
        <f t="array" ref="F621">IF(C621 ="FOB_JP", XLOOKUP(A621,CONTAINER_COST_MONTH!$A$2:$A$13,CONTAINER_COST_MONTH!$B$2:$B$13), 285)</f>
        <v>285</v>
      </c>
      <c r="G621" s="35">
        <f t="shared" si="1"/>
        <v>3.392857143</v>
      </c>
      <c r="H621" s="38">
        <f t="array" ref="H621">XLOOKUP(COST_BUY_MONTHLY!$C621,TAX!$A$2:$A$3,TAX!$B$2:$B$3)</f>
        <v>0</v>
      </c>
      <c r="I621" s="39">
        <f t="array" ref="I621">XLOOKUP(COST_BUY_MONTHLY!$C621,TAX!$A$2:$A$3,TAX!$C$2:$C$3)</f>
        <v>0</v>
      </c>
      <c r="J621" s="39">
        <f t="array" ref="J621">XLOOKUP(COST_BUY_MONTHLY!$C621,TAX!$A$2:$A$3,TAX!$D$2:$D$3)</f>
        <v>0.1</v>
      </c>
      <c r="K621" s="35">
        <f t="shared" si="2"/>
        <v>5492.578143</v>
      </c>
    </row>
    <row r="622" ht="14.25" customHeight="1">
      <c r="A622" s="33" t="s">
        <v>266</v>
      </c>
      <c r="B622" s="33" t="s">
        <v>65</v>
      </c>
      <c r="C622" s="33" t="s">
        <v>236</v>
      </c>
      <c r="D622" s="35">
        <v>1056.55</v>
      </c>
      <c r="E622" s="33">
        <v>50.0</v>
      </c>
      <c r="F622" s="35">
        <f t="array" ref="F622">IF(C622 ="FOB_JP", XLOOKUP(A622,CONTAINER_COST_MONTH!$A$2:$A$13,CONTAINER_COST_MONTH!$B$2:$B$13), 285)</f>
        <v>3637</v>
      </c>
      <c r="G622" s="35">
        <f t="shared" si="1"/>
        <v>72.74</v>
      </c>
      <c r="H622" s="38">
        <f t="array" ref="H622">XLOOKUP(COST_BUY_MONTHLY!$C622,TAX!$A$2:$A$3,TAX!$B$2:$B$3)</f>
        <v>0.002</v>
      </c>
      <c r="I622" s="39">
        <f t="array" ref="I622">XLOOKUP(COST_BUY_MONTHLY!$C622,TAX!$A$2:$A$3,TAX!$C$2:$C$3)</f>
        <v>0.2</v>
      </c>
      <c r="J622" s="39">
        <f t="array" ref="J622">XLOOKUP(COST_BUY_MONTHLY!$C622,TAX!$A$2:$A$3,TAX!$D$2:$D$3)</f>
        <v>0.1</v>
      </c>
      <c r="K622" s="35">
        <f t="shared" si="2"/>
        <v>1493.644126</v>
      </c>
    </row>
    <row r="623" ht="14.25" customHeight="1">
      <c r="A623" s="33" t="s">
        <v>266</v>
      </c>
      <c r="B623" s="33" t="s">
        <v>67</v>
      </c>
      <c r="C623" s="33" t="s">
        <v>236</v>
      </c>
      <c r="D623" s="35">
        <v>2991.54</v>
      </c>
      <c r="E623" s="33">
        <v>50.0</v>
      </c>
      <c r="F623" s="35">
        <f t="array" ref="F623">IF(C623 ="FOB_JP", XLOOKUP(A623,CONTAINER_COST_MONTH!$A$2:$A$13,CONTAINER_COST_MONTH!$B$2:$B$13), 285)</f>
        <v>3637</v>
      </c>
      <c r="G623" s="35">
        <f t="shared" si="1"/>
        <v>72.74</v>
      </c>
      <c r="H623" s="38">
        <f t="array" ref="H623">XLOOKUP(COST_BUY_MONTHLY!$C623,TAX!$A$2:$A$3,TAX!$B$2:$B$3)</f>
        <v>0.002</v>
      </c>
      <c r="I623" s="39">
        <f t="array" ref="I623">XLOOKUP(COST_BUY_MONTHLY!$C623,TAX!$A$2:$A$3,TAX!$C$2:$C$3)</f>
        <v>0.2</v>
      </c>
      <c r="J623" s="39">
        <f t="array" ref="J623">XLOOKUP(COST_BUY_MONTHLY!$C623,TAX!$A$2:$A$3,TAX!$D$2:$D$3)</f>
        <v>0.1</v>
      </c>
      <c r="K623" s="35">
        <f t="shared" si="2"/>
        <v>4052.939299</v>
      </c>
    </row>
    <row r="624" ht="14.25" customHeight="1">
      <c r="A624" s="33" t="s">
        <v>266</v>
      </c>
      <c r="B624" s="33" t="s">
        <v>70</v>
      </c>
      <c r="C624" s="33" t="s">
        <v>237</v>
      </c>
      <c r="D624" s="35">
        <v>302.74</v>
      </c>
      <c r="E624" s="33">
        <v>50.0</v>
      </c>
      <c r="F624" s="35">
        <f t="array" ref="F624">IF(C624 ="FOB_JP", XLOOKUP(A624,CONTAINER_COST_MONTH!$A$2:$A$13,CONTAINER_COST_MONTH!$B$2:$B$13), 285)</f>
        <v>285</v>
      </c>
      <c r="G624" s="35">
        <f t="shared" si="1"/>
        <v>5.7</v>
      </c>
      <c r="H624" s="38">
        <f t="array" ref="H624">XLOOKUP(COST_BUY_MONTHLY!$C624,TAX!$A$2:$A$3,TAX!$B$2:$B$3)</f>
        <v>0</v>
      </c>
      <c r="I624" s="39">
        <f t="array" ref="I624">XLOOKUP(COST_BUY_MONTHLY!$C624,TAX!$A$2:$A$3,TAX!$C$2:$C$3)</f>
        <v>0</v>
      </c>
      <c r="J624" s="39">
        <f t="array" ref="J624">XLOOKUP(COST_BUY_MONTHLY!$C624,TAX!$A$2:$A$3,TAX!$D$2:$D$3)</f>
        <v>0.1</v>
      </c>
      <c r="K624" s="35">
        <f t="shared" si="2"/>
        <v>339.284</v>
      </c>
    </row>
    <row r="625" ht="14.25" customHeight="1">
      <c r="A625" s="33" t="s">
        <v>266</v>
      </c>
      <c r="B625" s="33" t="s">
        <v>72</v>
      </c>
      <c r="C625" s="33" t="s">
        <v>237</v>
      </c>
      <c r="D625" s="35">
        <v>1870.55</v>
      </c>
      <c r="E625" s="33">
        <v>50.0</v>
      </c>
      <c r="F625" s="35">
        <f t="array" ref="F625">IF(C625 ="FOB_JP", XLOOKUP(A625,CONTAINER_COST_MONTH!$A$2:$A$13,CONTAINER_COST_MONTH!$B$2:$B$13), 285)</f>
        <v>285</v>
      </c>
      <c r="G625" s="35">
        <f t="shared" si="1"/>
        <v>5.7</v>
      </c>
      <c r="H625" s="38">
        <f t="array" ref="H625">XLOOKUP(COST_BUY_MONTHLY!$C625,TAX!$A$2:$A$3,TAX!$B$2:$B$3)</f>
        <v>0</v>
      </c>
      <c r="I625" s="39">
        <f t="array" ref="I625">XLOOKUP(COST_BUY_MONTHLY!$C625,TAX!$A$2:$A$3,TAX!$C$2:$C$3)</f>
        <v>0</v>
      </c>
      <c r="J625" s="39">
        <f t="array" ref="J625">XLOOKUP(COST_BUY_MONTHLY!$C625,TAX!$A$2:$A$3,TAX!$D$2:$D$3)</f>
        <v>0.1</v>
      </c>
      <c r="K625" s="35">
        <f t="shared" si="2"/>
        <v>2063.875</v>
      </c>
    </row>
    <row r="626" ht="14.25" customHeight="1">
      <c r="A626" s="33" t="s">
        <v>266</v>
      </c>
      <c r="B626" s="33" t="s">
        <v>74</v>
      </c>
      <c r="C626" s="33" t="s">
        <v>236</v>
      </c>
      <c r="D626" s="35">
        <v>828.24</v>
      </c>
      <c r="E626" s="33">
        <v>20.0</v>
      </c>
      <c r="F626" s="35">
        <f t="array" ref="F626">IF(C626 ="FOB_JP", XLOOKUP(A626,CONTAINER_COST_MONTH!$A$2:$A$13,CONTAINER_COST_MONTH!$B$2:$B$13), 285)</f>
        <v>3637</v>
      </c>
      <c r="G626" s="35">
        <f t="shared" si="1"/>
        <v>181.85</v>
      </c>
      <c r="H626" s="38">
        <f t="array" ref="H626">XLOOKUP(COST_BUY_MONTHLY!$C626,TAX!$A$2:$A$3,TAX!$B$2:$B$3)</f>
        <v>0.002</v>
      </c>
      <c r="I626" s="39">
        <f t="array" ref="I626">XLOOKUP(COST_BUY_MONTHLY!$C626,TAX!$A$2:$A$3,TAX!$C$2:$C$3)</f>
        <v>0.2</v>
      </c>
      <c r="J626" s="39">
        <f t="array" ref="J626">XLOOKUP(COST_BUY_MONTHLY!$C626,TAX!$A$2:$A$3,TAX!$D$2:$D$3)</f>
        <v>0.1</v>
      </c>
      <c r="K626" s="35">
        <f t="shared" si="2"/>
        <v>1335.985438</v>
      </c>
    </row>
    <row r="627" ht="14.25" customHeight="1">
      <c r="A627" s="33" t="s">
        <v>266</v>
      </c>
      <c r="B627" s="33" t="s">
        <v>76</v>
      </c>
      <c r="C627" s="33" t="s">
        <v>236</v>
      </c>
      <c r="D627" s="35">
        <v>3219.85</v>
      </c>
      <c r="E627" s="33">
        <v>50.0</v>
      </c>
      <c r="F627" s="35">
        <f t="array" ref="F627">IF(C627 ="FOB_JP", XLOOKUP(A627,CONTAINER_COST_MONTH!$A$2:$A$13,CONTAINER_COST_MONTH!$B$2:$B$13), 285)</f>
        <v>3637</v>
      </c>
      <c r="G627" s="35">
        <f t="shared" si="1"/>
        <v>72.74</v>
      </c>
      <c r="H627" s="38">
        <f t="array" ref="H627">XLOOKUP(COST_BUY_MONTHLY!$C627,TAX!$A$2:$A$3,TAX!$B$2:$B$3)</f>
        <v>0.002</v>
      </c>
      <c r="I627" s="39">
        <f t="array" ref="I627">XLOOKUP(COST_BUY_MONTHLY!$C627,TAX!$A$2:$A$3,TAX!$C$2:$C$3)</f>
        <v>0.2</v>
      </c>
      <c r="J627" s="39">
        <f t="array" ref="J627">XLOOKUP(COST_BUY_MONTHLY!$C627,TAX!$A$2:$A$3,TAX!$D$2:$D$3)</f>
        <v>0.1</v>
      </c>
      <c r="K627" s="35">
        <f t="shared" si="2"/>
        <v>4354.911238</v>
      </c>
    </row>
    <row r="628" ht="14.25" customHeight="1">
      <c r="A628" s="33" t="s">
        <v>266</v>
      </c>
      <c r="B628" s="33" t="s">
        <v>78</v>
      </c>
      <c r="C628" s="33" t="s">
        <v>236</v>
      </c>
      <c r="D628" s="35">
        <v>664.3</v>
      </c>
      <c r="E628" s="33">
        <v>50.0</v>
      </c>
      <c r="F628" s="35">
        <f t="array" ref="F628">IF(C628 ="FOB_JP", XLOOKUP(A628,CONTAINER_COST_MONTH!$A$2:$A$13,CONTAINER_COST_MONTH!$B$2:$B$13), 285)</f>
        <v>3637</v>
      </c>
      <c r="G628" s="35">
        <f t="shared" si="1"/>
        <v>72.74</v>
      </c>
      <c r="H628" s="38">
        <f t="array" ref="H628">XLOOKUP(COST_BUY_MONTHLY!$C628,TAX!$A$2:$A$3,TAX!$B$2:$B$3)</f>
        <v>0.002</v>
      </c>
      <c r="I628" s="39">
        <f t="array" ref="I628">XLOOKUP(COST_BUY_MONTHLY!$C628,TAX!$A$2:$A$3,TAX!$C$2:$C$3)</f>
        <v>0.2</v>
      </c>
      <c r="J628" s="39">
        <f t="array" ref="J628">XLOOKUP(COST_BUY_MONTHLY!$C628,TAX!$A$2:$A$3,TAX!$D$2:$D$3)</f>
        <v>0.1</v>
      </c>
      <c r="K628" s="35">
        <f t="shared" si="2"/>
        <v>974.8385856</v>
      </c>
    </row>
    <row r="629" ht="14.25" customHeight="1">
      <c r="A629" s="33" t="s">
        <v>266</v>
      </c>
      <c r="B629" s="33" t="s">
        <v>80</v>
      </c>
      <c r="C629" s="33" t="s">
        <v>236</v>
      </c>
      <c r="D629" s="35">
        <v>3383.8</v>
      </c>
      <c r="E629" s="33">
        <v>50.0</v>
      </c>
      <c r="F629" s="35">
        <f t="array" ref="F629">IF(C629 ="FOB_JP", XLOOKUP(A629,CONTAINER_COST_MONTH!$A$2:$A$13,CONTAINER_COST_MONTH!$B$2:$B$13), 285)</f>
        <v>3637</v>
      </c>
      <c r="G629" s="35">
        <f t="shared" si="1"/>
        <v>72.74</v>
      </c>
      <c r="H629" s="38">
        <f t="array" ref="H629">XLOOKUP(COST_BUY_MONTHLY!$C629,TAX!$A$2:$A$3,TAX!$B$2:$B$3)</f>
        <v>0.002</v>
      </c>
      <c r="I629" s="39">
        <f t="array" ref="I629">XLOOKUP(COST_BUY_MONTHLY!$C629,TAX!$A$2:$A$3,TAX!$C$2:$C$3)</f>
        <v>0.2</v>
      </c>
      <c r="J629" s="39">
        <f t="array" ref="J629">XLOOKUP(COST_BUY_MONTHLY!$C629,TAX!$A$2:$A$3,TAX!$D$2:$D$3)</f>
        <v>0.1</v>
      </c>
      <c r="K629" s="35">
        <f t="shared" si="2"/>
        <v>4571.758066</v>
      </c>
    </row>
    <row r="630" ht="14.25" customHeight="1">
      <c r="A630" s="33" t="s">
        <v>266</v>
      </c>
      <c r="B630" s="33" t="s">
        <v>82</v>
      </c>
      <c r="C630" s="33" t="s">
        <v>237</v>
      </c>
      <c r="D630" s="35">
        <v>1056.87</v>
      </c>
      <c r="E630" s="33">
        <v>50.0</v>
      </c>
      <c r="F630" s="35">
        <f t="array" ref="F630">IF(C630 ="FOB_JP", XLOOKUP(A630,CONTAINER_COST_MONTH!$A$2:$A$13,CONTAINER_COST_MONTH!$B$2:$B$13), 285)</f>
        <v>285</v>
      </c>
      <c r="G630" s="35">
        <f t="shared" si="1"/>
        <v>5.7</v>
      </c>
      <c r="H630" s="38">
        <f t="array" ref="H630">XLOOKUP(COST_BUY_MONTHLY!$C630,TAX!$A$2:$A$3,TAX!$B$2:$B$3)</f>
        <v>0</v>
      </c>
      <c r="I630" s="39">
        <f t="array" ref="I630">XLOOKUP(COST_BUY_MONTHLY!$C630,TAX!$A$2:$A$3,TAX!$C$2:$C$3)</f>
        <v>0</v>
      </c>
      <c r="J630" s="39">
        <f t="array" ref="J630">XLOOKUP(COST_BUY_MONTHLY!$C630,TAX!$A$2:$A$3,TAX!$D$2:$D$3)</f>
        <v>0.1</v>
      </c>
      <c r="K630" s="35">
        <f t="shared" si="2"/>
        <v>1168.827</v>
      </c>
    </row>
    <row r="631" ht="14.25" customHeight="1">
      <c r="A631" s="33" t="s">
        <v>266</v>
      </c>
      <c r="B631" s="33" t="s">
        <v>84</v>
      </c>
      <c r="C631" s="33" t="s">
        <v>237</v>
      </c>
      <c r="D631" s="35">
        <v>1116.42</v>
      </c>
      <c r="E631" s="33">
        <v>50.0</v>
      </c>
      <c r="F631" s="35">
        <f t="array" ref="F631">IF(C631 ="FOB_JP", XLOOKUP(A631,CONTAINER_COST_MONTH!$A$2:$A$13,CONTAINER_COST_MONTH!$B$2:$B$13), 285)</f>
        <v>285</v>
      </c>
      <c r="G631" s="35">
        <f t="shared" si="1"/>
        <v>5.7</v>
      </c>
      <c r="H631" s="38">
        <f t="array" ref="H631">XLOOKUP(COST_BUY_MONTHLY!$C631,TAX!$A$2:$A$3,TAX!$B$2:$B$3)</f>
        <v>0</v>
      </c>
      <c r="I631" s="39">
        <f t="array" ref="I631">XLOOKUP(COST_BUY_MONTHLY!$C631,TAX!$A$2:$A$3,TAX!$C$2:$C$3)</f>
        <v>0</v>
      </c>
      <c r="J631" s="39">
        <f t="array" ref="J631">XLOOKUP(COST_BUY_MONTHLY!$C631,TAX!$A$2:$A$3,TAX!$D$2:$D$3)</f>
        <v>0.1</v>
      </c>
      <c r="K631" s="35">
        <f t="shared" si="2"/>
        <v>1234.332</v>
      </c>
    </row>
    <row r="632" ht="14.25" customHeight="1">
      <c r="A632" s="33" t="s">
        <v>266</v>
      </c>
      <c r="B632" s="33" t="s">
        <v>86</v>
      </c>
      <c r="C632" s="33" t="s">
        <v>236</v>
      </c>
      <c r="D632" s="35">
        <v>4221.66</v>
      </c>
      <c r="E632" s="33">
        <v>35.0</v>
      </c>
      <c r="F632" s="35">
        <f t="array" ref="F632">IF(C632 ="FOB_JP", XLOOKUP(A632,CONTAINER_COST_MONTH!$A$2:$A$13,CONTAINER_COST_MONTH!$B$2:$B$13), 285)</f>
        <v>3637</v>
      </c>
      <c r="G632" s="35">
        <f t="shared" si="1"/>
        <v>103.9142857</v>
      </c>
      <c r="H632" s="38">
        <f t="array" ref="H632">XLOOKUP(COST_BUY_MONTHLY!$C632,TAX!$A$2:$A$3,TAX!$B$2:$B$3)</f>
        <v>0.002</v>
      </c>
      <c r="I632" s="39">
        <f t="array" ref="I632">XLOOKUP(COST_BUY_MONTHLY!$C632,TAX!$A$2:$A$3,TAX!$C$2:$C$3)</f>
        <v>0.2</v>
      </c>
      <c r="J632" s="39">
        <f t="array" ref="J632">XLOOKUP(COST_BUY_MONTHLY!$C632,TAX!$A$2:$A$3,TAX!$D$2:$D$3)</f>
        <v>0.1</v>
      </c>
      <c r="K632" s="35">
        <f t="shared" si="2"/>
        <v>5721.177573</v>
      </c>
    </row>
    <row r="633" ht="14.25" customHeight="1">
      <c r="A633" s="33" t="s">
        <v>266</v>
      </c>
      <c r="B633" s="33" t="s">
        <v>88</v>
      </c>
      <c r="C633" s="33" t="s">
        <v>236</v>
      </c>
      <c r="D633" s="35">
        <v>6803.82</v>
      </c>
      <c r="E633" s="33">
        <v>35.0</v>
      </c>
      <c r="F633" s="35">
        <f t="array" ref="F633">IF(C633 ="FOB_JP", XLOOKUP(A633,CONTAINER_COST_MONTH!$A$2:$A$13,CONTAINER_COST_MONTH!$B$2:$B$13), 285)</f>
        <v>3637</v>
      </c>
      <c r="G633" s="35">
        <f t="shared" si="1"/>
        <v>103.9142857</v>
      </c>
      <c r="H633" s="38">
        <f t="array" ref="H633">XLOOKUP(COST_BUY_MONTHLY!$C633,TAX!$A$2:$A$3,TAX!$B$2:$B$3)</f>
        <v>0.002</v>
      </c>
      <c r="I633" s="39">
        <f t="array" ref="I633">XLOOKUP(COST_BUY_MONTHLY!$C633,TAX!$A$2:$A$3,TAX!$C$2:$C$3)</f>
        <v>0.2</v>
      </c>
      <c r="J633" s="39">
        <f t="array" ref="J633">XLOOKUP(COST_BUY_MONTHLY!$C633,TAX!$A$2:$A$3,TAX!$D$2:$D$3)</f>
        <v>0.1</v>
      </c>
      <c r="K633" s="35">
        <f t="shared" si="2"/>
        <v>9136.445676</v>
      </c>
    </row>
    <row r="634" ht="14.25" customHeight="1">
      <c r="A634" s="33" t="s">
        <v>266</v>
      </c>
      <c r="B634" s="33" t="s">
        <v>90</v>
      </c>
      <c r="C634" s="33" t="s">
        <v>237</v>
      </c>
      <c r="D634" s="35">
        <v>4065.72</v>
      </c>
      <c r="E634" s="33">
        <v>35.0</v>
      </c>
      <c r="F634" s="35">
        <f t="array" ref="F634">IF(C634 ="FOB_JP", XLOOKUP(A634,CONTAINER_COST_MONTH!$A$2:$A$13,CONTAINER_COST_MONTH!$B$2:$B$13), 285)</f>
        <v>285</v>
      </c>
      <c r="G634" s="35">
        <f t="shared" si="1"/>
        <v>8.142857143</v>
      </c>
      <c r="H634" s="38">
        <f t="array" ref="H634">XLOOKUP(COST_BUY_MONTHLY!$C634,TAX!$A$2:$A$3,TAX!$B$2:$B$3)</f>
        <v>0</v>
      </c>
      <c r="I634" s="39">
        <f t="array" ref="I634">XLOOKUP(COST_BUY_MONTHLY!$C634,TAX!$A$2:$A$3,TAX!$C$2:$C$3)</f>
        <v>0</v>
      </c>
      <c r="J634" s="39">
        <f t="array" ref="J634">XLOOKUP(COST_BUY_MONTHLY!$C634,TAX!$A$2:$A$3,TAX!$D$2:$D$3)</f>
        <v>0.1</v>
      </c>
      <c r="K634" s="35">
        <f t="shared" si="2"/>
        <v>4481.249143</v>
      </c>
    </row>
    <row r="635" ht="14.25" customHeight="1">
      <c r="A635" s="33" t="s">
        <v>266</v>
      </c>
      <c r="B635" s="33" t="s">
        <v>92</v>
      </c>
      <c r="C635" s="33" t="s">
        <v>237</v>
      </c>
      <c r="D635" s="35">
        <v>2298.9</v>
      </c>
      <c r="E635" s="33">
        <v>35.0</v>
      </c>
      <c r="F635" s="35">
        <f t="array" ref="F635">IF(C635 ="FOB_JP", XLOOKUP(A635,CONTAINER_COST_MONTH!$A$2:$A$13,CONTAINER_COST_MONTH!$B$2:$B$13), 285)</f>
        <v>285</v>
      </c>
      <c r="G635" s="35">
        <f t="shared" si="1"/>
        <v>8.142857143</v>
      </c>
      <c r="H635" s="38">
        <f t="array" ref="H635">XLOOKUP(COST_BUY_MONTHLY!$C635,TAX!$A$2:$A$3,TAX!$B$2:$B$3)</f>
        <v>0</v>
      </c>
      <c r="I635" s="39">
        <f t="array" ref="I635">XLOOKUP(COST_BUY_MONTHLY!$C635,TAX!$A$2:$A$3,TAX!$C$2:$C$3)</f>
        <v>0</v>
      </c>
      <c r="J635" s="39">
        <f t="array" ref="J635">XLOOKUP(COST_BUY_MONTHLY!$C635,TAX!$A$2:$A$3,TAX!$D$2:$D$3)</f>
        <v>0.1</v>
      </c>
      <c r="K635" s="35">
        <f t="shared" si="2"/>
        <v>2537.747143</v>
      </c>
    </row>
    <row r="636" ht="14.25" customHeight="1">
      <c r="A636" s="33" t="s">
        <v>266</v>
      </c>
      <c r="B636" s="33" t="s">
        <v>94</v>
      </c>
      <c r="C636" s="33" t="s">
        <v>236</v>
      </c>
      <c r="D636" s="35">
        <v>5824.76</v>
      </c>
      <c r="E636" s="33">
        <v>14.0</v>
      </c>
      <c r="F636" s="35">
        <f t="array" ref="F636">IF(C636 ="FOB_JP", XLOOKUP(A636,CONTAINER_COST_MONTH!$A$2:$A$13,CONTAINER_COST_MONTH!$B$2:$B$13), 285)</f>
        <v>3637</v>
      </c>
      <c r="G636" s="35">
        <f t="shared" si="1"/>
        <v>259.7857143</v>
      </c>
      <c r="H636" s="38">
        <f t="array" ref="H636">XLOOKUP(COST_BUY_MONTHLY!$C636,TAX!$A$2:$A$3,TAX!$B$2:$B$3)</f>
        <v>0.002</v>
      </c>
      <c r="I636" s="39">
        <f t="array" ref="I636">XLOOKUP(COST_BUY_MONTHLY!$C636,TAX!$A$2:$A$3,TAX!$C$2:$C$3)</f>
        <v>0.2</v>
      </c>
      <c r="J636" s="39">
        <f t="array" ref="J636">XLOOKUP(COST_BUY_MONTHLY!$C636,TAX!$A$2:$A$3,TAX!$D$2:$D$3)</f>
        <v>0.1</v>
      </c>
      <c r="K636" s="35">
        <f t="shared" si="2"/>
        <v>8047.663544</v>
      </c>
    </row>
    <row r="637" ht="14.25" customHeight="1">
      <c r="A637" s="33" t="s">
        <v>266</v>
      </c>
      <c r="B637" s="33" t="s">
        <v>96</v>
      </c>
      <c r="C637" s="33" t="s">
        <v>236</v>
      </c>
      <c r="D637" s="35">
        <v>5200.72</v>
      </c>
      <c r="E637" s="33">
        <v>35.0</v>
      </c>
      <c r="F637" s="35">
        <f t="array" ref="F637">IF(C637 ="FOB_JP", XLOOKUP(A637,CONTAINER_COST_MONTH!$A$2:$A$13,CONTAINER_COST_MONTH!$B$2:$B$13), 285)</f>
        <v>3637</v>
      </c>
      <c r="G637" s="35">
        <f t="shared" si="1"/>
        <v>103.9142857</v>
      </c>
      <c r="H637" s="38">
        <f t="array" ref="H637">XLOOKUP(COST_BUY_MONTHLY!$C637,TAX!$A$2:$A$3,TAX!$B$2:$B$3)</f>
        <v>0.002</v>
      </c>
      <c r="I637" s="39">
        <f t="array" ref="I637">XLOOKUP(COST_BUY_MONTHLY!$C637,TAX!$A$2:$A$3,TAX!$C$2:$C$3)</f>
        <v>0.2</v>
      </c>
      <c r="J637" s="39">
        <f t="array" ref="J637">XLOOKUP(COST_BUY_MONTHLY!$C637,TAX!$A$2:$A$3,TAX!$D$2:$D$3)</f>
        <v>0.1</v>
      </c>
      <c r="K637" s="35">
        <f t="shared" si="2"/>
        <v>7016.121492</v>
      </c>
    </row>
    <row r="638" ht="14.25" customHeight="1">
      <c r="A638" s="33" t="s">
        <v>266</v>
      </c>
      <c r="B638" s="33" t="s">
        <v>98</v>
      </c>
      <c r="C638" s="33" t="s">
        <v>236</v>
      </c>
      <c r="D638" s="35">
        <v>8465.36</v>
      </c>
      <c r="E638" s="33">
        <v>35.0</v>
      </c>
      <c r="F638" s="35">
        <f t="array" ref="F638">IF(C638 ="FOB_JP", XLOOKUP(A638,CONTAINER_COST_MONTH!$A$2:$A$13,CONTAINER_COST_MONTH!$B$2:$B$13), 285)</f>
        <v>3637</v>
      </c>
      <c r="G638" s="35">
        <f t="shared" si="1"/>
        <v>103.9142857</v>
      </c>
      <c r="H638" s="38">
        <f t="array" ref="H638">XLOOKUP(COST_BUY_MONTHLY!$C638,TAX!$A$2:$A$3,TAX!$B$2:$B$3)</f>
        <v>0.002</v>
      </c>
      <c r="I638" s="39">
        <f t="array" ref="I638">XLOOKUP(COST_BUY_MONTHLY!$C638,TAX!$A$2:$A$3,TAX!$C$2:$C$3)</f>
        <v>0.2</v>
      </c>
      <c r="J638" s="39">
        <f t="array" ref="J638">XLOOKUP(COST_BUY_MONTHLY!$C638,TAX!$A$2:$A$3,TAX!$D$2:$D$3)</f>
        <v>0.1</v>
      </c>
      <c r="K638" s="35">
        <f t="shared" si="2"/>
        <v>11334.06494</v>
      </c>
    </row>
    <row r="639" ht="14.25" customHeight="1">
      <c r="A639" s="33" t="s">
        <v>266</v>
      </c>
      <c r="B639" s="33" t="s">
        <v>100</v>
      </c>
      <c r="C639" s="33" t="s">
        <v>236</v>
      </c>
      <c r="D639" s="35">
        <v>2560.12</v>
      </c>
      <c r="E639" s="33">
        <v>35.0</v>
      </c>
      <c r="F639" s="35">
        <f t="array" ref="F639">IF(C639 ="FOB_JP", XLOOKUP(A639,CONTAINER_COST_MONTH!$A$2:$A$13,CONTAINER_COST_MONTH!$B$2:$B$13), 285)</f>
        <v>3637</v>
      </c>
      <c r="G639" s="35">
        <f t="shared" si="1"/>
        <v>103.9142857</v>
      </c>
      <c r="H639" s="38">
        <f t="array" ref="H639">XLOOKUP(COST_BUY_MONTHLY!$C639,TAX!$A$2:$A$3,TAX!$B$2:$B$3)</f>
        <v>0.002</v>
      </c>
      <c r="I639" s="39">
        <f t="array" ref="I639">XLOOKUP(COST_BUY_MONTHLY!$C639,TAX!$A$2:$A$3,TAX!$C$2:$C$3)</f>
        <v>0.2</v>
      </c>
      <c r="J639" s="39">
        <f t="array" ref="J639">XLOOKUP(COST_BUY_MONTHLY!$C639,TAX!$A$2:$A$3,TAX!$D$2:$D$3)</f>
        <v>0.1</v>
      </c>
      <c r="K639" s="35">
        <f t="shared" si="2"/>
        <v>3523.558308</v>
      </c>
    </row>
    <row r="640" ht="14.25" customHeight="1">
      <c r="A640" s="33" t="s">
        <v>266</v>
      </c>
      <c r="B640" s="33" t="s">
        <v>102</v>
      </c>
      <c r="C640" s="33" t="s">
        <v>237</v>
      </c>
      <c r="D640" s="35">
        <v>2395.64</v>
      </c>
      <c r="E640" s="33">
        <v>35.0</v>
      </c>
      <c r="F640" s="35">
        <f t="array" ref="F640">IF(C640 ="FOB_JP", XLOOKUP(A640,CONTAINER_COST_MONTH!$A$2:$A$13,CONTAINER_COST_MONTH!$B$2:$B$13), 285)</f>
        <v>285</v>
      </c>
      <c r="G640" s="35">
        <f t="shared" si="1"/>
        <v>8.142857143</v>
      </c>
      <c r="H640" s="38">
        <f t="array" ref="H640">XLOOKUP(COST_BUY_MONTHLY!$C640,TAX!$A$2:$A$3,TAX!$B$2:$B$3)</f>
        <v>0</v>
      </c>
      <c r="I640" s="39">
        <f t="array" ref="I640">XLOOKUP(COST_BUY_MONTHLY!$C640,TAX!$A$2:$A$3,TAX!$C$2:$C$3)</f>
        <v>0</v>
      </c>
      <c r="J640" s="39">
        <f t="array" ref="J640">XLOOKUP(COST_BUY_MONTHLY!$C640,TAX!$A$2:$A$3,TAX!$D$2:$D$3)</f>
        <v>0.1</v>
      </c>
      <c r="K640" s="35">
        <f t="shared" si="2"/>
        <v>2644.161143</v>
      </c>
    </row>
    <row r="641" ht="14.25" customHeight="1">
      <c r="A641" s="33" t="s">
        <v>266</v>
      </c>
      <c r="B641" s="33" t="s">
        <v>104</v>
      </c>
      <c r="C641" s="33" t="s">
        <v>237</v>
      </c>
      <c r="D641" s="35">
        <v>3968.98</v>
      </c>
      <c r="E641" s="33">
        <v>35.0</v>
      </c>
      <c r="F641" s="35">
        <f t="array" ref="F641">IF(C641 ="FOB_JP", XLOOKUP(A641,CONTAINER_COST_MONTH!$A$2:$A$13,CONTAINER_COST_MONTH!$B$2:$B$13), 285)</f>
        <v>285</v>
      </c>
      <c r="G641" s="35">
        <f t="shared" si="1"/>
        <v>8.142857143</v>
      </c>
      <c r="H641" s="38">
        <f t="array" ref="H641">XLOOKUP(COST_BUY_MONTHLY!$C641,TAX!$A$2:$A$3,TAX!$B$2:$B$3)</f>
        <v>0</v>
      </c>
      <c r="I641" s="39">
        <f t="array" ref="I641">XLOOKUP(COST_BUY_MONTHLY!$C641,TAX!$A$2:$A$3,TAX!$C$2:$C$3)</f>
        <v>0</v>
      </c>
      <c r="J641" s="39">
        <f t="array" ref="J641">XLOOKUP(COST_BUY_MONTHLY!$C641,TAX!$A$2:$A$3,TAX!$D$2:$D$3)</f>
        <v>0.1</v>
      </c>
      <c r="K641" s="35">
        <f t="shared" si="2"/>
        <v>4374.835143</v>
      </c>
    </row>
    <row r="642" ht="14.25" customHeight="1">
      <c r="A642" s="33" t="s">
        <v>266</v>
      </c>
      <c r="B642" s="33" t="s">
        <v>106</v>
      </c>
      <c r="C642" s="33" t="s">
        <v>236</v>
      </c>
      <c r="D642" s="35">
        <v>3818.27</v>
      </c>
      <c r="E642" s="33">
        <v>50.0</v>
      </c>
      <c r="F642" s="35">
        <f t="array" ref="F642">IF(C642 ="FOB_JP", XLOOKUP(A642,CONTAINER_COST_MONTH!$A$2:$A$13,CONTAINER_COST_MONTH!$B$2:$B$13), 285)</f>
        <v>3637</v>
      </c>
      <c r="G642" s="35">
        <f t="shared" si="1"/>
        <v>72.74</v>
      </c>
      <c r="H642" s="38">
        <f t="array" ref="H642">XLOOKUP(COST_BUY_MONTHLY!$C642,TAX!$A$2:$A$3,TAX!$B$2:$B$3)</f>
        <v>0.002</v>
      </c>
      <c r="I642" s="39">
        <f t="array" ref="I642">XLOOKUP(COST_BUY_MONTHLY!$C642,TAX!$A$2:$A$3,TAX!$C$2:$C$3)</f>
        <v>0.2</v>
      </c>
      <c r="J642" s="39">
        <f t="array" ref="J642">XLOOKUP(COST_BUY_MONTHLY!$C642,TAX!$A$2:$A$3,TAX!$D$2:$D$3)</f>
        <v>0.1</v>
      </c>
      <c r="K642" s="35">
        <f t="shared" si="2"/>
        <v>5146.405466</v>
      </c>
    </row>
    <row r="643" ht="14.25" customHeight="1">
      <c r="A643" s="33" t="s">
        <v>266</v>
      </c>
      <c r="B643" s="33" t="s">
        <v>108</v>
      </c>
      <c r="C643" s="33" t="s">
        <v>236</v>
      </c>
      <c r="D643" s="35">
        <v>1759.11</v>
      </c>
      <c r="E643" s="33">
        <v>50.0</v>
      </c>
      <c r="F643" s="35">
        <f t="array" ref="F643">IF(C643 ="FOB_JP", XLOOKUP(A643,CONTAINER_COST_MONTH!$A$2:$A$13,CONTAINER_COST_MONTH!$B$2:$B$13), 285)</f>
        <v>3637</v>
      </c>
      <c r="G643" s="35">
        <f t="shared" si="1"/>
        <v>72.74</v>
      </c>
      <c r="H643" s="38">
        <f t="array" ref="H643">XLOOKUP(COST_BUY_MONTHLY!$C643,TAX!$A$2:$A$3,TAX!$B$2:$B$3)</f>
        <v>0.002</v>
      </c>
      <c r="I643" s="39">
        <f t="array" ref="I643">XLOOKUP(COST_BUY_MONTHLY!$C643,TAX!$A$2:$A$3,TAX!$C$2:$C$3)</f>
        <v>0.2</v>
      </c>
      <c r="J643" s="39">
        <f t="array" ref="J643">XLOOKUP(COST_BUY_MONTHLY!$C643,TAX!$A$2:$A$3,TAX!$D$2:$D$3)</f>
        <v>0.1</v>
      </c>
      <c r="K643" s="35">
        <f t="shared" si="2"/>
        <v>2422.878084</v>
      </c>
    </row>
    <row r="644" ht="14.25" customHeight="1">
      <c r="A644" s="33" t="s">
        <v>266</v>
      </c>
      <c r="B644" s="33" t="s">
        <v>110</v>
      </c>
      <c r="C644" s="33" t="s">
        <v>237</v>
      </c>
      <c r="D644" s="35">
        <v>1351.63</v>
      </c>
      <c r="E644" s="33">
        <v>50.0</v>
      </c>
      <c r="F644" s="35">
        <f t="array" ref="F644">IF(C644 ="FOB_JP", XLOOKUP(A644,CONTAINER_COST_MONTH!$A$2:$A$13,CONTAINER_COST_MONTH!$B$2:$B$13), 285)</f>
        <v>285</v>
      </c>
      <c r="G644" s="35">
        <f t="shared" si="1"/>
        <v>5.7</v>
      </c>
      <c r="H644" s="38">
        <f t="array" ref="H644">XLOOKUP(COST_BUY_MONTHLY!$C644,TAX!$A$2:$A$3,TAX!$B$2:$B$3)</f>
        <v>0</v>
      </c>
      <c r="I644" s="39">
        <f t="array" ref="I644">XLOOKUP(COST_BUY_MONTHLY!$C644,TAX!$A$2:$A$3,TAX!$C$2:$C$3)</f>
        <v>0</v>
      </c>
      <c r="J644" s="39">
        <f t="array" ref="J644">XLOOKUP(COST_BUY_MONTHLY!$C644,TAX!$A$2:$A$3,TAX!$D$2:$D$3)</f>
        <v>0.1</v>
      </c>
      <c r="K644" s="35">
        <f t="shared" si="2"/>
        <v>1493.063</v>
      </c>
    </row>
    <row r="645" ht="14.25" customHeight="1">
      <c r="A645" s="33" t="s">
        <v>266</v>
      </c>
      <c r="B645" s="33" t="s">
        <v>112</v>
      </c>
      <c r="C645" s="33" t="s">
        <v>237</v>
      </c>
      <c r="D645" s="35">
        <v>1642.68</v>
      </c>
      <c r="E645" s="33">
        <v>50.0</v>
      </c>
      <c r="F645" s="35">
        <f t="array" ref="F645">IF(C645 ="FOB_JP", XLOOKUP(A645,CONTAINER_COST_MONTH!$A$2:$A$13,CONTAINER_COST_MONTH!$B$2:$B$13), 285)</f>
        <v>285</v>
      </c>
      <c r="G645" s="35">
        <f t="shared" si="1"/>
        <v>5.7</v>
      </c>
      <c r="H645" s="38">
        <f t="array" ref="H645">XLOOKUP(COST_BUY_MONTHLY!$C645,TAX!$A$2:$A$3,TAX!$B$2:$B$3)</f>
        <v>0</v>
      </c>
      <c r="I645" s="39">
        <f t="array" ref="I645">XLOOKUP(COST_BUY_MONTHLY!$C645,TAX!$A$2:$A$3,TAX!$C$2:$C$3)</f>
        <v>0</v>
      </c>
      <c r="J645" s="39">
        <f t="array" ref="J645">XLOOKUP(COST_BUY_MONTHLY!$C645,TAX!$A$2:$A$3,TAX!$D$2:$D$3)</f>
        <v>0.1</v>
      </c>
      <c r="K645" s="35">
        <f t="shared" si="2"/>
        <v>1813.218</v>
      </c>
    </row>
    <row r="646" ht="14.25" customHeight="1">
      <c r="A646" s="33" t="s">
        <v>266</v>
      </c>
      <c r="B646" s="33" t="s">
        <v>114</v>
      </c>
      <c r="C646" s="33" t="s">
        <v>236</v>
      </c>
      <c r="D646" s="35">
        <v>4859.01</v>
      </c>
      <c r="E646" s="33">
        <v>20.0</v>
      </c>
      <c r="F646" s="35">
        <f t="array" ref="F646">IF(C646 ="FOB_JP", XLOOKUP(A646,CONTAINER_COST_MONTH!$A$2:$A$13,CONTAINER_COST_MONTH!$B$2:$B$13), 285)</f>
        <v>3637</v>
      </c>
      <c r="G646" s="35">
        <f t="shared" si="1"/>
        <v>181.85</v>
      </c>
      <c r="H646" s="38">
        <f t="array" ref="H646">XLOOKUP(COST_BUY_MONTHLY!$C646,TAX!$A$2:$A$3,TAX!$B$2:$B$3)</f>
        <v>0.002</v>
      </c>
      <c r="I646" s="39">
        <f t="array" ref="I646">XLOOKUP(COST_BUY_MONTHLY!$C646,TAX!$A$2:$A$3,TAX!$C$2:$C$3)</f>
        <v>0.2</v>
      </c>
      <c r="J646" s="39">
        <f t="array" ref="J646">XLOOKUP(COST_BUY_MONTHLY!$C646,TAX!$A$2:$A$3,TAX!$D$2:$D$3)</f>
        <v>0.1</v>
      </c>
      <c r="K646" s="35">
        <f t="shared" si="2"/>
        <v>6667.24307</v>
      </c>
    </row>
    <row r="647" ht="14.25" customHeight="1">
      <c r="A647" s="33" t="s">
        <v>266</v>
      </c>
      <c r="B647" s="33" t="s">
        <v>116</v>
      </c>
      <c r="C647" s="33" t="s">
        <v>236</v>
      </c>
      <c r="D647" s="35">
        <v>718.36</v>
      </c>
      <c r="E647" s="33">
        <v>50.0</v>
      </c>
      <c r="F647" s="35">
        <f t="array" ref="F647">IF(C647 ="FOB_JP", XLOOKUP(A647,CONTAINER_COST_MONTH!$A$2:$A$13,CONTAINER_COST_MONTH!$B$2:$B$13), 285)</f>
        <v>3637</v>
      </c>
      <c r="G647" s="35">
        <f t="shared" si="1"/>
        <v>72.74</v>
      </c>
      <c r="H647" s="38">
        <f t="array" ref="H647">XLOOKUP(COST_BUY_MONTHLY!$C647,TAX!$A$2:$A$3,TAX!$B$2:$B$3)</f>
        <v>0.002</v>
      </c>
      <c r="I647" s="39">
        <f t="array" ref="I647">XLOOKUP(COST_BUY_MONTHLY!$C647,TAX!$A$2:$A$3,TAX!$C$2:$C$3)</f>
        <v>0.2</v>
      </c>
      <c r="J647" s="39">
        <f t="array" ref="J647">XLOOKUP(COST_BUY_MONTHLY!$C647,TAX!$A$2:$A$3,TAX!$D$2:$D$3)</f>
        <v>0.1</v>
      </c>
      <c r="K647" s="35">
        <f t="shared" si="2"/>
        <v>1046.340504</v>
      </c>
    </row>
    <row r="648" ht="14.25" customHeight="1">
      <c r="A648" s="33" t="s">
        <v>266</v>
      </c>
      <c r="B648" s="33" t="s">
        <v>118</v>
      </c>
      <c r="C648" s="33" t="s">
        <v>236</v>
      </c>
      <c r="D648" s="35">
        <v>2169.04</v>
      </c>
      <c r="E648" s="33">
        <v>50.0</v>
      </c>
      <c r="F648" s="35">
        <f t="array" ref="F648">IF(C648 ="FOB_JP", XLOOKUP(A648,CONTAINER_COST_MONTH!$A$2:$A$13,CONTAINER_COST_MONTH!$B$2:$B$13), 285)</f>
        <v>3637</v>
      </c>
      <c r="G648" s="35">
        <f t="shared" si="1"/>
        <v>72.74</v>
      </c>
      <c r="H648" s="38">
        <f t="array" ref="H648">XLOOKUP(COST_BUY_MONTHLY!$C648,TAX!$A$2:$A$3,TAX!$B$2:$B$3)</f>
        <v>0.002</v>
      </c>
      <c r="I648" s="39">
        <f t="array" ref="I648">XLOOKUP(COST_BUY_MONTHLY!$C648,TAX!$A$2:$A$3,TAX!$C$2:$C$3)</f>
        <v>0.2</v>
      </c>
      <c r="J648" s="39">
        <f t="array" ref="J648">XLOOKUP(COST_BUY_MONTHLY!$C648,TAX!$A$2:$A$3,TAX!$D$2:$D$3)</f>
        <v>0.1</v>
      </c>
      <c r="K648" s="35">
        <f t="shared" si="2"/>
        <v>2965.067899</v>
      </c>
    </row>
    <row r="649" ht="14.25" customHeight="1">
      <c r="A649" s="33" t="s">
        <v>266</v>
      </c>
      <c r="B649" s="33" t="s">
        <v>120</v>
      </c>
      <c r="C649" s="33" t="s">
        <v>236</v>
      </c>
      <c r="D649" s="35">
        <v>3408.33</v>
      </c>
      <c r="E649" s="33">
        <v>50.0</v>
      </c>
      <c r="F649" s="35">
        <f t="array" ref="F649">IF(C649 ="FOB_JP", XLOOKUP(A649,CONTAINER_COST_MONTH!$A$2:$A$13,CONTAINER_COST_MONTH!$B$2:$B$13), 285)</f>
        <v>3637</v>
      </c>
      <c r="G649" s="35">
        <f t="shared" si="1"/>
        <v>72.74</v>
      </c>
      <c r="H649" s="38">
        <f t="array" ref="H649">XLOOKUP(COST_BUY_MONTHLY!$C649,TAX!$A$2:$A$3,TAX!$B$2:$B$3)</f>
        <v>0.002</v>
      </c>
      <c r="I649" s="39">
        <f t="array" ref="I649">XLOOKUP(COST_BUY_MONTHLY!$C649,TAX!$A$2:$A$3,TAX!$C$2:$C$3)</f>
        <v>0.2</v>
      </c>
      <c r="J649" s="39">
        <f t="array" ref="J649">XLOOKUP(COST_BUY_MONTHLY!$C649,TAX!$A$2:$A$3,TAX!$D$2:$D$3)</f>
        <v>0.1</v>
      </c>
      <c r="K649" s="35">
        <f t="shared" si="2"/>
        <v>4604.202425</v>
      </c>
    </row>
    <row r="650" ht="14.25" customHeight="1">
      <c r="A650" s="33" t="s">
        <v>266</v>
      </c>
      <c r="B650" s="33" t="s">
        <v>122</v>
      </c>
      <c r="C650" s="33" t="s">
        <v>237</v>
      </c>
      <c r="D650" s="35">
        <v>647.07</v>
      </c>
      <c r="E650" s="33">
        <v>50.0</v>
      </c>
      <c r="F650" s="35">
        <f t="array" ref="F650">IF(C650 ="FOB_JP", XLOOKUP(A650,CONTAINER_COST_MONTH!$A$2:$A$13,CONTAINER_COST_MONTH!$B$2:$B$13), 285)</f>
        <v>285</v>
      </c>
      <c r="G650" s="35">
        <f t="shared" si="1"/>
        <v>5.7</v>
      </c>
      <c r="H650" s="38">
        <f t="array" ref="H650">XLOOKUP(COST_BUY_MONTHLY!$C650,TAX!$A$2:$A$3,TAX!$B$2:$B$3)</f>
        <v>0</v>
      </c>
      <c r="I650" s="39">
        <f t="array" ref="I650">XLOOKUP(COST_BUY_MONTHLY!$C650,TAX!$A$2:$A$3,TAX!$C$2:$C$3)</f>
        <v>0</v>
      </c>
      <c r="J650" s="39">
        <f t="array" ref="J650">XLOOKUP(COST_BUY_MONTHLY!$C650,TAX!$A$2:$A$3,TAX!$D$2:$D$3)</f>
        <v>0.1</v>
      </c>
      <c r="K650" s="35">
        <f t="shared" si="2"/>
        <v>718.047</v>
      </c>
    </row>
    <row r="651" ht="14.25" customHeight="1">
      <c r="A651" s="33" t="s">
        <v>266</v>
      </c>
      <c r="B651" s="33" t="s">
        <v>124</v>
      </c>
      <c r="C651" s="33" t="s">
        <v>237</v>
      </c>
      <c r="D651" s="35">
        <v>2347.24</v>
      </c>
      <c r="E651" s="33">
        <v>50.0</v>
      </c>
      <c r="F651" s="35">
        <f t="array" ref="F651">IF(C651 ="FOB_JP", XLOOKUP(A651,CONTAINER_COST_MONTH!$A$2:$A$13,CONTAINER_COST_MONTH!$B$2:$B$13), 285)</f>
        <v>285</v>
      </c>
      <c r="G651" s="35">
        <f t="shared" si="1"/>
        <v>5.7</v>
      </c>
      <c r="H651" s="38">
        <f t="array" ref="H651">XLOOKUP(COST_BUY_MONTHLY!$C651,TAX!$A$2:$A$3,TAX!$B$2:$B$3)</f>
        <v>0</v>
      </c>
      <c r="I651" s="39">
        <f t="array" ref="I651">XLOOKUP(COST_BUY_MONTHLY!$C651,TAX!$A$2:$A$3,TAX!$C$2:$C$3)</f>
        <v>0</v>
      </c>
      <c r="J651" s="39">
        <f t="array" ref="J651">XLOOKUP(COST_BUY_MONTHLY!$C651,TAX!$A$2:$A$3,TAX!$D$2:$D$3)</f>
        <v>0.1</v>
      </c>
      <c r="K651" s="35">
        <f t="shared" si="2"/>
        <v>2588.234</v>
      </c>
    </row>
    <row r="652" ht="14.25" customHeight="1">
      <c r="A652" s="33" t="s">
        <v>266</v>
      </c>
      <c r="B652" s="33" t="s">
        <v>126</v>
      </c>
      <c r="C652" s="33" t="s">
        <v>236</v>
      </c>
      <c r="D652" s="35">
        <v>3638.25</v>
      </c>
      <c r="E652" s="33">
        <v>35.0</v>
      </c>
      <c r="F652" s="35">
        <f t="array" ref="F652">IF(C652 ="FOB_JP", XLOOKUP(A652,CONTAINER_COST_MONTH!$A$2:$A$13,CONTAINER_COST_MONTH!$B$2:$B$13), 285)</f>
        <v>3637</v>
      </c>
      <c r="G652" s="35">
        <f t="shared" si="1"/>
        <v>103.9142857</v>
      </c>
      <c r="H652" s="38">
        <f t="array" ref="H652">XLOOKUP(COST_BUY_MONTHLY!$C652,TAX!$A$2:$A$3,TAX!$B$2:$B$3)</f>
        <v>0.002</v>
      </c>
      <c r="I652" s="39">
        <f t="array" ref="I652">XLOOKUP(COST_BUY_MONTHLY!$C652,TAX!$A$2:$A$3,TAX!$C$2:$C$3)</f>
        <v>0.2</v>
      </c>
      <c r="J652" s="39">
        <f t="array" ref="J652">XLOOKUP(COST_BUY_MONTHLY!$C652,TAX!$A$2:$A$3,TAX!$D$2:$D$3)</f>
        <v>0.1</v>
      </c>
      <c r="K652" s="35">
        <f t="shared" si="2"/>
        <v>4949.536171</v>
      </c>
    </row>
    <row r="653" ht="14.25" customHeight="1">
      <c r="A653" s="33" t="s">
        <v>266</v>
      </c>
      <c r="B653" s="33" t="s">
        <v>128</v>
      </c>
      <c r="C653" s="33" t="s">
        <v>236</v>
      </c>
      <c r="D653" s="35">
        <v>5005.73</v>
      </c>
      <c r="E653" s="33">
        <v>35.0</v>
      </c>
      <c r="F653" s="35">
        <f t="array" ref="F653">IF(C653 ="FOB_JP", XLOOKUP(A653,CONTAINER_COST_MONTH!$A$2:$A$13,CONTAINER_COST_MONTH!$B$2:$B$13), 285)</f>
        <v>3637</v>
      </c>
      <c r="G653" s="35">
        <f t="shared" si="1"/>
        <v>103.9142857</v>
      </c>
      <c r="H653" s="38">
        <f t="array" ref="H653">XLOOKUP(COST_BUY_MONTHLY!$C653,TAX!$A$2:$A$3,TAX!$B$2:$B$3)</f>
        <v>0.002</v>
      </c>
      <c r="I653" s="39">
        <f t="array" ref="I653">XLOOKUP(COST_BUY_MONTHLY!$C653,TAX!$A$2:$A$3,TAX!$C$2:$C$3)</f>
        <v>0.2</v>
      </c>
      <c r="J653" s="39">
        <f t="array" ref="J653">XLOOKUP(COST_BUY_MONTHLY!$C653,TAX!$A$2:$A$3,TAX!$D$2:$D$3)</f>
        <v>0.1</v>
      </c>
      <c r="K653" s="35">
        <f t="shared" si="2"/>
        <v>6758.219918</v>
      </c>
    </row>
    <row r="654" ht="14.25" customHeight="1">
      <c r="A654" s="33" t="s">
        <v>266</v>
      </c>
      <c r="B654" s="33" t="s">
        <v>130</v>
      </c>
      <c r="C654" s="33" t="s">
        <v>237</v>
      </c>
      <c r="D654" s="35">
        <v>3760.36</v>
      </c>
      <c r="E654" s="33">
        <v>35.0</v>
      </c>
      <c r="F654" s="35">
        <f t="array" ref="F654">IF(C654 ="FOB_JP", XLOOKUP(A654,CONTAINER_COST_MONTH!$A$2:$A$13,CONTAINER_COST_MONTH!$B$2:$B$13), 285)</f>
        <v>285</v>
      </c>
      <c r="G654" s="35">
        <f t="shared" si="1"/>
        <v>8.142857143</v>
      </c>
      <c r="H654" s="38">
        <f t="array" ref="H654">XLOOKUP(COST_BUY_MONTHLY!$C654,TAX!$A$2:$A$3,TAX!$B$2:$B$3)</f>
        <v>0</v>
      </c>
      <c r="I654" s="39">
        <f t="array" ref="I654">XLOOKUP(COST_BUY_MONTHLY!$C654,TAX!$A$2:$A$3,TAX!$C$2:$C$3)</f>
        <v>0</v>
      </c>
      <c r="J654" s="39">
        <f t="array" ref="J654">XLOOKUP(COST_BUY_MONTHLY!$C654,TAX!$A$2:$A$3,TAX!$D$2:$D$3)</f>
        <v>0.1</v>
      </c>
      <c r="K654" s="35">
        <f t="shared" si="2"/>
        <v>4145.353143</v>
      </c>
    </row>
    <row r="655" ht="14.25" customHeight="1">
      <c r="A655" s="33" t="s">
        <v>266</v>
      </c>
      <c r="B655" s="33" t="s">
        <v>132</v>
      </c>
      <c r="C655" s="33" t="s">
        <v>237</v>
      </c>
      <c r="D655" s="35">
        <v>1229.5</v>
      </c>
      <c r="E655" s="33">
        <v>35.0</v>
      </c>
      <c r="F655" s="35">
        <f t="array" ref="F655">IF(C655 ="FOB_JP", XLOOKUP(A655,CONTAINER_COST_MONTH!$A$2:$A$13,CONTAINER_COST_MONTH!$B$2:$B$13), 285)</f>
        <v>285</v>
      </c>
      <c r="G655" s="35">
        <f t="shared" si="1"/>
        <v>8.142857143</v>
      </c>
      <c r="H655" s="38">
        <f t="array" ref="H655">XLOOKUP(COST_BUY_MONTHLY!$C655,TAX!$A$2:$A$3,TAX!$B$2:$B$3)</f>
        <v>0</v>
      </c>
      <c r="I655" s="39">
        <f t="array" ref="I655">XLOOKUP(COST_BUY_MONTHLY!$C655,TAX!$A$2:$A$3,TAX!$C$2:$C$3)</f>
        <v>0</v>
      </c>
      <c r="J655" s="39">
        <f t="array" ref="J655">XLOOKUP(COST_BUY_MONTHLY!$C655,TAX!$A$2:$A$3,TAX!$D$2:$D$3)</f>
        <v>0.1</v>
      </c>
      <c r="K655" s="35">
        <f t="shared" si="2"/>
        <v>1361.407143</v>
      </c>
    </row>
    <row r="656" ht="14.25" customHeight="1">
      <c r="A656" s="33" t="s">
        <v>266</v>
      </c>
      <c r="B656" s="33" t="s">
        <v>134</v>
      </c>
      <c r="C656" s="33" t="s">
        <v>236</v>
      </c>
      <c r="D656" s="35">
        <v>4169.85</v>
      </c>
      <c r="E656" s="33">
        <v>14.0</v>
      </c>
      <c r="F656" s="35">
        <f t="array" ref="F656">IF(C656 ="FOB_JP", XLOOKUP(A656,CONTAINER_COST_MONTH!$A$2:$A$13,CONTAINER_COST_MONTH!$B$2:$B$13), 285)</f>
        <v>3637</v>
      </c>
      <c r="G656" s="35">
        <f t="shared" si="1"/>
        <v>259.7857143</v>
      </c>
      <c r="H656" s="38">
        <f t="array" ref="H656">XLOOKUP(COST_BUY_MONTHLY!$C656,TAX!$A$2:$A$3,TAX!$B$2:$B$3)</f>
        <v>0.002</v>
      </c>
      <c r="I656" s="39">
        <f t="array" ref="I656">XLOOKUP(COST_BUY_MONTHLY!$C656,TAX!$A$2:$A$3,TAX!$C$2:$C$3)</f>
        <v>0.2</v>
      </c>
      <c r="J656" s="39">
        <f t="array" ref="J656">XLOOKUP(COST_BUY_MONTHLY!$C656,TAX!$A$2:$A$3,TAX!$D$2:$D$3)</f>
        <v>0.1</v>
      </c>
      <c r="K656" s="35">
        <f t="shared" si="2"/>
        <v>5858.813381</v>
      </c>
    </row>
    <row r="657" ht="14.25" customHeight="1">
      <c r="A657" s="33" t="s">
        <v>266</v>
      </c>
      <c r="B657" s="33" t="s">
        <v>136</v>
      </c>
      <c r="C657" s="33" t="s">
        <v>236</v>
      </c>
      <c r="D657" s="35">
        <v>4474.12</v>
      </c>
      <c r="E657" s="33">
        <v>35.0</v>
      </c>
      <c r="F657" s="35">
        <f t="array" ref="F657">IF(C657 ="FOB_JP", XLOOKUP(A657,CONTAINER_COST_MONTH!$A$2:$A$13,CONTAINER_COST_MONTH!$B$2:$B$13), 285)</f>
        <v>3637</v>
      </c>
      <c r="G657" s="35">
        <f t="shared" si="1"/>
        <v>103.9142857</v>
      </c>
      <c r="H657" s="38">
        <f t="array" ref="H657">XLOOKUP(COST_BUY_MONTHLY!$C657,TAX!$A$2:$A$3,TAX!$B$2:$B$3)</f>
        <v>0.002</v>
      </c>
      <c r="I657" s="39">
        <f t="array" ref="I657">XLOOKUP(COST_BUY_MONTHLY!$C657,TAX!$A$2:$A$3,TAX!$C$2:$C$3)</f>
        <v>0.2</v>
      </c>
      <c r="J657" s="39">
        <f t="array" ref="J657">XLOOKUP(COST_BUY_MONTHLY!$C657,TAX!$A$2:$A$3,TAX!$D$2:$D$3)</f>
        <v>0.1</v>
      </c>
      <c r="K657" s="35">
        <f t="shared" si="2"/>
        <v>6055.091268</v>
      </c>
    </row>
    <row r="658" ht="14.25" customHeight="1">
      <c r="A658" s="33" t="s">
        <v>266</v>
      </c>
      <c r="B658" s="33" t="s">
        <v>138</v>
      </c>
      <c r="C658" s="33" t="s">
        <v>236</v>
      </c>
      <c r="D658" s="35">
        <v>1857.59</v>
      </c>
      <c r="E658" s="33">
        <v>35.0</v>
      </c>
      <c r="F658" s="35">
        <f t="array" ref="F658">IF(C658 ="FOB_JP", XLOOKUP(A658,CONTAINER_COST_MONTH!$A$2:$A$13,CONTAINER_COST_MONTH!$B$2:$B$13), 285)</f>
        <v>3637</v>
      </c>
      <c r="G658" s="35">
        <f t="shared" si="1"/>
        <v>103.9142857</v>
      </c>
      <c r="H658" s="38">
        <f t="array" ref="H658">XLOOKUP(COST_BUY_MONTHLY!$C658,TAX!$A$2:$A$3,TAX!$B$2:$B$3)</f>
        <v>0.002</v>
      </c>
      <c r="I658" s="39">
        <f t="array" ref="I658">XLOOKUP(COST_BUY_MONTHLY!$C658,TAX!$A$2:$A$3,TAX!$C$2:$C$3)</f>
        <v>0.2</v>
      </c>
      <c r="J658" s="39">
        <f t="array" ref="J658">XLOOKUP(COST_BUY_MONTHLY!$C658,TAX!$A$2:$A$3,TAX!$D$2:$D$3)</f>
        <v>0.1</v>
      </c>
      <c r="K658" s="35">
        <f t="shared" si="2"/>
        <v>2594.364028</v>
      </c>
    </row>
    <row r="659" ht="14.25" customHeight="1">
      <c r="A659" s="33" t="s">
        <v>266</v>
      </c>
      <c r="B659" s="33" t="s">
        <v>140</v>
      </c>
      <c r="C659" s="33" t="s">
        <v>236</v>
      </c>
      <c r="D659" s="35">
        <v>6786.38</v>
      </c>
      <c r="E659" s="33">
        <v>35.0</v>
      </c>
      <c r="F659" s="35">
        <f t="array" ref="F659">IF(C659 ="FOB_JP", XLOOKUP(A659,CONTAINER_COST_MONTH!$A$2:$A$13,CONTAINER_COST_MONTH!$B$2:$B$13), 285)</f>
        <v>3637</v>
      </c>
      <c r="G659" s="35">
        <f t="shared" si="1"/>
        <v>103.9142857</v>
      </c>
      <c r="H659" s="38">
        <f t="array" ref="H659">XLOOKUP(COST_BUY_MONTHLY!$C659,TAX!$A$2:$A$3,TAX!$B$2:$B$3)</f>
        <v>0.002</v>
      </c>
      <c r="I659" s="39">
        <f t="array" ref="I659">XLOOKUP(COST_BUY_MONTHLY!$C659,TAX!$A$2:$A$3,TAX!$C$2:$C$3)</f>
        <v>0.2</v>
      </c>
      <c r="J659" s="39">
        <f t="array" ref="J659">XLOOKUP(COST_BUY_MONTHLY!$C659,TAX!$A$2:$A$3,TAX!$D$2:$D$3)</f>
        <v>0.1</v>
      </c>
      <c r="K659" s="35">
        <f t="shared" si="2"/>
        <v>9113.378834</v>
      </c>
    </row>
    <row r="660" ht="14.25" customHeight="1">
      <c r="A660" s="33" t="s">
        <v>266</v>
      </c>
      <c r="B660" s="33" t="s">
        <v>142</v>
      </c>
      <c r="C660" s="33" t="s">
        <v>237</v>
      </c>
      <c r="D660" s="35">
        <v>2264.4</v>
      </c>
      <c r="E660" s="33">
        <v>35.0</v>
      </c>
      <c r="F660" s="35">
        <f t="array" ref="F660">IF(C660 ="FOB_JP", XLOOKUP(A660,CONTAINER_COST_MONTH!$A$2:$A$13,CONTAINER_COST_MONTH!$B$2:$B$13), 285)</f>
        <v>285</v>
      </c>
      <c r="G660" s="35">
        <f t="shared" si="1"/>
        <v>8.142857143</v>
      </c>
      <c r="H660" s="38">
        <f t="array" ref="H660">XLOOKUP(COST_BUY_MONTHLY!$C660,TAX!$A$2:$A$3,TAX!$B$2:$B$3)</f>
        <v>0</v>
      </c>
      <c r="I660" s="39">
        <f t="array" ref="I660">XLOOKUP(COST_BUY_MONTHLY!$C660,TAX!$A$2:$A$3,TAX!$C$2:$C$3)</f>
        <v>0</v>
      </c>
      <c r="J660" s="39">
        <f t="array" ref="J660">XLOOKUP(COST_BUY_MONTHLY!$C660,TAX!$A$2:$A$3,TAX!$D$2:$D$3)</f>
        <v>0.1</v>
      </c>
      <c r="K660" s="35">
        <f t="shared" si="2"/>
        <v>2499.797143</v>
      </c>
    </row>
    <row r="661" ht="14.25" customHeight="1">
      <c r="A661" s="33" t="s">
        <v>266</v>
      </c>
      <c r="B661" s="33" t="s">
        <v>144</v>
      </c>
      <c r="C661" s="33" t="s">
        <v>237</v>
      </c>
      <c r="D661" s="35">
        <v>2725.46</v>
      </c>
      <c r="E661" s="33">
        <v>35.0</v>
      </c>
      <c r="F661" s="35">
        <f t="array" ref="F661">IF(C661 ="FOB_JP", XLOOKUP(A661,CONTAINER_COST_MONTH!$A$2:$A$13,CONTAINER_COST_MONTH!$B$2:$B$13), 285)</f>
        <v>285</v>
      </c>
      <c r="G661" s="35">
        <f t="shared" si="1"/>
        <v>8.142857143</v>
      </c>
      <c r="H661" s="38">
        <f t="array" ref="H661">XLOOKUP(COST_BUY_MONTHLY!$C661,TAX!$A$2:$A$3,TAX!$B$2:$B$3)</f>
        <v>0</v>
      </c>
      <c r="I661" s="39">
        <f t="array" ref="I661">XLOOKUP(COST_BUY_MONTHLY!$C661,TAX!$A$2:$A$3,TAX!$C$2:$C$3)</f>
        <v>0</v>
      </c>
      <c r="J661" s="39">
        <f t="array" ref="J661">XLOOKUP(COST_BUY_MONTHLY!$C661,TAX!$A$2:$A$3,TAX!$D$2:$D$3)</f>
        <v>0.1</v>
      </c>
      <c r="K661" s="35">
        <f t="shared" si="2"/>
        <v>3006.963143</v>
      </c>
    </row>
    <row r="662" ht="14.25" customHeight="1">
      <c r="A662" s="33" t="s">
        <v>267</v>
      </c>
      <c r="B662" s="33" t="s">
        <v>11</v>
      </c>
      <c r="C662" s="33" t="s">
        <v>236</v>
      </c>
      <c r="D662" s="35">
        <v>4048.09</v>
      </c>
      <c r="E662" s="33">
        <v>10.0</v>
      </c>
      <c r="F662" s="35">
        <f t="array" ref="F662">IF(C662 ="FOB_JP", XLOOKUP(A662,CONTAINER_COST_MONTH!$A$2:$A$13,CONTAINER_COST_MONTH!$B$2:$B$13), 285)</f>
        <v>3877</v>
      </c>
      <c r="G662" s="35">
        <f t="shared" si="1"/>
        <v>387.7</v>
      </c>
      <c r="H662" s="38">
        <f t="array" ref="H662">XLOOKUP(COST_BUY_MONTHLY!$C662,TAX!$A$2:$A$3,TAX!$B$2:$B$3)</f>
        <v>0.002</v>
      </c>
      <c r="I662" s="39">
        <f t="array" ref="I662">XLOOKUP(COST_BUY_MONTHLY!$C662,TAX!$A$2:$A$3,TAX!$C$2:$C$3)</f>
        <v>0.2</v>
      </c>
      <c r="J662" s="39">
        <f t="array" ref="J662">XLOOKUP(COST_BUY_MONTHLY!$C662,TAX!$A$2:$A$3,TAX!$D$2:$D$3)</f>
        <v>0.1</v>
      </c>
      <c r="K662" s="35">
        <f t="shared" si="2"/>
        <v>5866.953286</v>
      </c>
    </row>
    <row r="663" ht="14.25" customHeight="1">
      <c r="A663" s="33" t="s">
        <v>267</v>
      </c>
      <c r="B663" s="33" t="s">
        <v>18</v>
      </c>
      <c r="C663" s="33" t="s">
        <v>237</v>
      </c>
      <c r="D663" s="35">
        <v>2173.3</v>
      </c>
      <c r="E663" s="33">
        <v>40.0</v>
      </c>
      <c r="F663" s="35">
        <f t="array" ref="F663">IF(C663 ="FOB_JP", XLOOKUP(A663,CONTAINER_COST_MONTH!$A$2:$A$13,CONTAINER_COST_MONTH!$B$2:$B$13), 285)</f>
        <v>285</v>
      </c>
      <c r="G663" s="35">
        <f t="shared" si="1"/>
        <v>7.125</v>
      </c>
      <c r="H663" s="38">
        <f t="array" ref="H663">XLOOKUP(COST_BUY_MONTHLY!$C663,TAX!$A$2:$A$3,TAX!$B$2:$B$3)</f>
        <v>0</v>
      </c>
      <c r="I663" s="39">
        <f t="array" ref="I663">XLOOKUP(COST_BUY_MONTHLY!$C663,TAX!$A$2:$A$3,TAX!$C$2:$C$3)</f>
        <v>0</v>
      </c>
      <c r="J663" s="39">
        <f t="array" ref="J663">XLOOKUP(COST_BUY_MONTHLY!$C663,TAX!$A$2:$A$3,TAX!$D$2:$D$3)</f>
        <v>0.1</v>
      </c>
      <c r="K663" s="35">
        <f t="shared" si="2"/>
        <v>2398.4675</v>
      </c>
    </row>
    <row r="664" ht="14.25" customHeight="1">
      <c r="A664" s="33" t="s">
        <v>267</v>
      </c>
      <c r="B664" s="33" t="s">
        <v>22</v>
      </c>
      <c r="C664" s="33" t="s">
        <v>236</v>
      </c>
      <c r="D664" s="35">
        <v>4048.09</v>
      </c>
      <c r="E664" s="33">
        <v>20.0</v>
      </c>
      <c r="F664" s="35">
        <f t="array" ref="F664">IF(C664 ="FOB_JP", XLOOKUP(A664,CONTAINER_COST_MONTH!$A$2:$A$13,CONTAINER_COST_MONTH!$B$2:$B$13), 285)</f>
        <v>3877</v>
      </c>
      <c r="G664" s="35">
        <f t="shared" si="1"/>
        <v>193.85</v>
      </c>
      <c r="H664" s="38">
        <f t="array" ref="H664">XLOOKUP(COST_BUY_MONTHLY!$C664,TAX!$A$2:$A$3,TAX!$B$2:$B$3)</f>
        <v>0.002</v>
      </c>
      <c r="I664" s="39">
        <f t="array" ref="I664">XLOOKUP(COST_BUY_MONTHLY!$C664,TAX!$A$2:$A$3,TAX!$C$2:$C$3)</f>
        <v>0.2</v>
      </c>
      <c r="J664" s="39">
        <f t="array" ref="J664">XLOOKUP(COST_BUY_MONTHLY!$C664,TAX!$A$2:$A$3,TAX!$D$2:$D$3)</f>
        <v>0.1</v>
      </c>
      <c r="K664" s="35">
        <f t="shared" si="2"/>
        <v>5610.559522</v>
      </c>
    </row>
    <row r="665" ht="14.25" customHeight="1">
      <c r="A665" s="33" t="s">
        <v>267</v>
      </c>
      <c r="B665" s="33" t="s">
        <v>24</v>
      </c>
      <c r="C665" s="33" t="s">
        <v>236</v>
      </c>
      <c r="D665" s="35">
        <v>4048.09</v>
      </c>
      <c r="E665" s="33">
        <v>15.0</v>
      </c>
      <c r="F665" s="35">
        <f t="array" ref="F665">IF(C665 ="FOB_JP", XLOOKUP(A665,CONTAINER_COST_MONTH!$A$2:$A$13,CONTAINER_COST_MONTH!$B$2:$B$13), 285)</f>
        <v>3877</v>
      </c>
      <c r="G665" s="35">
        <f t="shared" si="1"/>
        <v>258.4666667</v>
      </c>
      <c r="H665" s="38">
        <f t="array" ref="H665">XLOOKUP(COST_BUY_MONTHLY!$C665,TAX!$A$2:$A$3,TAX!$B$2:$B$3)</f>
        <v>0.002</v>
      </c>
      <c r="I665" s="39">
        <f t="array" ref="I665">XLOOKUP(COST_BUY_MONTHLY!$C665,TAX!$A$2:$A$3,TAX!$C$2:$C$3)</f>
        <v>0.2</v>
      </c>
      <c r="J665" s="39">
        <f t="array" ref="J665">XLOOKUP(COST_BUY_MONTHLY!$C665,TAX!$A$2:$A$3,TAX!$D$2:$D$3)</f>
        <v>0.1</v>
      </c>
      <c r="K665" s="35">
        <f t="shared" si="2"/>
        <v>5696.02411</v>
      </c>
    </row>
    <row r="666" ht="14.25" customHeight="1">
      <c r="A666" s="33" t="s">
        <v>267</v>
      </c>
      <c r="B666" s="33" t="s">
        <v>26</v>
      </c>
      <c r="C666" s="33" t="s">
        <v>237</v>
      </c>
      <c r="D666" s="35">
        <v>2173.3</v>
      </c>
      <c r="E666" s="33">
        <v>120.0</v>
      </c>
      <c r="F666" s="35">
        <f t="array" ref="F666">IF(C666 ="FOB_JP", XLOOKUP(A666,CONTAINER_COST_MONTH!$A$2:$A$13,CONTAINER_COST_MONTH!$B$2:$B$13), 285)</f>
        <v>285</v>
      </c>
      <c r="G666" s="35">
        <f t="shared" si="1"/>
        <v>2.375</v>
      </c>
      <c r="H666" s="38">
        <f t="array" ref="H666">XLOOKUP(COST_BUY_MONTHLY!$C666,TAX!$A$2:$A$3,TAX!$B$2:$B$3)</f>
        <v>0</v>
      </c>
      <c r="I666" s="39">
        <f t="array" ref="I666">XLOOKUP(COST_BUY_MONTHLY!$C666,TAX!$A$2:$A$3,TAX!$C$2:$C$3)</f>
        <v>0</v>
      </c>
      <c r="J666" s="39">
        <f t="array" ref="J666">XLOOKUP(COST_BUY_MONTHLY!$C666,TAX!$A$2:$A$3,TAX!$D$2:$D$3)</f>
        <v>0.1</v>
      </c>
      <c r="K666" s="35">
        <f t="shared" si="2"/>
        <v>2393.2425</v>
      </c>
    </row>
    <row r="667" ht="14.25" customHeight="1">
      <c r="A667" s="33" t="s">
        <v>267</v>
      </c>
      <c r="B667" s="33" t="s">
        <v>30</v>
      </c>
      <c r="C667" s="33" t="s">
        <v>236</v>
      </c>
      <c r="D667" s="35">
        <v>11025.48</v>
      </c>
      <c r="E667" s="33">
        <v>7.0</v>
      </c>
      <c r="F667" s="35">
        <f t="array" ref="F667">IF(C667 ="FOB_JP", XLOOKUP(A667,CONTAINER_COST_MONTH!$A$2:$A$13,CONTAINER_COST_MONTH!$B$2:$B$13), 285)</f>
        <v>3877</v>
      </c>
      <c r="G667" s="35">
        <f t="shared" si="1"/>
        <v>553.8571429</v>
      </c>
      <c r="H667" s="38">
        <f t="array" ref="H667">XLOOKUP(COST_BUY_MONTHLY!$C667,TAX!$A$2:$A$3,TAX!$B$2:$B$3)</f>
        <v>0.002</v>
      </c>
      <c r="I667" s="39">
        <f t="array" ref="I667">XLOOKUP(COST_BUY_MONTHLY!$C667,TAX!$A$2:$A$3,TAX!$C$2:$C$3)</f>
        <v>0.2</v>
      </c>
      <c r="J667" s="39">
        <f t="array" ref="J667">XLOOKUP(COST_BUY_MONTHLY!$C667,TAX!$A$2:$A$3,TAX!$D$2:$D$3)</f>
        <v>0.1</v>
      </c>
      <c r="K667" s="35">
        <f t="shared" si="2"/>
        <v>15315.29448</v>
      </c>
    </row>
    <row r="668" ht="14.25" customHeight="1">
      <c r="A668" s="33" t="s">
        <v>267</v>
      </c>
      <c r="B668" s="33" t="s">
        <v>33</v>
      </c>
      <c r="C668" s="33" t="s">
        <v>237</v>
      </c>
      <c r="D668" s="35">
        <v>6364.62</v>
      </c>
      <c r="E668" s="33">
        <v>28.0</v>
      </c>
      <c r="F668" s="35">
        <f t="array" ref="F668">IF(C668 ="FOB_JP", XLOOKUP(A668,CONTAINER_COST_MONTH!$A$2:$A$13,CONTAINER_COST_MONTH!$B$2:$B$13), 285)</f>
        <v>285</v>
      </c>
      <c r="G668" s="35">
        <f t="shared" si="1"/>
        <v>10.17857143</v>
      </c>
      <c r="H668" s="38">
        <f t="array" ref="H668">XLOOKUP(COST_BUY_MONTHLY!$C668,TAX!$A$2:$A$3,TAX!$B$2:$B$3)</f>
        <v>0</v>
      </c>
      <c r="I668" s="39">
        <f t="array" ref="I668">XLOOKUP(COST_BUY_MONTHLY!$C668,TAX!$A$2:$A$3,TAX!$C$2:$C$3)</f>
        <v>0</v>
      </c>
      <c r="J668" s="39">
        <f t="array" ref="J668">XLOOKUP(COST_BUY_MONTHLY!$C668,TAX!$A$2:$A$3,TAX!$D$2:$D$3)</f>
        <v>0.1</v>
      </c>
      <c r="K668" s="35">
        <f t="shared" si="2"/>
        <v>7012.278429</v>
      </c>
    </row>
    <row r="669" ht="14.25" customHeight="1">
      <c r="A669" s="33" t="s">
        <v>267</v>
      </c>
      <c r="B669" s="33" t="s">
        <v>35</v>
      </c>
      <c r="C669" s="33" t="s">
        <v>236</v>
      </c>
      <c r="D669" s="35">
        <v>11025.48</v>
      </c>
      <c r="E669" s="33">
        <v>14.0</v>
      </c>
      <c r="F669" s="35">
        <f t="array" ref="F669">IF(C669 ="FOB_JP", XLOOKUP(A669,CONTAINER_COST_MONTH!$A$2:$A$13,CONTAINER_COST_MONTH!$B$2:$B$13), 285)</f>
        <v>3877</v>
      </c>
      <c r="G669" s="35">
        <f t="shared" si="1"/>
        <v>276.9285714</v>
      </c>
      <c r="H669" s="38">
        <f t="array" ref="H669">XLOOKUP(COST_BUY_MONTHLY!$C669,TAX!$A$2:$A$3,TAX!$B$2:$B$3)</f>
        <v>0.002</v>
      </c>
      <c r="I669" s="39">
        <f t="array" ref="I669">XLOOKUP(COST_BUY_MONTHLY!$C669,TAX!$A$2:$A$3,TAX!$C$2:$C$3)</f>
        <v>0.2</v>
      </c>
      <c r="J669" s="39">
        <f t="array" ref="J669">XLOOKUP(COST_BUY_MONTHLY!$C669,TAX!$A$2:$A$3,TAX!$D$2:$D$3)</f>
        <v>0.1</v>
      </c>
      <c r="K669" s="35">
        <f t="shared" si="2"/>
        <v>14949.01767</v>
      </c>
    </row>
    <row r="670" ht="14.25" customHeight="1">
      <c r="A670" s="33" t="s">
        <v>267</v>
      </c>
      <c r="B670" s="33" t="s">
        <v>37</v>
      </c>
      <c r="C670" s="33" t="s">
        <v>236</v>
      </c>
      <c r="D670" s="35">
        <v>11025.48</v>
      </c>
      <c r="E670" s="33">
        <v>10.0</v>
      </c>
      <c r="F670" s="35">
        <f t="array" ref="F670">IF(C670 ="FOB_JP", XLOOKUP(A670,CONTAINER_COST_MONTH!$A$2:$A$13,CONTAINER_COST_MONTH!$B$2:$B$13), 285)</f>
        <v>3877</v>
      </c>
      <c r="G670" s="35">
        <f t="shared" si="1"/>
        <v>387.7</v>
      </c>
      <c r="H670" s="38">
        <f t="array" ref="H670">XLOOKUP(COST_BUY_MONTHLY!$C670,TAX!$A$2:$A$3,TAX!$B$2:$B$3)</f>
        <v>0.002</v>
      </c>
      <c r="I670" s="39">
        <f t="array" ref="I670">XLOOKUP(COST_BUY_MONTHLY!$C670,TAX!$A$2:$A$3,TAX!$C$2:$C$3)</f>
        <v>0.2</v>
      </c>
      <c r="J670" s="39">
        <f t="array" ref="J670">XLOOKUP(COST_BUY_MONTHLY!$C670,TAX!$A$2:$A$3,TAX!$D$2:$D$3)</f>
        <v>0.1</v>
      </c>
      <c r="K670" s="35">
        <f t="shared" si="2"/>
        <v>15095.5284</v>
      </c>
    </row>
    <row r="671" ht="14.25" customHeight="1">
      <c r="A671" s="33" t="s">
        <v>267</v>
      </c>
      <c r="B671" s="33" t="s">
        <v>39</v>
      </c>
      <c r="C671" s="33" t="s">
        <v>237</v>
      </c>
      <c r="D671" s="35">
        <v>6364.62</v>
      </c>
      <c r="E671" s="33">
        <v>84.0</v>
      </c>
      <c r="F671" s="35">
        <f t="array" ref="F671">IF(C671 ="FOB_JP", XLOOKUP(A671,CONTAINER_COST_MONTH!$A$2:$A$13,CONTAINER_COST_MONTH!$B$2:$B$13), 285)</f>
        <v>285</v>
      </c>
      <c r="G671" s="35">
        <f t="shared" si="1"/>
        <v>3.392857143</v>
      </c>
      <c r="H671" s="38">
        <f t="array" ref="H671">XLOOKUP(COST_BUY_MONTHLY!$C671,TAX!$A$2:$A$3,TAX!$B$2:$B$3)</f>
        <v>0</v>
      </c>
      <c r="I671" s="39">
        <f t="array" ref="I671">XLOOKUP(COST_BUY_MONTHLY!$C671,TAX!$A$2:$A$3,TAX!$C$2:$C$3)</f>
        <v>0</v>
      </c>
      <c r="J671" s="39">
        <f t="array" ref="J671">XLOOKUP(COST_BUY_MONTHLY!$C671,TAX!$A$2:$A$3,TAX!$D$2:$D$3)</f>
        <v>0.1</v>
      </c>
      <c r="K671" s="35">
        <f t="shared" si="2"/>
        <v>7004.814143</v>
      </c>
    </row>
    <row r="672" ht="14.25" customHeight="1">
      <c r="A672" s="33" t="s">
        <v>267</v>
      </c>
      <c r="B672" s="33" t="s">
        <v>42</v>
      </c>
      <c r="C672" s="33" t="s">
        <v>236</v>
      </c>
      <c r="D672" s="35">
        <v>5577.37</v>
      </c>
      <c r="E672" s="33">
        <v>10.0</v>
      </c>
      <c r="F672" s="35">
        <f t="array" ref="F672">IF(C672 ="FOB_JP", XLOOKUP(A672,CONTAINER_COST_MONTH!$A$2:$A$13,CONTAINER_COST_MONTH!$B$2:$B$13), 285)</f>
        <v>3877</v>
      </c>
      <c r="G672" s="35">
        <f t="shared" si="1"/>
        <v>387.7</v>
      </c>
      <c r="H672" s="38">
        <f t="array" ref="H672">XLOOKUP(COST_BUY_MONTHLY!$C672,TAX!$A$2:$A$3,TAX!$B$2:$B$3)</f>
        <v>0.002</v>
      </c>
      <c r="I672" s="39">
        <f t="array" ref="I672">XLOOKUP(COST_BUY_MONTHLY!$C672,TAX!$A$2:$A$3,TAX!$C$2:$C$3)</f>
        <v>0.2</v>
      </c>
      <c r="J672" s="39">
        <f t="array" ref="J672">XLOOKUP(COST_BUY_MONTHLY!$C672,TAX!$A$2:$A$3,TAX!$D$2:$D$3)</f>
        <v>0.1</v>
      </c>
      <c r="K672" s="35">
        <f t="shared" si="2"/>
        <v>7889.640185</v>
      </c>
    </row>
    <row r="673" ht="14.25" customHeight="1">
      <c r="A673" s="33" t="s">
        <v>267</v>
      </c>
      <c r="B673" s="33" t="s">
        <v>45</v>
      </c>
      <c r="C673" s="33" t="s">
        <v>237</v>
      </c>
      <c r="D673" s="35">
        <v>2994.32</v>
      </c>
      <c r="E673" s="33">
        <v>40.0</v>
      </c>
      <c r="F673" s="35">
        <f t="array" ref="F673">IF(C673 ="FOB_JP", XLOOKUP(A673,CONTAINER_COST_MONTH!$A$2:$A$13,CONTAINER_COST_MONTH!$B$2:$B$13), 285)</f>
        <v>285</v>
      </c>
      <c r="G673" s="35">
        <f t="shared" si="1"/>
        <v>7.125</v>
      </c>
      <c r="H673" s="38">
        <f t="array" ref="H673">XLOOKUP(COST_BUY_MONTHLY!$C673,TAX!$A$2:$A$3,TAX!$B$2:$B$3)</f>
        <v>0</v>
      </c>
      <c r="I673" s="39">
        <f t="array" ref="I673">XLOOKUP(COST_BUY_MONTHLY!$C673,TAX!$A$2:$A$3,TAX!$C$2:$C$3)</f>
        <v>0</v>
      </c>
      <c r="J673" s="39">
        <f t="array" ref="J673">XLOOKUP(COST_BUY_MONTHLY!$C673,TAX!$A$2:$A$3,TAX!$D$2:$D$3)</f>
        <v>0.1</v>
      </c>
      <c r="K673" s="35">
        <f t="shared" si="2"/>
        <v>3301.5895</v>
      </c>
    </row>
    <row r="674" ht="14.25" customHeight="1">
      <c r="A674" s="33" t="s">
        <v>267</v>
      </c>
      <c r="B674" s="33" t="s">
        <v>47</v>
      </c>
      <c r="C674" s="33" t="s">
        <v>236</v>
      </c>
      <c r="D674" s="35">
        <v>5577.37</v>
      </c>
      <c r="E674" s="33">
        <v>20.0</v>
      </c>
      <c r="F674" s="35">
        <f t="array" ref="F674">IF(C674 ="FOB_JP", XLOOKUP(A674,CONTAINER_COST_MONTH!$A$2:$A$13,CONTAINER_COST_MONTH!$B$2:$B$13), 285)</f>
        <v>3877</v>
      </c>
      <c r="G674" s="35">
        <f t="shared" si="1"/>
        <v>193.85</v>
      </c>
      <c r="H674" s="38">
        <f t="array" ref="H674">XLOOKUP(COST_BUY_MONTHLY!$C674,TAX!$A$2:$A$3,TAX!$B$2:$B$3)</f>
        <v>0.002</v>
      </c>
      <c r="I674" s="39">
        <f t="array" ref="I674">XLOOKUP(COST_BUY_MONTHLY!$C674,TAX!$A$2:$A$3,TAX!$C$2:$C$3)</f>
        <v>0.2</v>
      </c>
      <c r="J674" s="39">
        <f t="array" ref="J674">XLOOKUP(COST_BUY_MONTHLY!$C674,TAX!$A$2:$A$3,TAX!$D$2:$D$3)</f>
        <v>0.1</v>
      </c>
      <c r="K674" s="35">
        <f t="shared" si="2"/>
        <v>7633.246421</v>
      </c>
    </row>
    <row r="675" ht="14.25" customHeight="1">
      <c r="A675" s="33" t="s">
        <v>267</v>
      </c>
      <c r="B675" s="33" t="s">
        <v>49</v>
      </c>
      <c r="C675" s="33" t="s">
        <v>236</v>
      </c>
      <c r="D675" s="35">
        <v>5577.37</v>
      </c>
      <c r="E675" s="33">
        <v>15.0</v>
      </c>
      <c r="F675" s="35">
        <f t="array" ref="F675">IF(C675 ="FOB_JP", XLOOKUP(A675,CONTAINER_COST_MONTH!$A$2:$A$13,CONTAINER_COST_MONTH!$B$2:$B$13), 285)</f>
        <v>3877</v>
      </c>
      <c r="G675" s="35">
        <f t="shared" si="1"/>
        <v>258.4666667</v>
      </c>
      <c r="H675" s="38">
        <f t="array" ref="H675">XLOOKUP(COST_BUY_MONTHLY!$C675,TAX!$A$2:$A$3,TAX!$B$2:$B$3)</f>
        <v>0.002</v>
      </c>
      <c r="I675" s="39">
        <f t="array" ref="I675">XLOOKUP(COST_BUY_MONTHLY!$C675,TAX!$A$2:$A$3,TAX!$C$2:$C$3)</f>
        <v>0.2</v>
      </c>
      <c r="J675" s="39">
        <f t="array" ref="J675">XLOOKUP(COST_BUY_MONTHLY!$C675,TAX!$A$2:$A$3,TAX!$D$2:$D$3)</f>
        <v>0.1</v>
      </c>
      <c r="K675" s="35">
        <f t="shared" si="2"/>
        <v>7718.711009</v>
      </c>
    </row>
    <row r="676" ht="14.25" customHeight="1">
      <c r="A676" s="33" t="s">
        <v>267</v>
      </c>
      <c r="B676" s="33" t="s">
        <v>51</v>
      </c>
      <c r="C676" s="33" t="s">
        <v>237</v>
      </c>
      <c r="D676" s="35">
        <v>2994.32</v>
      </c>
      <c r="E676" s="33">
        <v>120.0</v>
      </c>
      <c r="F676" s="35">
        <f t="array" ref="F676">IF(C676 ="FOB_JP", XLOOKUP(A676,CONTAINER_COST_MONTH!$A$2:$A$13,CONTAINER_COST_MONTH!$B$2:$B$13), 285)</f>
        <v>285</v>
      </c>
      <c r="G676" s="35">
        <f t="shared" si="1"/>
        <v>2.375</v>
      </c>
      <c r="H676" s="38">
        <f t="array" ref="H676">XLOOKUP(COST_BUY_MONTHLY!$C676,TAX!$A$2:$A$3,TAX!$B$2:$B$3)</f>
        <v>0</v>
      </c>
      <c r="I676" s="39">
        <f t="array" ref="I676">XLOOKUP(COST_BUY_MONTHLY!$C676,TAX!$A$2:$A$3,TAX!$C$2:$C$3)</f>
        <v>0</v>
      </c>
      <c r="J676" s="39">
        <f t="array" ref="J676">XLOOKUP(COST_BUY_MONTHLY!$C676,TAX!$A$2:$A$3,TAX!$D$2:$D$3)</f>
        <v>0.1</v>
      </c>
      <c r="K676" s="35">
        <f t="shared" si="2"/>
        <v>3296.3645</v>
      </c>
    </row>
    <row r="677" ht="14.25" customHeight="1">
      <c r="A677" s="33" t="s">
        <v>267</v>
      </c>
      <c r="B677" s="33" t="s">
        <v>54</v>
      </c>
      <c r="C677" s="33" t="s">
        <v>236</v>
      </c>
      <c r="D677" s="35">
        <v>8643.97</v>
      </c>
      <c r="E677" s="33">
        <v>7.0</v>
      </c>
      <c r="F677" s="35">
        <f t="array" ref="F677">IF(C677 ="FOB_JP", XLOOKUP(A677,CONTAINER_COST_MONTH!$A$2:$A$13,CONTAINER_COST_MONTH!$B$2:$B$13), 285)</f>
        <v>3877</v>
      </c>
      <c r="G677" s="35">
        <f t="shared" si="1"/>
        <v>553.8571429</v>
      </c>
      <c r="H677" s="38">
        <f t="array" ref="H677">XLOOKUP(COST_BUY_MONTHLY!$C677,TAX!$A$2:$A$3,TAX!$B$2:$B$3)</f>
        <v>0.002</v>
      </c>
      <c r="I677" s="39">
        <f t="array" ref="I677">XLOOKUP(COST_BUY_MONTHLY!$C677,TAX!$A$2:$A$3,TAX!$C$2:$C$3)</f>
        <v>0.2</v>
      </c>
      <c r="J677" s="39">
        <f t="array" ref="J677">XLOOKUP(COST_BUY_MONTHLY!$C677,TAX!$A$2:$A$3,TAX!$D$2:$D$3)</f>
        <v>0.1</v>
      </c>
      <c r="K677" s="35">
        <f t="shared" si="2"/>
        <v>12165.41409</v>
      </c>
    </row>
    <row r="678" ht="14.25" customHeight="1">
      <c r="A678" s="33" t="s">
        <v>267</v>
      </c>
      <c r="B678" s="33" t="s">
        <v>57</v>
      </c>
      <c r="C678" s="33" t="s">
        <v>237</v>
      </c>
      <c r="D678" s="35">
        <v>4989.86</v>
      </c>
      <c r="E678" s="33">
        <v>28.0</v>
      </c>
      <c r="F678" s="35">
        <f t="array" ref="F678">IF(C678 ="FOB_JP", XLOOKUP(A678,CONTAINER_COST_MONTH!$A$2:$A$13,CONTAINER_COST_MONTH!$B$2:$B$13), 285)</f>
        <v>285</v>
      </c>
      <c r="G678" s="35">
        <f t="shared" si="1"/>
        <v>10.17857143</v>
      </c>
      <c r="H678" s="38">
        <f t="array" ref="H678">XLOOKUP(COST_BUY_MONTHLY!$C678,TAX!$A$2:$A$3,TAX!$B$2:$B$3)</f>
        <v>0</v>
      </c>
      <c r="I678" s="39">
        <f t="array" ref="I678">XLOOKUP(COST_BUY_MONTHLY!$C678,TAX!$A$2:$A$3,TAX!$C$2:$C$3)</f>
        <v>0</v>
      </c>
      <c r="J678" s="39">
        <f t="array" ref="J678">XLOOKUP(COST_BUY_MONTHLY!$C678,TAX!$A$2:$A$3,TAX!$D$2:$D$3)</f>
        <v>0.1</v>
      </c>
      <c r="K678" s="35">
        <f t="shared" si="2"/>
        <v>5500.042429</v>
      </c>
    </row>
    <row r="679" ht="14.25" customHeight="1">
      <c r="A679" s="33" t="s">
        <v>267</v>
      </c>
      <c r="B679" s="33" t="s">
        <v>59</v>
      </c>
      <c r="C679" s="33" t="s">
        <v>236</v>
      </c>
      <c r="D679" s="35">
        <v>8643.97</v>
      </c>
      <c r="E679" s="33">
        <v>14.0</v>
      </c>
      <c r="F679" s="35">
        <f t="array" ref="F679">IF(C679 ="FOB_JP", XLOOKUP(A679,CONTAINER_COST_MONTH!$A$2:$A$13,CONTAINER_COST_MONTH!$B$2:$B$13), 285)</f>
        <v>3877</v>
      </c>
      <c r="G679" s="35">
        <f t="shared" si="1"/>
        <v>276.9285714</v>
      </c>
      <c r="H679" s="38">
        <f t="array" ref="H679">XLOOKUP(COST_BUY_MONTHLY!$C679,TAX!$A$2:$A$3,TAX!$B$2:$B$3)</f>
        <v>0.002</v>
      </c>
      <c r="I679" s="39">
        <f t="array" ref="I679">XLOOKUP(COST_BUY_MONTHLY!$C679,TAX!$A$2:$A$3,TAX!$C$2:$C$3)</f>
        <v>0.2</v>
      </c>
      <c r="J679" s="39">
        <f t="array" ref="J679">XLOOKUP(COST_BUY_MONTHLY!$C679,TAX!$A$2:$A$3,TAX!$D$2:$D$3)</f>
        <v>0.1</v>
      </c>
      <c r="K679" s="35">
        <f t="shared" si="2"/>
        <v>11799.13729</v>
      </c>
    </row>
    <row r="680" ht="14.25" customHeight="1">
      <c r="A680" s="33" t="s">
        <v>267</v>
      </c>
      <c r="B680" s="33" t="s">
        <v>61</v>
      </c>
      <c r="C680" s="33" t="s">
        <v>236</v>
      </c>
      <c r="D680" s="35">
        <v>8643.97</v>
      </c>
      <c r="E680" s="33">
        <v>10.0</v>
      </c>
      <c r="F680" s="35">
        <f t="array" ref="F680">IF(C680 ="FOB_JP", XLOOKUP(A680,CONTAINER_COST_MONTH!$A$2:$A$13,CONTAINER_COST_MONTH!$B$2:$B$13), 285)</f>
        <v>3877</v>
      </c>
      <c r="G680" s="35">
        <f t="shared" si="1"/>
        <v>387.7</v>
      </c>
      <c r="H680" s="38">
        <f t="array" ref="H680">XLOOKUP(COST_BUY_MONTHLY!$C680,TAX!$A$2:$A$3,TAX!$B$2:$B$3)</f>
        <v>0.002</v>
      </c>
      <c r="I680" s="39">
        <f t="array" ref="I680">XLOOKUP(COST_BUY_MONTHLY!$C680,TAX!$A$2:$A$3,TAX!$C$2:$C$3)</f>
        <v>0.2</v>
      </c>
      <c r="J680" s="39">
        <f t="array" ref="J680">XLOOKUP(COST_BUY_MONTHLY!$C680,TAX!$A$2:$A$3,TAX!$D$2:$D$3)</f>
        <v>0.1</v>
      </c>
      <c r="K680" s="35">
        <f t="shared" si="2"/>
        <v>11945.64801</v>
      </c>
    </row>
    <row r="681" ht="14.25" customHeight="1">
      <c r="A681" s="33" t="s">
        <v>267</v>
      </c>
      <c r="B681" s="33" t="s">
        <v>63</v>
      </c>
      <c r="C681" s="33" t="s">
        <v>237</v>
      </c>
      <c r="D681" s="35">
        <v>4989.86</v>
      </c>
      <c r="E681" s="33">
        <v>84.0</v>
      </c>
      <c r="F681" s="35">
        <f t="array" ref="F681">IF(C681 ="FOB_JP", XLOOKUP(A681,CONTAINER_COST_MONTH!$A$2:$A$13,CONTAINER_COST_MONTH!$B$2:$B$13), 285)</f>
        <v>285</v>
      </c>
      <c r="G681" s="35">
        <f t="shared" si="1"/>
        <v>3.392857143</v>
      </c>
      <c r="H681" s="38">
        <f t="array" ref="H681">XLOOKUP(COST_BUY_MONTHLY!$C681,TAX!$A$2:$A$3,TAX!$B$2:$B$3)</f>
        <v>0</v>
      </c>
      <c r="I681" s="39">
        <f t="array" ref="I681">XLOOKUP(COST_BUY_MONTHLY!$C681,TAX!$A$2:$A$3,TAX!$C$2:$C$3)</f>
        <v>0</v>
      </c>
      <c r="J681" s="39">
        <f t="array" ref="J681">XLOOKUP(COST_BUY_MONTHLY!$C681,TAX!$A$2:$A$3,TAX!$D$2:$D$3)</f>
        <v>0.1</v>
      </c>
      <c r="K681" s="35">
        <f t="shared" si="2"/>
        <v>5492.578143</v>
      </c>
    </row>
    <row r="682" ht="14.25" customHeight="1">
      <c r="A682" s="33" t="s">
        <v>267</v>
      </c>
      <c r="B682" s="33" t="s">
        <v>65</v>
      </c>
      <c r="C682" s="33" t="s">
        <v>236</v>
      </c>
      <c r="D682" s="35">
        <v>1056.55</v>
      </c>
      <c r="E682" s="33">
        <v>50.0</v>
      </c>
      <c r="F682" s="35">
        <f t="array" ref="F682">IF(C682 ="FOB_JP", XLOOKUP(A682,CONTAINER_COST_MONTH!$A$2:$A$13,CONTAINER_COST_MONTH!$B$2:$B$13), 285)</f>
        <v>3877</v>
      </c>
      <c r="G682" s="35">
        <f t="shared" si="1"/>
        <v>77.54</v>
      </c>
      <c r="H682" s="38">
        <f t="array" ref="H682">XLOOKUP(COST_BUY_MONTHLY!$C682,TAX!$A$2:$A$3,TAX!$B$2:$B$3)</f>
        <v>0.002</v>
      </c>
      <c r="I682" s="39">
        <f t="array" ref="I682">XLOOKUP(COST_BUY_MONTHLY!$C682,TAX!$A$2:$A$3,TAX!$C$2:$C$3)</f>
        <v>0.2</v>
      </c>
      <c r="J682" s="39">
        <f t="array" ref="J682">XLOOKUP(COST_BUY_MONTHLY!$C682,TAX!$A$2:$A$3,TAX!$D$2:$D$3)</f>
        <v>0.1</v>
      </c>
      <c r="K682" s="35">
        <f t="shared" si="2"/>
        <v>1499.992798</v>
      </c>
    </row>
    <row r="683" ht="14.25" customHeight="1">
      <c r="A683" s="33" t="s">
        <v>267</v>
      </c>
      <c r="B683" s="33" t="s">
        <v>67</v>
      </c>
      <c r="C683" s="33" t="s">
        <v>236</v>
      </c>
      <c r="D683" s="35">
        <v>2991.54</v>
      </c>
      <c r="E683" s="33">
        <v>50.0</v>
      </c>
      <c r="F683" s="35">
        <f t="array" ref="F683">IF(C683 ="FOB_JP", XLOOKUP(A683,CONTAINER_COST_MONTH!$A$2:$A$13,CONTAINER_COST_MONTH!$B$2:$B$13), 285)</f>
        <v>3877</v>
      </c>
      <c r="G683" s="35">
        <f t="shared" si="1"/>
        <v>77.54</v>
      </c>
      <c r="H683" s="38">
        <f t="array" ref="H683">XLOOKUP(COST_BUY_MONTHLY!$C683,TAX!$A$2:$A$3,TAX!$B$2:$B$3)</f>
        <v>0.002</v>
      </c>
      <c r="I683" s="39">
        <f t="array" ref="I683">XLOOKUP(COST_BUY_MONTHLY!$C683,TAX!$A$2:$A$3,TAX!$C$2:$C$3)</f>
        <v>0.2</v>
      </c>
      <c r="J683" s="39">
        <f t="array" ref="J683">XLOOKUP(COST_BUY_MONTHLY!$C683,TAX!$A$2:$A$3,TAX!$D$2:$D$3)</f>
        <v>0.1</v>
      </c>
      <c r="K683" s="35">
        <f t="shared" si="2"/>
        <v>4059.287971</v>
      </c>
    </row>
    <row r="684" ht="14.25" customHeight="1">
      <c r="A684" s="33" t="s">
        <v>267</v>
      </c>
      <c r="B684" s="33" t="s">
        <v>70</v>
      </c>
      <c r="C684" s="33" t="s">
        <v>237</v>
      </c>
      <c r="D684" s="35">
        <v>302.74</v>
      </c>
      <c r="E684" s="33">
        <v>50.0</v>
      </c>
      <c r="F684" s="35">
        <f t="array" ref="F684">IF(C684 ="FOB_JP", XLOOKUP(A684,CONTAINER_COST_MONTH!$A$2:$A$13,CONTAINER_COST_MONTH!$B$2:$B$13), 285)</f>
        <v>285</v>
      </c>
      <c r="G684" s="35">
        <f t="shared" si="1"/>
        <v>5.7</v>
      </c>
      <c r="H684" s="38">
        <f t="array" ref="H684">XLOOKUP(COST_BUY_MONTHLY!$C684,TAX!$A$2:$A$3,TAX!$B$2:$B$3)</f>
        <v>0</v>
      </c>
      <c r="I684" s="39">
        <f t="array" ref="I684">XLOOKUP(COST_BUY_MONTHLY!$C684,TAX!$A$2:$A$3,TAX!$C$2:$C$3)</f>
        <v>0</v>
      </c>
      <c r="J684" s="39">
        <f t="array" ref="J684">XLOOKUP(COST_BUY_MONTHLY!$C684,TAX!$A$2:$A$3,TAX!$D$2:$D$3)</f>
        <v>0.1</v>
      </c>
      <c r="K684" s="35">
        <f t="shared" si="2"/>
        <v>339.284</v>
      </c>
    </row>
    <row r="685" ht="14.25" customHeight="1">
      <c r="A685" s="33" t="s">
        <v>267</v>
      </c>
      <c r="B685" s="33" t="s">
        <v>72</v>
      </c>
      <c r="C685" s="33" t="s">
        <v>237</v>
      </c>
      <c r="D685" s="35">
        <v>1870.55</v>
      </c>
      <c r="E685" s="33">
        <v>50.0</v>
      </c>
      <c r="F685" s="35">
        <f t="array" ref="F685">IF(C685 ="FOB_JP", XLOOKUP(A685,CONTAINER_COST_MONTH!$A$2:$A$13,CONTAINER_COST_MONTH!$B$2:$B$13), 285)</f>
        <v>285</v>
      </c>
      <c r="G685" s="35">
        <f t="shared" si="1"/>
        <v>5.7</v>
      </c>
      <c r="H685" s="38">
        <f t="array" ref="H685">XLOOKUP(COST_BUY_MONTHLY!$C685,TAX!$A$2:$A$3,TAX!$B$2:$B$3)</f>
        <v>0</v>
      </c>
      <c r="I685" s="39">
        <f t="array" ref="I685">XLOOKUP(COST_BUY_MONTHLY!$C685,TAX!$A$2:$A$3,TAX!$C$2:$C$3)</f>
        <v>0</v>
      </c>
      <c r="J685" s="39">
        <f t="array" ref="J685">XLOOKUP(COST_BUY_MONTHLY!$C685,TAX!$A$2:$A$3,TAX!$D$2:$D$3)</f>
        <v>0.1</v>
      </c>
      <c r="K685" s="35">
        <f t="shared" si="2"/>
        <v>2063.875</v>
      </c>
    </row>
    <row r="686" ht="14.25" customHeight="1">
      <c r="A686" s="33" t="s">
        <v>267</v>
      </c>
      <c r="B686" s="33" t="s">
        <v>74</v>
      </c>
      <c r="C686" s="33" t="s">
        <v>236</v>
      </c>
      <c r="D686" s="35">
        <v>828.24</v>
      </c>
      <c r="E686" s="33">
        <v>20.0</v>
      </c>
      <c r="F686" s="35">
        <f t="array" ref="F686">IF(C686 ="FOB_JP", XLOOKUP(A686,CONTAINER_COST_MONTH!$A$2:$A$13,CONTAINER_COST_MONTH!$B$2:$B$13), 285)</f>
        <v>3877</v>
      </c>
      <c r="G686" s="35">
        <f t="shared" si="1"/>
        <v>193.85</v>
      </c>
      <c r="H686" s="38">
        <f t="array" ref="H686">XLOOKUP(COST_BUY_MONTHLY!$C686,TAX!$A$2:$A$3,TAX!$B$2:$B$3)</f>
        <v>0.002</v>
      </c>
      <c r="I686" s="39">
        <f t="array" ref="I686">XLOOKUP(COST_BUY_MONTHLY!$C686,TAX!$A$2:$A$3,TAX!$C$2:$C$3)</f>
        <v>0.2</v>
      </c>
      <c r="J686" s="39">
        <f t="array" ref="J686">XLOOKUP(COST_BUY_MONTHLY!$C686,TAX!$A$2:$A$3,TAX!$D$2:$D$3)</f>
        <v>0.1</v>
      </c>
      <c r="K686" s="35">
        <f t="shared" si="2"/>
        <v>1351.857118</v>
      </c>
    </row>
    <row r="687" ht="14.25" customHeight="1">
      <c r="A687" s="33" t="s">
        <v>267</v>
      </c>
      <c r="B687" s="33" t="s">
        <v>76</v>
      </c>
      <c r="C687" s="33" t="s">
        <v>236</v>
      </c>
      <c r="D687" s="35">
        <v>3219.85</v>
      </c>
      <c r="E687" s="33">
        <v>50.0</v>
      </c>
      <c r="F687" s="35">
        <f t="array" ref="F687">IF(C687 ="FOB_JP", XLOOKUP(A687,CONTAINER_COST_MONTH!$A$2:$A$13,CONTAINER_COST_MONTH!$B$2:$B$13), 285)</f>
        <v>3877</v>
      </c>
      <c r="G687" s="35">
        <f t="shared" si="1"/>
        <v>77.54</v>
      </c>
      <c r="H687" s="38">
        <f t="array" ref="H687">XLOOKUP(COST_BUY_MONTHLY!$C687,TAX!$A$2:$A$3,TAX!$B$2:$B$3)</f>
        <v>0.002</v>
      </c>
      <c r="I687" s="39">
        <f t="array" ref="I687">XLOOKUP(COST_BUY_MONTHLY!$C687,TAX!$A$2:$A$3,TAX!$C$2:$C$3)</f>
        <v>0.2</v>
      </c>
      <c r="J687" s="39">
        <f t="array" ref="J687">XLOOKUP(COST_BUY_MONTHLY!$C687,TAX!$A$2:$A$3,TAX!$D$2:$D$3)</f>
        <v>0.1</v>
      </c>
      <c r="K687" s="35">
        <f t="shared" si="2"/>
        <v>4361.25991</v>
      </c>
    </row>
    <row r="688" ht="14.25" customHeight="1">
      <c r="A688" s="33" t="s">
        <v>267</v>
      </c>
      <c r="B688" s="33" t="s">
        <v>78</v>
      </c>
      <c r="C688" s="33" t="s">
        <v>236</v>
      </c>
      <c r="D688" s="35">
        <v>664.3</v>
      </c>
      <c r="E688" s="33">
        <v>50.0</v>
      </c>
      <c r="F688" s="35">
        <f t="array" ref="F688">IF(C688 ="FOB_JP", XLOOKUP(A688,CONTAINER_COST_MONTH!$A$2:$A$13,CONTAINER_COST_MONTH!$B$2:$B$13), 285)</f>
        <v>3877</v>
      </c>
      <c r="G688" s="35">
        <f t="shared" si="1"/>
        <v>77.54</v>
      </c>
      <c r="H688" s="38">
        <f t="array" ref="H688">XLOOKUP(COST_BUY_MONTHLY!$C688,TAX!$A$2:$A$3,TAX!$B$2:$B$3)</f>
        <v>0.002</v>
      </c>
      <c r="I688" s="39">
        <f t="array" ref="I688">XLOOKUP(COST_BUY_MONTHLY!$C688,TAX!$A$2:$A$3,TAX!$C$2:$C$3)</f>
        <v>0.2</v>
      </c>
      <c r="J688" s="39">
        <f t="array" ref="J688">XLOOKUP(COST_BUY_MONTHLY!$C688,TAX!$A$2:$A$3,TAX!$D$2:$D$3)</f>
        <v>0.1</v>
      </c>
      <c r="K688" s="35">
        <f t="shared" si="2"/>
        <v>981.1872576</v>
      </c>
    </row>
    <row r="689" ht="14.25" customHeight="1">
      <c r="A689" s="33" t="s">
        <v>267</v>
      </c>
      <c r="B689" s="33" t="s">
        <v>80</v>
      </c>
      <c r="C689" s="33" t="s">
        <v>236</v>
      </c>
      <c r="D689" s="35">
        <v>3383.8</v>
      </c>
      <c r="E689" s="33">
        <v>50.0</v>
      </c>
      <c r="F689" s="35">
        <f t="array" ref="F689">IF(C689 ="FOB_JP", XLOOKUP(A689,CONTAINER_COST_MONTH!$A$2:$A$13,CONTAINER_COST_MONTH!$B$2:$B$13), 285)</f>
        <v>3877</v>
      </c>
      <c r="G689" s="35">
        <f t="shared" si="1"/>
        <v>77.54</v>
      </c>
      <c r="H689" s="38">
        <f t="array" ref="H689">XLOOKUP(COST_BUY_MONTHLY!$C689,TAX!$A$2:$A$3,TAX!$B$2:$B$3)</f>
        <v>0.002</v>
      </c>
      <c r="I689" s="39">
        <f t="array" ref="I689">XLOOKUP(COST_BUY_MONTHLY!$C689,TAX!$A$2:$A$3,TAX!$C$2:$C$3)</f>
        <v>0.2</v>
      </c>
      <c r="J689" s="39">
        <f t="array" ref="J689">XLOOKUP(COST_BUY_MONTHLY!$C689,TAX!$A$2:$A$3,TAX!$D$2:$D$3)</f>
        <v>0.1</v>
      </c>
      <c r="K689" s="35">
        <f t="shared" si="2"/>
        <v>4578.106738</v>
      </c>
    </row>
    <row r="690" ht="14.25" customHeight="1">
      <c r="A690" s="33" t="s">
        <v>267</v>
      </c>
      <c r="B690" s="33" t="s">
        <v>82</v>
      </c>
      <c r="C690" s="33" t="s">
        <v>237</v>
      </c>
      <c r="D690" s="35">
        <v>1056.87</v>
      </c>
      <c r="E690" s="33">
        <v>50.0</v>
      </c>
      <c r="F690" s="35">
        <f t="array" ref="F690">IF(C690 ="FOB_JP", XLOOKUP(A690,CONTAINER_COST_MONTH!$A$2:$A$13,CONTAINER_COST_MONTH!$B$2:$B$13), 285)</f>
        <v>285</v>
      </c>
      <c r="G690" s="35">
        <f t="shared" si="1"/>
        <v>5.7</v>
      </c>
      <c r="H690" s="38">
        <f t="array" ref="H690">XLOOKUP(COST_BUY_MONTHLY!$C690,TAX!$A$2:$A$3,TAX!$B$2:$B$3)</f>
        <v>0</v>
      </c>
      <c r="I690" s="39">
        <f t="array" ref="I690">XLOOKUP(COST_BUY_MONTHLY!$C690,TAX!$A$2:$A$3,TAX!$C$2:$C$3)</f>
        <v>0</v>
      </c>
      <c r="J690" s="39">
        <f t="array" ref="J690">XLOOKUP(COST_BUY_MONTHLY!$C690,TAX!$A$2:$A$3,TAX!$D$2:$D$3)</f>
        <v>0.1</v>
      </c>
      <c r="K690" s="35">
        <f t="shared" si="2"/>
        <v>1168.827</v>
      </c>
    </row>
    <row r="691" ht="14.25" customHeight="1">
      <c r="A691" s="33" t="s">
        <v>267</v>
      </c>
      <c r="B691" s="33" t="s">
        <v>84</v>
      </c>
      <c r="C691" s="33" t="s">
        <v>237</v>
      </c>
      <c r="D691" s="35">
        <v>1116.42</v>
      </c>
      <c r="E691" s="33">
        <v>50.0</v>
      </c>
      <c r="F691" s="35">
        <f t="array" ref="F691">IF(C691 ="FOB_JP", XLOOKUP(A691,CONTAINER_COST_MONTH!$A$2:$A$13,CONTAINER_COST_MONTH!$B$2:$B$13), 285)</f>
        <v>285</v>
      </c>
      <c r="G691" s="35">
        <f t="shared" si="1"/>
        <v>5.7</v>
      </c>
      <c r="H691" s="38">
        <f t="array" ref="H691">XLOOKUP(COST_BUY_MONTHLY!$C691,TAX!$A$2:$A$3,TAX!$B$2:$B$3)</f>
        <v>0</v>
      </c>
      <c r="I691" s="39">
        <f t="array" ref="I691">XLOOKUP(COST_BUY_MONTHLY!$C691,TAX!$A$2:$A$3,TAX!$C$2:$C$3)</f>
        <v>0</v>
      </c>
      <c r="J691" s="39">
        <f t="array" ref="J691">XLOOKUP(COST_BUY_MONTHLY!$C691,TAX!$A$2:$A$3,TAX!$D$2:$D$3)</f>
        <v>0.1</v>
      </c>
      <c r="K691" s="35">
        <f t="shared" si="2"/>
        <v>1234.332</v>
      </c>
    </row>
    <row r="692" ht="14.25" customHeight="1">
      <c r="A692" s="33" t="s">
        <v>267</v>
      </c>
      <c r="B692" s="33" t="s">
        <v>86</v>
      </c>
      <c r="C692" s="33" t="s">
        <v>236</v>
      </c>
      <c r="D692" s="35">
        <v>4221.66</v>
      </c>
      <c r="E692" s="33">
        <v>35.0</v>
      </c>
      <c r="F692" s="35">
        <f t="array" ref="F692">IF(C692 ="FOB_JP", XLOOKUP(A692,CONTAINER_COST_MONTH!$A$2:$A$13,CONTAINER_COST_MONTH!$B$2:$B$13), 285)</f>
        <v>3877</v>
      </c>
      <c r="G692" s="35">
        <f t="shared" si="1"/>
        <v>110.7714286</v>
      </c>
      <c r="H692" s="38">
        <f t="array" ref="H692">XLOOKUP(COST_BUY_MONTHLY!$C692,TAX!$A$2:$A$3,TAX!$B$2:$B$3)</f>
        <v>0.002</v>
      </c>
      <c r="I692" s="39">
        <f t="array" ref="I692">XLOOKUP(COST_BUY_MONTHLY!$C692,TAX!$A$2:$A$3,TAX!$C$2:$C$3)</f>
        <v>0.2</v>
      </c>
      <c r="J692" s="39">
        <f t="array" ref="J692">XLOOKUP(COST_BUY_MONTHLY!$C692,TAX!$A$2:$A$3,TAX!$D$2:$D$3)</f>
        <v>0.1</v>
      </c>
      <c r="K692" s="35">
        <f t="shared" si="2"/>
        <v>5730.247105</v>
      </c>
    </row>
    <row r="693" ht="14.25" customHeight="1">
      <c r="A693" s="33" t="s">
        <v>267</v>
      </c>
      <c r="B693" s="33" t="s">
        <v>88</v>
      </c>
      <c r="C693" s="33" t="s">
        <v>236</v>
      </c>
      <c r="D693" s="35">
        <v>6803.82</v>
      </c>
      <c r="E693" s="33">
        <v>35.0</v>
      </c>
      <c r="F693" s="35">
        <f t="array" ref="F693">IF(C693 ="FOB_JP", XLOOKUP(A693,CONTAINER_COST_MONTH!$A$2:$A$13,CONTAINER_COST_MONTH!$B$2:$B$13), 285)</f>
        <v>3877</v>
      </c>
      <c r="G693" s="35">
        <f t="shared" si="1"/>
        <v>110.7714286</v>
      </c>
      <c r="H693" s="38">
        <f t="array" ref="H693">XLOOKUP(COST_BUY_MONTHLY!$C693,TAX!$A$2:$A$3,TAX!$B$2:$B$3)</f>
        <v>0.002</v>
      </c>
      <c r="I693" s="39">
        <f t="array" ref="I693">XLOOKUP(COST_BUY_MONTHLY!$C693,TAX!$A$2:$A$3,TAX!$C$2:$C$3)</f>
        <v>0.2</v>
      </c>
      <c r="J693" s="39">
        <f t="array" ref="J693">XLOOKUP(COST_BUY_MONTHLY!$C693,TAX!$A$2:$A$3,TAX!$D$2:$D$3)</f>
        <v>0.1</v>
      </c>
      <c r="K693" s="35">
        <f t="shared" si="2"/>
        <v>9145.515207</v>
      </c>
    </row>
    <row r="694" ht="14.25" customHeight="1">
      <c r="A694" s="33" t="s">
        <v>267</v>
      </c>
      <c r="B694" s="33" t="s">
        <v>90</v>
      </c>
      <c r="C694" s="33" t="s">
        <v>237</v>
      </c>
      <c r="D694" s="35">
        <v>4065.72</v>
      </c>
      <c r="E694" s="33">
        <v>35.0</v>
      </c>
      <c r="F694" s="35">
        <f t="array" ref="F694">IF(C694 ="FOB_JP", XLOOKUP(A694,CONTAINER_COST_MONTH!$A$2:$A$13,CONTAINER_COST_MONTH!$B$2:$B$13), 285)</f>
        <v>285</v>
      </c>
      <c r="G694" s="35">
        <f t="shared" si="1"/>
        <v>8.142857143</v>
      </c>
      <c r="H694" s="38">
        <f t="array" ref="H694">XLOOKUP(COST_BUY_MONTHLY!$C694,TAX!$A$2:$A$3,TAX!$B$2:$B$3)</f>
        <v>0</v>
      </c>
      <c r="I694" s="39">
        <f t="array" ref="I694">XLOOKUP(COST_BUY_MONTHLY!$C694,TAX!$A$2:$A$3,TAX!$C$2:$C$3)</f>
        <v>0</v>
      </c>
      <c r="J694" s="39">
        <f t="array" ref="J694">XLOOKUP(COST_BUY_MONTHLY!$C694,TAX!$A$2:$A$3,TAX!$D$2:$D$3)</f>
        <v>0.1</v>
      </c>
      <c r="K694" s="35">
        <f t="shared" si="2"/>
        <v>4481.249143</v>
      </c>
    </row>
    <row r="695" ht="14.25" customHeight="1">
      <c r="A695" s="33" t="s">
        <v>267</v>
      </c>
      <c r="B695" s="33" t="s">
        <v>92</v>
      </c>
      <c r="C695" s="33" t="s">
        <v>237</v>
      </c>
      <c r="D695" s="35">
        <v>2298.9</v>
      </c>
      <c r="E695" s="33">
        <v>35.0</v>
      </c>
      <c r="F695" s="35">
        <f t="array" ref="F695">IF(C695 ="FOB_JP", XLOOKUP(A695,CONTAINER_COST_MONTH!$A$2:$A$13,CONTAINER_COST_MONTH!$B$2:$B$13), 285)</f>
        <v>285</v>
      </c>
      <c r="G695" s="35">
        <f t="shared" si="1"/>
        <v>8.142857143</v>
      </c>
      <c r="H695" s="38">
        <f t="array" ref="H695">XLOOKUP(COST_BUY_MONTHLY!$C695,TAX!$A$2:$A$3,TAX!$B$2:$B$3)</f>
        <v>0</v>
      </c>
      <c r="I695" s="39">
        <f t="array" ref="I695">XLOOKUP(COST_BUY_MONTHLY!$C695,TAX!$A$2:$A$3,TAX!$C$2:$C$3)</f>
        <v>0</v>
      </c>
      <c r="J695" s="39">
        <f t="array" ref="J695">XLOOKUP(COST_BUY_MONTHLY!$C695,TAX!$A$2:$A$3,TAX!$D$2:$D$3)</f>
        <v>0.1</v>
      </c>
      <c r="K695" s="35">
        <f t="shared" si="2"/>
        <v>2537.747143</v>
      </c>
    </row>
    <row r="696" ht="14.25" customHeight="1">
      <c r="A696" s="33" t="s">
        <v>267</v>
      </c>
      <c r="B696" s="33" t="s">
        <v>94</v>
      </c>
      <c r="C696" s="33" t="s">
        <v>236</v>
      </c>
      <c r="D696" s="35">
        <v>5824.76</v>
      </c>
      <c r="E696" s="33">
        <v>14.0</v>
      </c>
      <c r="F696" s="35">
        <f t="array" ref="F696">IF(C696 ="FOB_JP", XLOOKUP(A696,CONTAINER_COST_MONTH!$A$2:$A$13,CONTAINER_COST_MONTH!$B$2:$B$13), 285)</f>
        <v>3877</v>
      </c>
      <c r="G696" s="35">
        <f t="shared" si="1"/>
        <v>276.9285714</v>
      </c>
      <c r="H696" s="38">
        <f t="array" ref="H696">XLOOKUP(COST_BUY_MONTHLY!$C696,TAX!$A$2:$A$3,TAX!$B$2:$B$3)</f>
        <v>0.002</v>
      </c>
      <c r="I696" s="39">
        <f t="array" ref="I696">XLOOKUP(COST_BUY_MONTHLY!$C696,TAX!$A$2:$A$3,TAX!$C$2:$C$3)</f>
        <v>0.2</v>
      </c>
      <c r="J696" s="39">
        <f t="array" ref="J696">XLOOKUP(COST_BUY_MONTHLY!$C696,TAX!$A$2:$A$3,TAX!$D$2:$D$3)</f>
        <v>0.1</v>
      </c>
      <c r="K696" s="35">
        <f t="shared" si="2"/>
        <v>8070.337372</v>
      </c>
    </row>
    <row r="697" ht="14.25" customHeight="1">
      <c r="A697" s="33" t="s">
        <v>267</v>
      </c>
      <c r="B697" s="33" t="s">
        <v>96</v>
      </c>
      <c r="C697" s="33" t="s">
        <v>236</v>
      </c>
      <c r="D697" s="35">
        <v>5200.72</v>
      </c>
      <c r="E697" s="33">
        <v>35.0</v>
      </c>
      <c r="F697" s="35">
        <f t="array" ref="F697">IF(C697 ="FOB_JP", XLOOKUP(A697,CONTAINER_COST_MONTH!$A$2:$A$13,CONTAINER_COST_MONTH!$B$2:$B$13), 285)</f>
        <v>3877</v>
      </c>
      <c r="G697" s="35">
        <f t="shared" si="1"/>
        <v>110.7714286</v>
      </c>
      <c r="H697" s="38">
        <f t="array" ref="H697">XLOOKUP(COST_BUY_MONTHLY!$C697,TAX!$A$2:$A$3,TAX!$B$2:$B$3)</f>
        <v>0.002</v>
      </c>
      <c r="I697" s="39">
        <f t="array" ref="I697">XLOOKUP(COST_BUY_MONTHLY!$C697,TAX!$A$2:$A$3,TAX!$C$2:$C$3)</f>
        <v>0.2</v>
      </c>
      <c r="J697" s="39">
        <f t="array" ref="J697">XLOOKUP(COST_BUY_MONTHLY!$C697,TAX!$A$2:$A$3,TAX!$D$2:$D$3)</f>
        <v>0.1</v>
      </c>
      <c r="K697" s="35">
        <f t="shared" si="2"/>
        <v>7025.191023</v>
      </c>
    </row>
    <row r="698" ht="14.25" customHeight="1">
      <c r="A698" s="33" t="s">
        <v>267</v>
      </c>
      <c r="B698" s="33" t="s">
        <v>98</v>
      </c>
      <c r="C698" s="33" t="s">
        <v>236</v>
      </c>
      <c r="D698" s="35">
        <v>8465.36</v>
      </c>
      <c r="E698" s="33">
        <v>35.0</v>
      </c>
      <c r="F698" s="35">
        <f t="array" ref="F698">IF(C698 ="FOB_JP", XLOOKUP(A698,CONTAINER_COST_MONTH!$A$2:$A$13,CONTAINER_COST_MONTH!$B$2:$B$13), 285)</f>
        <v>3877</v>
      </c>
      <c r="G698" s="35">
        <f t="shared" si="1"/>
        <v>110.7714286</v>
      </c>
      <c r="H698" s="38">
        <f t="array" ref="H698">XLOOKUP(COST_BUY_MONTHLY!$C698,TAX!$A$2:$A$3,TAX!$B$2:$B$3)</f>
        <v>0.002</v>
      </c>
      <c r="I698" s="39">
        <f t="array" ref="I698">XLOOKUP(COST_BUY_MONTHLY!$C698,TAX!$A$2:$A$3,TAX!$C$2:$C$3)</f>
        <v>0.2</v>
      </c>
      <c r="J698" s="39">
        <f t="array" ref="J698">XLOOKUP(COST_BUY_MONTHLY!$C698,TAX!$A$2:$A$3,TAX!$D$2:$D$3)</f>
        <v>0.1</v>
      </c>
      <c r="K698" s="35">
        <f t="shared" si="2"/>
        <v>11343.13447</v>
      </c>
    </row>
    <row r="699" ht="14.25" customHeight="1">
      <c r="A699" s="33" t="s">
        <v>267</v>
      </c>
      <c r="B699" s="33" t="s">
        <v>100</v>
      </c>
      <c r="C699" s="33" t="s">
        <v>236</v>
      </c>
      <c r="D699" s="35">
        <v>2560.12</v>
      </c>
      <c r="E699" s="33">
        <v>35.0</v>
      </c>
      <c r="F699" s="35">
        <f t="array" ref="F699">IF(C699 ="FOB_JP", XLOOKUP(A699,CONTAINER_COST_MONTH!$A$2:$A$13,CONTAINER_COST_MONTH!$B$2:$B$13), 285)</f>
        <v>3877</v>
      </c>
      <c r="G699" s="35">
        <f t="shared" si="1"/>
        <v>110.7714286</v>
      </c>
      <c r="H699" s="38">
        <f t="array" ref="H699">XLOOKUP(COST_BUY_MONTHLY!$C699,TAX!$A$2:$A$3,TAX!$B$2:$B$3)</f>
        <v>0.002</v>
      </c>
      <c r="I699" s="39">
        <f t="array" ref="I699">XLOOKUP(COST_BUY_MONTHLY!$C699,TAX!$A$2:$A$3,TAX!$C$2:$C$3)</f>
        <v>0.2</v>
      </c>
      <c r="J699" s="39">
        <f t="array" ref="J699">XLOOKUP(COST_BUY_MONTHLY!$C699,TAX!$A$2:$A$3,TAX!$D$2:$D$3)</f>
        <v>0.1</v>
      </c>
      <c r="K699" s="35">
        <f t="shared" si="2"/>
        <v>3532.627839</v>
      </c>
    </row>
    <row r="700" ht="14.25" customHeight="1">
      <c r="A700" s="33" t="s">
        <v>267</v>
      </c>
      <c r="B700" s="33" t="s">
        <v>102</v>
      </c>
      <c r="C700" s="33" t="s">
        <v>237</v>
      </c>
      <c r="D700" s="35">
        <v>2395.64</v>
      </c>
      <c r="E700" s="33">
        <v>35.0</v>
      </c>
      <c r="F700" s="35">
        <f t="array" ref="F700">IF(C700 ="FOB_JP", XLOOKUP(A700,CONTAINER_COST_MONTH!$A$2:$A$13,CONTAINER_COST_MONTH!$B$2:$B$13), 285)</f>
        <v>285</v>
      </c>
      <c r="G700" s="35">
        <f t="shared" si="1"/>
        <v>8.142857143</v>
      </c>
      <c r="H700" s="38">
        <f t="array" ref="H700">XLOOKUP(COST_BUY_MONTHLY!$C700,TAX!$A$2:$A$3,TAX!$B$2:$B$3)</f>
        <v>0</v>
      </c>
      <c r="I700" s="39">
        <f t="array" ref="I700">XLOOKUP(COST_BUY_MONTHLY!$C700,TAX!$A$2:$A$3,TAX!$C$2:$C$3)</f>
        <v>0</v>
      </c>
      <c r="J700" s="39">
        <f t="array" ref="J700">XLOOKUP(COST_BUY_MONTHLY!$C700,TAX!$A$2:$A$3,TAX!$D$2:$D$3)</f>
        <v>0.1</v>
      </c>
      <c r="K700" s="35">
        <f t="shared" si="2"/>
        <v>2644.161143</v>
      </c>
    </row>
    <row r="701" ht="14.25" customHeight="1">
      <c r="A701" s="33" t="s">
        <v>267</v>
      </c>
      <c r="B701" s="33" t="s">
        <v>104</v>
      </c>
      <c r="C701" s="33" t="s">
        <v>237</v>
      </c>
      <c r="D701" s="35">
        <v>3968.98</v>
      </c>
      <c r="E701" s="33">
        <v>35.0</v>
      </c>
      <c r="F701" s="35">
        <f t="array" ref="F701">IF(C701 ="FOB_JP", XLOOKUP(A701,CONTAINER_COST_MONTH!$A$2:$A$13,CONTAINER_COST_MONTH!$B$2:$B$13), 285)</f>
        <v>285</v>
      </c>
      <c r="G701" s="35">
        <f t="shared" si="1"/>
        <v>8.142857143</v>
      </c>
      <c r="H701" s="38">
        <f t="array" ref="H701">XLOOKUP(COST_BUY_MONTHLY!$C701,TAX!$A$2:$A$3,TAX!$B$2:$B$3)</f>
        <v>0</v>
      </c>
      <c r="I701" s="39">
        <f t="array" ref="I701">XLOOKUP(COST_BUY_MONTHLY!$C701,TAX!$A$2:$A$3,TAX!$C$2:$C$3)</f>
        <v>0</v>
      </c>
      <c r="J701" s="39">
        <f t="array" ref="J701">XLOOKUP(COST_BUY_MONTHLY!$C701,TAX!$A$2:$A$3,TAX!$D$2:$D$3)</f>
        <v>0.1</v>
      </c>
      <c r="K701" s="35">
        <f t="shared" si="2"/>
        <v>4374.835143</v>
      </c>
    </row>
    <row r="702" ht="14.25" customHeight="1">
      <c r="A702" s="33" t="s">
        <v>267</v>
      </c>
      <c r="B702" s="33" t="s">
        <v>106</v>
      </c>
      <c r="C702" s="33" t="s">
        <v>236</v>
      </c>
      <c r="D702" s="35">
        <v>3818.27</v>
      </c>
      <c r="E702" s="33">
        <v>50.0</v>
      </c>
      <c r="F702" s="35">
        <f t="array" ref="F702">IF(C702 ="FOB_JP", XLOOKUP(A702,CONTAINER_COST_MONTH!$A$2:$A$13,CONTAINER_COST_MONTH!$B$2:$B$13), 285)</f>
        <v>3877</v>
      </c>
      <c r="G702" s="35">
        <f t="shared" si="1"/>
        <v>77.54</v>
      </c>
      <c r="H702" s="38">
        <f t="array" ref="H702">XLOOKUP(COST_BUY_MONTHLY!$C702,TAX!$A$2:$A$3,TAX!$B$2:$B$3)</f>
        <v>0.002</v>
      </c>
      <c r="I702" s="39">
        <f t="array" ref="I702">XLOOKUP(COST_BUY_MONTHLY!$C702,TAX!$A$2:$A$3,TAX!$C$2:$C$3)</f>
        <v>0.2</v>
      </c>
      <c r="J702" s="39">
        <f t="array" ref="J702">XLOOKUP(COST_BUY_MONTHLY!$C702,TAX!$A$2:$A$3,TAX!$D$2:$D$3)</f>
        <v>0.1</v>
      </c>
      <c r="K702" s="35">
        <f t="shared" si="2"/>
        <v>5152.754138</v>
      </c>
    </row>
    <row r="703" ht="14.25" customHeight="1">
      <c r="A703" s="33" t="s">
        <v>267</v>
      </c>
      <c r="B703" s="33" t="s">
        <v>108</v>
      </c>
      <c r="C703" s="33" t="s">
        <v>236</v>
      </c>
      <c r="D703" s="35">
        <v>1759.11</v>
      </c>
      <c r="E703" s="33">
        <v>50.0</v>
      </c>
      <c r="F703" s="35">
        <f t="array" ref="F703">IF(C703 ="FOB_JP", XLOOKUP(A703,CONTAINER_COST_MONTH!$A$2:$A$13,CONTAINER_COST_MONTH!$B$2:$B$13), 285)</f>
        <v>3877</v>
      </c>
      <c r="G703" s="35">
        <f t="shared" si="1"/>
        <v>77.54</v>
      </c>
      <c r="H703" s="38">
        <f t="array" ref="H703">XLOOKUP(COST_BUY_MONTHLY!$C703,TAX!$A$2:$A$3,TAX!$B$2:$B$3)</f>
        <v>0.002</v>
      </c>
      <c r="I703" s="39">
        <f t="array" ref="I703">XLOOKUP(COST_BUY_MONTHLY!$C703,TAX!$A$2:$A$3,TAX!$C$2:$C$3)</f>
        <v>0.2</v>
      </c>
      <c r="J703" s="39">
        <f t="array" ref="J703">XLOOKUP(COST_BUY_MONTHLY!$C703,TAX!$A$2:$A$3,TAX!$D$2:$D$3)</f>
        <v>0.1</v>
      </c>
      <c r="K703" s="35">
        <f t="shared" si="2"/>
        <v>2429.226756</v>
      </c>
    </row>
    <row r="704" ht="14.25" customHeight="1">
      <c r="A704" s="33" t="s">
        <v>267</v>
      </c>
      <c r="B704" s="33" t="s">
        <v>110</v>
      </c>
      <c r="C704" s="33" t="s">
        <v>237</v>
      </c>
      <c r="D704" s="35">
        <v>1351.63</v>
      </c>
      <c r="E704" s="33">
        <v>50.0</v>
      </c>
      <c r="F704" s="35">
        <f t="array" ref="F704">IF(C704 ="FOB_JP", XLOOKUP(A704,CONTAINER_COST_MONTH!$A$2:$A$13,CONTAINER_COST_MONTH!$B$2:$B$13), 285)</f>
        <v>285</v>
      </c>
      <c r="G704" s="35">
        <f t="shared" si="1"/>
        <v>5.7</v>
      </c>
      <c r="H704" s="38">
        <f t="array" ref="H704">XLOOKUP(COST_BUY_MONTHLY!$C704,TAX!$A$2:$A$3,TAX!$B$2:$B$3)</f>
        <v>0</v>
      </c>
      <c r="I704" s="39">
        <f t="array" ref="I704">XLOOKUP(COST_BUY_MONTHLY!$C704,TAX!$A$2:$A$3,TAX!$C$2:$C$3)</f>
        <v>0</v>
      </c>
      <c r="J704" s="39">
        <f t="array" ref="J704">XLOOKUP(COST_BUY_MONTHLY!$C704,TAX!$A$2:$A$3,TAX!$D$2:$D$3)</f>
        <v>0.1</v>
      </c>
      <c r="K704" s="35">
        <f t="shared" si="2"/>
        <v>1493.063</v>
      </c>
    </row>
    <row r="705" ht="14.25" customHeight="1">
      <c r="A705" s="33" t="s">
        <v>267</v>
      </c>
      <c r="B705" s="33" t="s">
        <v>112</v>
      </c>
      <c r="C705" s="33" t="s">
        <v>237</v>
      </c>
      <c r="D705" s="35">
        <v>1642.68</v>
      </c>
      <c r="E705" s="33">
        <v>50.0</v>
      </c>
      <c r="F705" s="35">
        <f t="array" ref="F705">IF(C705 ="FOB_JP", XLOOKUP(A705,CONTAINER_COST_MONTH!$A$2:$A$13,CONTAINER_COST_MONTH!$B$2:$B$13), 285)</f>
        <v>285</v>
      </c>
      <c r="G705" s="35">
        <f t="shared" si="1"/>
        <v>5.7</v>
      </c>
      <c r="H705" s="38">
        <f t="array" ref="H705">XLOOKUP(COST_BUY_MONTHLY!$C705,TAX!$A$2:$A$3,TAX!$B$2:$B$3)</f>
        <v>0</v>
      </c>
      <c r="I705" s="39">
        <f t="array" ref="I705">XLOOKUP(COST_BUY_MONTHLY!$C705,TAX!$A$2:$A$3,TAX!$C$2:$C$3)</f>
        <v>0</v>
      </c>
      <c r="J705" s="39">
        <f t="array" ref="J705">XLOOKUP(COST_BUY_MONTHLY!$C705,TAX!$A$2:$A$3,TAX!$D$2:$D$3)</f>
        <v>0.1</v>
      </c>
      <c r="K705" s="35">
        <f t="shared" si="2"/>
        <v>1813.218</v>
      </c>
    </row>
    <row r="706" ht="14.25" customHeight="1">
      <c r="A706" s="33" t="s">
        <v>267</v>
      </c>
      <c r="B706" s="33" t="s">
        <v>114</v>
      </c>
      <c r="C706" s="33" t="s">
        <v>236</v>
      </c>
      <c r="D706" s="35">
        <v>4859.01</v>
      </c>
      <c r="E706" s="33">
        <v>20.0</v>
      </c>
      <c r="F706" s="35">
        <f t="array" ref="F706">IF(C706 ="FOB_JP", XLOOKUP(A706,CONTAINER_COST_MONTH!$A$2:$A$13,CONTAINER_COST_MONTH!$B$2:$B$13), 285)</f>
        <v>3877</v>
      </c>
      <c r="G706" s="35">
        <f t="shared" si="1"/>
        <v>193.85</v>
      </c>
      <c r="H706" s="38">
        <f t="array" ref="H706">XLOOKUP(COST_BUY_MONTHLY!$C706,TAX!$A$2:$A$3,TAX!$B$2:$B$3)</f>
        <v>0.002</v>
      </c>
      <c r="I706" s="39">
        <f t="array" ref="I706">XLOOKUP(COST_BUY_MONTHLY!$C706,TAX!$A$2:$A$3,TAX!$C$2:$C$3)</f>
        <v>0.2</v>
      </c>
      <c r="J706" s="39">
        <f t="array" ref="J706">XLOOKUP(COST_BUY_MONTHLY!$C706,TAX!$A$2:$A$3,TAX!$D$2:$D$3)</f>
        <v>0.1</v>
      </c>
      <c r="K706" s="35">
        <f t="shared" si="2"/>
        <v>6683.11475</v>
      </c>
    </row>
    <row r="707" ht="14.25" customHeight="1">
      <c r="A707" s="33" t="s">
        <v>267</v>
      </c>
      <c r="B707" s="33" t="s">
        <v>116</v>
      </c>
      <c r="C707" s="33" t="s">
        <v>236</v>
      </c>
      <c r="D707" s="35">
        <v>718.36</v>
      </c>
      <c r="E707" s="33">
        <v>50.0</v>
      </c>
      <c r="F707" s="35">
        <f t="array" ref="F707">IF(C707 ="FOB_JP", XLOOKUP(A707,CONTAINER_COST_MONTH!$A$2:$A$13,CONTAINER_COST_MONTH!$B$2:$B$13), 285)</f>
        <v>3877</v>
      </c>
      <c r="G707" s="35">
        <f t="shared" si="1"/>
        <v>77.54</v>
      </c>
      <c r="H707" s="38">
        <f t="array" ref="H707">XLOOKUP(COST_BUY_MONTHLY!$C707,TAX!$A$2:$A$3,TAX!$B$2:$B$3)</f>
        <v>0.002</v>
      </c>
      <c r="I707" s="39">
        <f t="array" ref="I707">XLOOKUP(COST_BUY_MONTHLY!$C707,TAX!$A$2:$A$3,TAX!$C$2:$C$3)</f>
        <v>0.2</v>
      </c>
      <c r="J707" s="39">
        <f t="array" ref="J707">XLOOKUP(COST_BUY_MONTHLY!$C707,TAX!$A$2:$A$3,TAX!$D$2:$D$3)</f>
        <v>0.1</v>
      </c>
      <c r="K707" s="35">
        <f t="shared" si="2"/>
        <v>1052.689176</v>
      </c>
    </row>
    <row r="708" ht="14.25" customHeight="1">
      <c r="A708" s="33" t="s">
        <v>267</v>
      </c>
      <c r="B708" s="33" t="s">
        <v>118</v>
      </c>
      <c r="C708" s="33" t="s">
        <v>236</v>
      </c>
      <c r="D708" s="35">
        <v>2169.04</v>
      </c>
      <c r="E708" s="33">
        <v>50.0</v>
      </c>
      <c r="F708" s="35">
        <f t="array" ref="F708">IF(C708 ="FOB_JP", XLOOKUP(A708,CONTAINER_COST_MONTH!$A$2:$A$13,CONTAINER_COST_MONTH!$B$2:$B$13), 285)</f>
        <v>3877</v>
      </c>
      <c r="G708" s="35">
        <f t="shared" si="1"/>
        <v>77.54</v>
      </c>
      <c r="H708" s="38">
        <f t="array" ref="H708">XLOOKUP(COST_BUY_MONTHLY!$C708,TAX!$A$2:$A$3,TAX!$B$2:$B$3)</f>
        <v>0.002</v>
      </c>
      <c r="I708" s="39">
        <f t="array" ref="I708">XLOOKUP(COST_BUY_MONTHLY!$C708,TAX!$A$2:$A$3,TAX!$C$2:$C$3)</f>
        <v>0.2</v>
      </c>
      <c r="J708" s="39">
        <f t="array" ref="J708">XLOOKUP(COST_BUY_MONTHLY!$C708,TAX!$A$2:$A$3,TAX!$D$2:$D$3)</f>
        <v>0.1</v>
      </c>
      <c r="K708" s="35">
        <f t="shared" si="2"/>
        <v>2971.416571</v>
      </c>
    </row>
    <row r="709" ht="14.25" customHeight="1">
      <c r="A709" s="33" t="s">
        <v>267</v>
      </c>
      <c r="B709" s="33" t="s">
        <v>120</v>
      </c>
      <c r="C709" s="33" t="s">
        <v>236</v>
      </c>
      <c r="D709" s="35">
        <v>3408.33</v>
      </c>
      <c r="E709" s="33">
        <v>50.0</v>
      </c>
      <c r="F709" s="35">
        <f t="array" ref="F709">IF(C709 ="FOB_JP", XLOOKUP(A709,CONTAINER_COST_MONTH!$A$2:$A$13,CONTAINER_COST_MONTH!$B$2:$B$13), 285)</f>
        <v>3877</v>
      </c>
      <c r="G709" s="35">
        <f t="shared" si="1"/>
        <v>77.54</v>
      </c>
      <c r="H709" s="38">
        <f t="array" ref="H709">XLOOKUP(COST_BUY_MONTHLY!$C709,TAX!$A$2:$A$3,TAX!$B$2:$B$3)</f>
        <v>0.002</v>
      </c>
      <c r="I709" s="39">
        <f t="array" ref="I709">XLOOKUP(COST_BUY_MONTHLY!$C709,TAX!$A$2:$A$3,TAX!$C$2:$C$3)</f>
        <v>0.2</v>
      </c>
      <c r="J709" s="39">
        <f t="array" ref="J709">XLOOKUP(COST_BUY_MONTHLY!$C709,TAX!$A$2:$A$3,TAX!$D$2:$D$3)</f>
        <v>0.1</v>
      </c>
      <c r="K709" s="35">
        <f t="shared" si="2"/>
        <v>4610.551097</v>
      </c>
    </row>
    <row r="710" ht="14.25" customHeight="1">
      <c r="A710" s="33" t="s">
        <v>267</v>
      </c>
      <c r="B710" s="33" t="s">
        <v>122</v>
      </c>
      <c r="C710" s="33" t="s">
        <v>237</v>
      </c>
      <c r="D710" s="35">
        <v>647.07</v>
      </c>
      <c r="E710" s="33">
        <v>50.0</v>
      </c>
      <c r="F710" s="35">
        <f t="array" ref="F710">IF(C710 ="FOB_JP", XLOOKUP(A710,CONTAINER_COST_MONTH!$A$2:$A$13,CONTAINER_COST_MONTH!$B$2:$B$13), 285)</f>
        <v>285</v>
      </c>
      <c r="G710" s="35">
        <f t="shared" si="1"/>
        <v>5.7</v>
      </c>
      <c r="H710" s="38">
        <f t="array" ref="H710">XLOOKUP(COST_BUY_MONTHLY!$C710,TAX!$A$2:$A$3,TAX!$B$2:$B$3)</f>
        <v>0</v>
      </c>
      <c r="I710" s="39">
        <f t="array" ref="I710">XLOOKUP(COST_BUY_MONTHLY!$C710,TAX!$A$2:$A$3,TAX!$C$2:$C$3)</f>
        <v>0</v>
      </c>
      <c r="J710" s="39">
        <f t="array" ref="J710">XLOOKUP(COST_BUY_MONTHLY!$C710,TAX!$A$2:$A$3,TAX!$D$2:$D$3)</f>
        <v>0.1</v>
      </c>
      <c r="K710" s="35">
        <f t="shared" si="2"/>
        <v>718.047</v>
      </c>
    </row>
    <row r="711" ht="14.25" customHeight="1">
      <c r="A711" s="33" t="s">
        <v>267</v>
      </c>
      <c r="B711" s="33" t="s">
        <v>124</v>
      </c>
      <c r="C711" s="33" t="s">
        <v>237</v>
      </c>
      <c r="D711" s="35">
        <v>2347.24</v>
      </c>
      <c r="E711" s="33">
        <v>50.0</v>
      </c>
      <c r="F711" s="35">
        <f t="array" ref="F711">IF(C711 ="FOB_JP", XLOOKUP(A711,CONTAINER_COST_MONTH!$A$2:$A$13,CONTAINER_COST_MONTH!$B$2:$B$13), 285)</f>
        <v>285</v>
      </c>
      <c r="G711" s="35">
        <f t="shared" si="1"/>
        <v>5.7</v>
      </c>
      <c r="H711" s="38">
        <f t="array" ref="H711">XLOOKUP(COST_BUY_MONTHLY!$C711,TAX!$A$2:$A$3,TAX!$B$2:$B$3)</f>
        <v>0</v>
      </c>
      <c r="I711" s="39">
        <f t="array" ref="I711">XLOOKUP(COST_BUY_MONTHLY!$C711,TAX!$A$2:$A$3,TAX!$C$2:$C$3)</f>
        <v>0</v>
      </c>
      <c r="J711" s="39">
        <f t="array" ref="J711">XLOOKUP(COST_BUY_MONTHLY!$C711,TAX!$A$2:$A$3,TAX!$D$2:$D$3)</f>
        <v>0.1</v>
      </c>
      <c r="K711" s="35">
        <f t="shared" si="2"/>
        <v>2588.234</v>
      </c>
    </row>
    <row r="712" ht="14.25" customHeight="1">
      <c r="A712" s="33" t="s">
        <v>267</v>
      </c>
      <c r="B712" s="33" t="s">
        <v>126</v>
      </c>
      <c r="C712" s="33" t="s">
        <v>236</v>
      </c>
      <c r="D712" s="35">
        <v>3638.25</v>
      </c>
      <c r="E712" s="33">
        <v>35.0</v>
      </c>
      <c r="F712" s="35">
        <f t="array" ref="F712">IF(C712 ="FOB_JP", XLOOKUP(A712,CONTAINER_COST_MONTH!$A$2:$A$13,CONTAINER_COST_MONTH!$B$2:$B$13), 285)</f>
        <v>3877</v>
      </c>
      <c r="G712" s="35">
        <f t="shared" si="1"/>
        <v>110.7714286</v>
      </c>
      <c r="H712" s="38">
        <f t="array" ref="H712">XLOOKUP(COST_BUY_MONTHLY!$C712,TAX!$A$2:$A$3,TAX!$B$2:$B$3)</f>
        <v>0.002</v>
      </c>
      <c r="I712" s="39">
        <f t="array" ref="I712">XLOOKUP(COST_BUY_MONTHLY!$C712,TAX!$A$2:$A$3,TAX!$C$2:$C$3)</f>
        <v>0.2</v>
      </c>
      <c r="J712" s="39">
        <f t="array" ref="J712">XLOOKUP(COST_BUY_MONTHLY!$C712,TAX!$A$2:$A$3,TAX!$D$2:$D$3)</f>
        <v>0.1</v>
      </c>
      <c r="K712" s="35">
        <f t="shared" si="2"/>
        <v>4958.605702</v>
      </c>
    </row>
    <row r="713" ht="14.25" customHeight="1">
      <c r="A713" s="33" t="s">
        <v>267</v>
      </c>
      <c r="B713" s="33" t="s">
        <v>128</v>
      </c>
      <c r="C713" s="33" t="s">
        <v>236</v>
      </c>
      <c r="D713" s="35">
        <v>5005.73</v>
      </c>
      <c r="E713" s="33">
        <v>35.0</v>
      </c>
      <c r="F713" s="35">
        <f t="array" ref="F713">IF(C713 ="FOB_JP", XLOOKUP(A713,CONTAINER_COST_MONTH!$A$2:$A$13,CONTAINER_COST_MONTH!$B$2:$B$13), 285)</f>
        <v>3877</v>
      </c>
      <c r="G713" s="35">
        <f t="shared" si="1"/>
        <v>110.7714286</v>
      </c>
      <c r="H713" s="38">
        <f t="array" ref="H713">XLOOKUP(COST_BUY_MONTHLY!$C713,TAX!$A$2:$A$3,TAX!$B$2:$B$3)</f>
        <v>0.002</v>
      </c>
      <c r="I713" s="39">
        <f t="array" ref="I713">XLOOKUP(COST_BUY_MONTHLY!$C713,TAX!$A$2:$A$3,TAX!$C$2:$C$3)</f>
        <v>0.2</v>
      </c>
      <c r="J713" s="39">
        <f t="array" ref="J713">XLOOKUP(COST_BUY_MONTHLY!$C713,TAX!$A$2:$A$3,TAX!$D$2:$D$3)</f>
        <v>0.1</v>
      </c>
      <c r="K713" s="35">
        <f t="shared" si="2"/>
        <v>6767.289449</v>
      </c>
    </row>
    <row r="714" ht="14.25" customHeight="1">
      <c r="A714" s="33" t="s">
        <v>267</v>
      </c>
      <c r="B714" s="33" t="s">
        <v>130</v>
      </c>
      <c r="C714" s="33" t="s">
        <v>237</v>
      </c>
      <c r="D714" s="35">
        <v>3760.36</v>
      </c>
      <c r="E714" s="33">
        <v>35.0</v>
      </c>
      <c r="F714" s="35">
        <f t="array" ref="F714">IF(C714 ="FOB_JP", XLOOKUP(A714,CONTAINER_COST_MONTH!$A$2:$A$13,CONTAINER_COST_MONTH!$B$2:$B$13), 285)</f>
        <v>285</v>
      </c>
      <c r="G714" s="35">
        <f t="shared" si="1"/>
        <v>8.142857143</v>
      </c>
      <c r="H714" s="38">
        <f t="array" ref="H714">XLOOKUP(COST_BUY_MONTHLY!$C714,TAX!$A$2:$A$3,TAX!$B$2:$B$3)</f>
        <v>0</v>
      </c>
      <c r="I714" s="39">
        <f t="array" ref="I714">XLOOKUP(COST_BUY_MONTHLY!$C714,TAX!$A$2:$A$3,TAX!$C$2:$C$3)</f>
        <v>0</v>
      </c>
      <c r="J714" s="39">
        <f t="array" ref="J714">XLOOKUP(COST_BUY_MONTHLY!$C714,TAX!$A$2:$A$3,TAX!$D$2:$D$3)</f>
        <v>0.1</v>
      </c>
      <c r="K714" s="35">
        <f t="shared" si="2"/>
        <v>4145.353143</v>
      </c>
    </row>
    <row r="715" ht="14.25" customHeight="1">
      <c r="A715" s="33" t="s">
        <v>267</v>
      </c>
      <c r="B715" s="33" t="s">
        <v>132</v>
      </c>
      <c r="C715" s="33" t="s">
        <v>237</v>
      </c>
      <c r="D715" s="35">
        <v>1229.5</v>
      </c>
      <c r="E715" s="33">
        <v>35.0</v>
      </c>
      <c r="F715" s="35">
        <f t="array" ref="F715">IF(C715 ="FOB_JP", XLOOKUP(A715,CONTAINER_COST_MONTH!$A$2:$A$13,CONTAINER_COST_MONTH!$B$2:$B$13), 285)</f>
        <v>285</v>
      </c>
      <c r="G715" s="35">
        <f t="shared" si="1"/>
        <v>8.142857143</v>
      </c>
      <c r="H715" s="38">
        <f t="array" ref="H715">XLOOKUP(COST_BUY_MONTHLY!$C715,TAX!$A$2:$A$3,TAX!$B$2:$B$3)</f>
        <v>0</v>
      </c>
      <c r="I715" s="39">
        <f t="array" ref="I715">XLOOKUP(COST_BUY_MONTHLY!$C715,TAX!$A$2:$A$3,TAX!$C$2:$C$3)</f>
        <v>0</v>
      </c>
      <c r="J715" s="39">
        <f t="array" ref="J715">XLOOKUP(COST_BUY_MONTHLY!$C715,TAX!$A$2:$A$3,TAX!$D$2:$D$3)</f>
        <v>0.1</v>
      </c>
      <c r="K715" s="35">
        <f t="shared" si="2"/>
        <v>1361.407143</v>
      </c>
    </row>
    <row r="716" ht="14.25" customHeight="1">
      <c r="A716" s="33" t="s">
        <v>267</v>
      </c>
      <c r="B716" s="33" t="s">
        <v>134</v>
      </c>
      <c r="C716" s="33" t="s">
        <v>236</v>
      </c>
      <c r="D716" s="35">
        <v>4169.85</v>
      </c>
      <c r="E716" s="33">
        <v>14.0</v>
      </c>
      <c r="F716" s="35">
        <f t="array" ref="F716">IF(C716 ="FOB_JP", XLOOKUP(A716,CONTAINER_COST_MONTH!$A$2:$A$13,CONTAINER_COST_MONTH!$B$2:$B$13), 285)</f>
        <v>3877</v>
      </c>
      <c r="G716" s="35">
        <f t="shared" si="1"/>
        <v>276.9285714</v>
      </c>
      <c r="H716" s="38">
        <f t="array" ref="H716">XLOOKUP(COST_BUY_MONTHLY!$C716,TAX!$A$2:$A$3,TAX!$B$2:$B$3)</f>
        <v>0.002</v>
      </c>
      <c r="I716" s="39">
        <f t="array" ref="I716">XLOOKUP(COST_BUY_MONTHLY!$C716,TAX!$A$2:$A$3,TAX!$C$2:$C$3)</f>
        <v>0.2</v>
      </c>
      <c r="J716" s="39">
        <f t="array" ref="J716">XLOOKUP(COST_BUY_MONTHLY!$C716,TAX!$A$2:$A$3,TAX!$D$2:$D$3)</f>
        <v>0.1</v>
      </c>
      <c r="K716" s="35">
        <f t="shared" si="2"/>
        <v>5881.48721</v>
      </c>
    </row>
    <row r="717" ht="14.25" customHeight="1">
      <c r="A717" s="33" t="s">
        <v>267</v>
      </c>
      <c r="B717" s="33" t="s">
        <v>136</v>
      </c>
      <c r="C717" s="33" t="s">
        <v>236</v>
      </c>
      <c r="D717" s="35">
        <v>4474.12</v>
      </c>
      <c r="E717" s="33">
        <v>35.0</v>
      </c>
      <c r="F717" s="35">
        <f t="array" ref="F717">IF(C717 ="FOB_JP", XLOOKUP(A717,CONTAINER_COST_MONTH!$A$2:$A$13,CONTAINER_COST_MONTH!$B$2:$B$13), 285)</f>
        <v>3877</v>
      </c>
      <c r="G717" s="35">
        <f t="shared" si="1"/>
        <v>110.7714286</v>
      </c>
      <c r="H717" s="38">
        <f t="array" ref="H717">XLOOKUP(COST_BUY_MONTHLY!$C717,TAX!$A$2:$A$3,TAX!$B$2:$B$3)</f>
        <v>0.002</v>
      </c>
      <c r="I717" s="39">
        <f t="array" ref="I717">XLOOKUP(COST_BUY_MONTHLY!$C717,TAX!$A$2:$A$3,TAX!$C$2:$C$3)</f>
        <v>0.2</v>
      </c>
      <c r="J717" s="39">
        <f t="array" ref="J717">XLOOKUP(COST_BUY_MONTHLY!$C717,TAX!$A$2:$A$3,TAX!$D$2:$D$3)</f>
        <v>0.1</v>
      </c>
      <c r="K717" s="35">
        <f t="shared" si="2"/>
        <v>6064.160799</v>
      </c>
    </row>
    <row r="718" ht="14.25" customHeight="1">
      <c r="A718" s="33" t="s">
        <v>267</v>
      </c>
      <c r="B718" s="33" t="s">
        <v>138</v>
      </c>
      <c r="C718" s="33" t="s">
        <v>236</v>
      </c>
      <c r="D718" s="35">
        <v>1857.59</v>
      </c>
      <c r="E718" s="33">
        <v>35.0</v>
      </c>
      <c r="F718" s="35">
        <f t="array" ref="F718">IF(C718 ="FOB_JP", XLOOKUP(A718,CONTAINER_COST_MONTH!$A$2:$A$13,CONTAINER_COST_MONTH!$B$2:$B$13), 285)</f>
        <v>3877</v>
      </c>
      <c r="G718" s="35">
        <f t="shared" si="1"/>
        <v>110.7714286</v>
      </c>
      <c r="H718" s="38">
        <f t="array" ref="H718">XLOOKUP(COST_BUY_MONTHLY!$C718,TAX!$A$2:$A$3,TAX!$B$2:$B$3)</f>
        <v>0.002</v>
      </c>
      <c r="I718" s="39">
        <f t="array" ref="I718">XLOOKUP(COST_BUY_MONTHLY!$C718,TAX!$A$2:$A$3,TAX!$C$2:$C$3)</f>
        <v>0.2</v>
      </c>
      <c r="J718" s="39">
        <f t="array" ref="J718">XLOOKUP(COST_BUY_MONTHLY!$C718,TAX!$A$2:$A$3,TAX!$D$2:$D$3)</f>
        <v>0.1</v>
      </c>
      <c r="K718" s="35">
        <f t="shared" si="2"/>
        <v>2603.43356</v>
      </c>
    </row>
    <row r="719" ht="14.25" customHeight="1">
      <c r="A719" s="33" t="s">
        <v>267</v>
      </c>
      <c r="B719" s="33" t="s">
        <v>140</v>
      </c>
      <c r="C719" s="33" t="s">
        <v>236</v>
      </c>
      <c r="D719" s="35">
        <v>6786.38</v>
      </c>
      <c r="E719" s="33">
        <v>35.0</v>
      </c>
      <c r="F719" s="35">
        <f t="array" ref="F719">IF(C719 ="FOB_JP", XLOOKUP(A719,CONTAINER_COST_MONTH!$A$2:$A$13,CONTAINER_COST_MONTH!$B$2:$B$13), 285)</f>
        <v>3877</v>
      </c>
      <c r="G719" s="35">
        <f t="shared" si="1"/>
        <v>110.7714286</v>
      </c>
      <c r="H719" s="38">
        <f t="array" ref="H719">XLOOKUP(COST_BUY_MONTHLY!$C719,TAX!$A$2:$A$3,TAX!$B$2:$B$3)</f>
        <v>0.002</v>
      </c>
      <c r="I719" s="39">
        <f t="array" ref="I719">XLOOKUP(COST_BUY_MONTHLY!$C719,TAX!$A$2:$A$3,TAX!$C$2:$C$3)</f>
        <v>0.2</v>
      </c>
      <c r="J719" s="39">
        <f t="array" ref="J719">XLOOKUP(COST_BUY_MONTHLY!$C719,TAX!$A$2:$A$3,TAX!$D$2:$D$3)</f>
        <v>0.1</v>
      </c>
      <c r="K719" s="35">
        <f t="shared" si="2"/>
        <v>9122.448365</v>
      </c>
    </row>
    <row r="720" ht="14.25" customHeight="1">
      <c r="A720" s="33" t="s">
        <v>267</v>
      </c>
      <c r="B720" s="33" t="s">
        <v>142</v>
      </c>
      <c r="C720" s="33" t="s">
        <v>237</v>
      </c>
      <c r="D720" s="35">
        <v>2264.4</v>
      </c>
      <c r="E720" s="33">
        <v>35.0</v>
      </c>
      <c r="F720" s="35">
        <f t="array" ref="F720">IF(C720 ="FOB_JP", XLOOKUP(A720,CONTAINER_COST_MONTH!$A$2:$A$13,CONTAINER_COST_MONTH!$B$2:$B$13), 285)</f>
        <v>285</v>
      </c>
      <c r="G720" s="35">
        <f t="shared" si="1"/>
        <v>8.142857143</v>
      </c>
      <c r="H720" s="38">
        <f t="array" ref="H720">XLOOKUP(COST_BUY_MONTHLY!$C720,TAX!$A$2:$A$3,TAX!$B$2:$B$3)</f>
        <v>0</v>
      </c>
      <c r="I720" s="39">
        <f t="array" ref="I720">XLOOKUP(COST_BUY_MONTHLY!$C720,TAX!$A$2:$A$3,TAX!$C$2:$C$3)</f>
        <v>0</v>
      </c>
      <c r="J720" s="39">
        <f t="array" ref="J720">XLOOKUP(COST_BUY_MONTHLY!$C720,TAX!$A$2:$A$3,TAX!$D$2:$D$3)</f>
        <v>0.1</v>
      </c>
      <c r="K720" s="35">
        <f t="shared" si="2"/>
        <v>2499.797143</v>
      </c>
    </row>
    <row r="721" ht="14.25" customHeight="1">
      <c r="A721" s="33" t="s">
        <v>267</v>
      </c>
      <c r="B721" s="33" t="s">
        <v>144</v>
      </c>
      <c r="C721" s="33" t="s">
        <v>237</v>
      </c>
      <c r="D721" s="35">
        <v>2725.46</v>
      </c>
      <c r="E721" s="33">
        <v>35.0</v>
      </c>
      <c r="F721" s="35">
        <f t="array" ref="F721">IF(C721 ="FOB_JP", XLOOKUP(A721,CONTAINER_COST_MONTH!$A$2:$A$13,CONTAINER_COST_MONTH!$B$2:$B$13), 285)</f>
        <v>285</v>
      </c>
      <c r="G721" s="35">
        <f t="shared" si="1"/>
        <v>8.142857143</v>
      </c>
      <c r="H721" s="38">
        <f t="array" ref="H721">XLOOKUP(COST_BUY_MONTHLY!$C721,TAX!$A$2:$A$3,TAX!$B$2:$B$3)</f>
        <v>0</v>
      </c>
      <c r="I721" s="39">
        <f t="array" ref="I721">XLOOKUP(COST_BUY_MONTHLY!$C721,TAX!$A$2:$A$3,TAX!$C$2:$C$3)</f>
        <v>0</v>
      </c>
      <c r="J721" s="39">
        <f t="array" ref="J721">XLOOKUP(COST_BUY_MONTHLY!$C721,TAX!$A$2:$A$3,TAX!$D$2:$D$3)</f>
        <v>0.1</v>
      </c>
      <c r="K721" s="35">
        <f t="shared" si="2"/>
        <v>3006.963143</v>
      </c>
    </row>
    <row r="722" ht="14.25" customHeight="1">
      <c r="D722" s="36"/>
      <c r="F722" s="36"/>
      <c r="G722" s="36"/>
      <c r="H722" s="36"/>
      <c r="I722" s="36"/>
      <c r="J722" s="36"/>
      <c r="K722" s="36"/>
    </row>
    <row r="723" ht="14.25" customHeight="1">
      <c r="D723" s="36"/>
      <c r="F723" s="36"/>
      <c r="G723" s="36"/>
      <c r="H723" s="36"/>
      <c r="I723" s="36"/>
      <c r="J723" s="36"/>
      <c r="K723" s="36"/>
    </row>
    <row r="724" ht="14.25" customHeight="1">
      <c r="D724" s="36"/>
      <c r="F724" s="36"/>
      <c r="G724" s="36"/>
      <c r="H724" s="36"/>
      <c r="I724" s="36"/>
      <c r="J724" s="36"/>
      <c r="K724" s="36"/>
    </row>
    <row r="725" ht="14.25" customHeight="1">
      <c r="D725" s="36"/>
      <c r="F725" s="36"/>
      <c r="G725" s="36"/>
      <c r="H725" s="36"/>
      <c r="I725" s="36"/>
      <c r="J725" s="36"/>
      <c r="K725" s="36"/>
    </row>
    <row r="726" ht="14.25" customHeight="1">
      <c r="D726" s="36"/>
      <c r="F726" s="36"/>
      <c r="G726" s="36"/>
      <c r="H726" s="36"/>
      <c r="I726" s="36"/>
      <c r="J726" s="36"/>
      <c r="K726" s="36"/>
    </row>
    <row r="727" ht="14.25" customHeight="1">
      <c r="D727" s="36"/>
      <c r="F727" s="36"/>
      <c r="G727" s="36"/>
      <c r="H727" s="36"/>
      <c r="I727" s="36"/>
      <c r="J727" s="36"/>
      <c r="K727" s="36"/>
    </row>
    <row r="728" ht="14.25" customHeight="1">
      <c r="D728" s="36"/>
      <c r="F728" s="36"/>
      <c r="G728" s="36"/>
      <c r="H728" s="36"/>
      <c r="I728" s="36"/>
      <c r="J728" s="36"/>
      <c r="K728" s="36"/>
    </row>
    <row r="729" ht="14.25" customHeight="1">
      <c r="D729" s="36"/>
      <c r="F729" s="36"/>
      <c r="G729" s="36"/>
      <c r="H729" s="36"/>
      <c r="I729" s="36"/>
      <c r="J729" s="36"/>
      <c r="K729" s="36"/>
    </row>
    <row r="730" ht="14.25" customHeight="1">
      <c r="D730" s="36"/>
      <c r="F730" s="36"/>
      <c r="G730" s="36"/>
      <c r="H730" s="36"/>
      <c r="I730" s="36"/>
      <c r="J730" s="36"/>
      <c r="K730" s="36"/>
    </row>
    <row r="731" ht="14.25" customHeight="1">
      <c r="D731" s="36"/>
      <c r="F731" s="36"/>
      <c r="G731" s="36"/>
      <c r="H731" s="36"/>
      <c r="I731" s="36"/>
      <c r="J731" s="36"/>
      <c r="K731" s="36"/>
    </row>
    <row r="732" ht="14.25" customHeight="1">
      <c r="D732" s="36"/>
      <c r="F732" s="36"/>
      <c r="G732" s="36"/>
      <c r="H732" s="36"/>
      <c r="I732" s="36"/>
      <c r="J732" s="36"/>
      <c r="K732" s="36"/>
    </row>
    <row r="733" ht="14.25" customHeight="1">
      <c r="D733" s="36"/>
      <c r="F733" s="36"/>
      <c r="G733" s="36"/>
      <c r="H733" s="36"/>
      <c r="I733" s="36"/>
      <c r="J733" s="36"/>
      <c r="K733" s="36"/>
    </row>
    <row r="734" ht="14.25" customHeight="1">
      <c r="D734" s="36"/>
      <c r="F734" s="36"/>
      <c r="G734" s="36"/>
      <c r="H734" s="36"/>
      <c r="I734" s="36"/>
      <c r="J734" s="36"/>
      <c r="K734" s="36"/>
    </row>
    <row r="735" ht="14.25" customHeight="1">
      <c r="D735" s="36"/>
      <c r="F735" s="36"/>
      <c r="G735" s="36"/>
      <c r="H735" s="36"/>
      <c r="I735" s="36"/>
      <c r="J735" s="36"/>
      <c r="K735" s="36"/>
    </row>
    <row r="736" ht="14.25" customHeight="1">
      <c r="D736" s="36"/>
      <c r="F736" s="36"/>
      <c r="G736" s="36"/>
      <c r="H736" s="36"/>
      <c r="I736" s="36"/>
      <c r="J736" s="36"/>
      <c r="K736" s="36"/>
    </row>
    <row r="737" ht="14.25" customHeight="1">
      <c r="D737" s="36"/>
      <c r="F737" s="36"/>
      <c r="G737" s="36"/>
      <c r="H737" s="36"/>
      <c r="I737" s="36"/>
      <c r="J737" s="36"/>
      <c r="K737" s="36"/>
    </row>
    <row r="738" ht="14.25" customHeight="1">
      <c r="D738" s="36"/>
      <c r="F738" s="36"/>
      <c r="G738" s="36"/>
      <c r="H738" s="36"/>
      <c r="I738" s="36"/>
      <c r="J738" s="36"/>
      <c r="K738" s="36"/>
    </row>
    <row r="739" ht="14.25" customHeight="1">
      <c r="D739" s="36"/>
      <c r="F739" s="36"/>
      <c r="G739" s="36"/>
      <c r="H739" s="36"/>
      <c r="I739" s="36"/>
      <c r="J739" s="36"/>
      <c r="K739" s="36"/>
    </row>
    <row r="740" ht="14.25" customHeight="1">
      <c r="D740" s="36"/>
      <c r="F740" s="36"/>
      <c r="G740" s="36"/>
      <c r="H740" s="36"/>
      <c r="I740" s="36"/>
      <c r="J740" s="36"/>
      <c r="K740" s="36"/>
    </row>
    <row r="741" ht="14.25" customHeight="1">
      <c r="D741" s="36"/>
      <c r="F741" s="36"/>
      <c r="G741" s="36"/>
      <c r="H741" s="36"/>
      <c r="I741" s="36"/>
      <c r="J741" s="36"/>
      <c r="K741" s="36"/>
    </row>
    <row r="742" ht="14.25" customHeight="1">
      <c r="D742" s="36"/>
      <c r="F742" s="36"/>
      <c r="G742" s="36"/>
      <c r="H742" s="36"/>
      <c r="I742" s="36"/>
      <c r="J742" s="36"/>
      <c r="K742" s="36"/>
    </row>
    <row r="743" ht="14.25" customHeight="1">
      <c r="D743" s="36"/>
      <c r="F743" s="36"/>
      <c r="G743" s="36"/>
      <c r="H743" s="36"/>
      <c r="I743" s="36"/>
      <c r="J743" s="36"/>
      <c r="K743" s="36"/>
    </row>
    <row r="744" ht="14.25" customHeight="1">
      <c r="D744" s="36"/>
      <c r="F744" s="36"/>
      <c r="G744" s="36"/>
      <c r="H744" s="36"/>
      <c r="I744" s="36"/>
      <c r="J744" s="36"/>
      <c r="K744" s="36"/>
    </row>
    <row r="745" ht="14.25" customHeight="1">
      <c r="D745" s="36"/>
      <c r="F745" s="36"/>
      <c r="G745" s="36"/>
      <c r="H745" s="36"/>
      <c r="I745" s="36"/>
      <c r="J745" s="36"/>
      <c r="K745" s="36"/>
    </row>
    <row r="746" ht="14.25" customHeight="1">
      <c r="D746" s="36"/>
      <c r="F746" s="36"/>
      <c r="G746" s="36"/>
      <c r="H746" s="36"/>
      <c r="I746" s="36"/>
      <c r="J746" s="36"/>
      <c r="K746" s="36"/>
    </row>
    <row r="747" ht="14.25" customHeight="1">
      <c r="D747" s="36"/>
      <c r="F747" s="36"/>
      <c r="G747" s="36"/>
      <c r="H747" s="36"/>
      <c r="I747" s="36"/>
      <c r="J747" s="36"/>
      <c r="K747" s="36"/>
    </row>
    <row r="748" ht="14.25" customHeight="1">
      <c r="D748" s="36"/>
      <c r="F748" s="36"/>
      <c r="G748" s="36"/>
      <c r="H748" s="36"/>
      <c r="I748" s="36"/>
      <c r="J748" s="36"/>
      <c r="K748" s="36"/>
    </row>
    <row r="749" ht="14.25" customHeight="1">
      <c r="D749" s="36"/>
      <c r="F749" s="36"/>
      <c r="G749" s="36"/>
      <c r="H749" s="36"/>
      <c r="I749" s="36"/>
      <c r="J749" s="36"/>
      <c r="K749" s="36"/>
    </row>
    <row r="750" ht="14.25" customHeight="1">
      <c r="D750" s="36"/>
      <c r="F750" s="36"/>
      <c r="G750" s="36"/>
      <c r="H750" s="36"/>
      <c r="I750" s="36"/>
      <c r="J750" s="36"/>
      <c r="K750" s="36"/>
    </row>
    <row r="751" ht="14.25" customHeight="1">
      <c r="D751" s="36"/>
      <c r="F751" s="36"/>
      <c r="G751" s="36"/>
      <c r="H751" s="36"/>
      <c r="I751" s="36"/>
      <c r="J751" s="36"/>
      <c r="K751" s="36"/>
    </row>
    <row r="752" ht="14.25" customHeight="1">
      <c r="D752" s="36"/>
      <c r="F752" s="36"/>
      <c r="G752" s="36"/>
      <c r="H752" s="36"/>
      <c r="I752" s="36"/>
      <c r="J752" s="36"/>
      <c r="K752" s="36"/>
    </row>
    <row r="753" ht="14.25" customHeight="1">
      <c r="D753" s="36"/>
      <c r="F753" s="36"/>
      <c r="G753" s="36"/>
      <c r="H753" s="36"/>
      <c r="I753" s="36"/>
      <c r="J753" s="36"/>
      <c r="K753" s="36"/>
    </row>
    <row r="754" ht="14.25" customHeight="1">
      <c r="D754" s="36"/>
      <c r="F754" s="36"/>
      <c r="G754" s="36"/>
      <c r="H754" s="36"/>
      <c r="I754" s="36"/>
      <c r="J754" s="36"/>
      <c r="K754" s="36"/>
    </row>
    <row r="755" ht="14.25" customHeight="1">
      <c r="D755" s="36"/>
      <c r="F755" s="36"/>
      <c r="G755" s="36"/>
      <c r="H755" s="36"/>
      <c r="I755" s="36"/>
      <c r="J755" s="36"/>
      <c r="K755" s="36"/>
    </row>
    <row r="756" ht="14.25" customHeight="1">
      <c r="D756" s="36"/>
      <c r="F756" s="36"/>
      <c r="G756" s="36"/>
      <c r="H756" s="36"/>
      <c r="I756" s="36"/>
      <c r="J756" s="36"/>
      <c r="K756" s="36"/>
    </row>
    <row r="757" ht="14.25" customHeight="1">
      <c r="D757" s="36"/>
      <c r="F757" s="36"/>
      <c r="G757" s="36"/>
      <c r="H757" s="36"/>
      <c r="I757" s="36"/>
      <c r="J757" s="36"/>
      <c r="K757" s="36"/>
    </row>
    <row r="758" ht="14.25" customHeight="1">
      <c r="D758" s="36"/>
      <c r="F758" s="36"/>
      <c r="G758" s="36"/>
      <c r="H758" s="36"/>
      <c r="I758" s="36"/>
      <c r="J758" s="36"/>
      <c r="K758" s="36"/>
    </row>
    <row r="759" ht="14.25" customHeight="1">
      <c r="D759" s="36"/>
      <c r="F759" s="36"/>
      <c r="G759" s="36"/>
      <c r="H759" s="36"/>
      <c r="I759" s="36"/>
      <c r="J759" s="36"/>
      <c r="K759" s="36"/>
    </row>
    <row r="760" ht="14.25" customHeight="1">
      <c r="D760" s="36"/>
      <c r="F760" s="36"/>
      <c r="G760" s="36"/>
      <c r="H760" s="36"/>
      <c r="I760" s="36"/>
      <c r="J760" s="36"/>
      <c r="K760" s="36"/>
    </row>
    <row r="761" ht="14.25" customHeight="1">
      <c r="D761" s="36"/>
      <c r="F761" s="36"/>
      <c r="G761" s="36"/>
      <c r="H761" s="36"/>
      <c r="I761" s="36"/>
      <c r="J761" s="36"/>
      <c r="K761" s="36"/>
    </row>
    <row r="762" ht="14.25" customHeight="1">
      <c r="D762" s="36"/>
      <c r="F762" s="36"/>
      <c r="G762" s="36"/>
      <c r="H762" s="36"/>
      <c r="I762" s="36"/>
      <c r="J762" s="36"/>
      <c r="K762" s="36"/>
    </row>
    <row r="763" ht="14.25" customHeight="1">
      <c r="D763" s="36"/>
      <c r="F763" s="36"/>
      <c r="G763" s="36"/>
      <c r="H763" s="36"/>
      <c r="I763" s="36"/>
      <c r="J763" s="36"/>
      <c r="K763" s="36"/>
    </row>
    <row r="764" ht="14.25" customHeight="1">
      <c r="D764" s="36"/>
      <c r="F764" s="36"/>
      <c r="G764" s="36"/>
      <c r="H764" s="36"/>
      <c r="I764" s="36"/>
      <c r="J764" s="36"/>
      <c r="K764" s="36"/>
    </row>
    <row r="765" ht="14.25" customHeight="1">
      <c r="D765" s="36"/>
      <c r="F765" s="36"/>
      <c r="G765" s="36"/>
      <c r="H765" s="36"/>
      <c r="I765" s="36"/>
      <c r="J765" s="36"/>
      <c r="K765" s="36"/>
    </row>
    <row r="766" ht="14.25" customHeight="1">
      <c r="D766" s="36"/>
      <c r="F766" s="36"/>
      <c r="G766" s="36"/>
      <c r="H766" s="36"/>
      <c r="I766" s="36"/>
      <c r="J766" s="36"/>
      <c r="K766" s="36"/>
    </row>
    <row r="767" ht="14.25" customHeight="1">
      <c r="D767" s="36"/>
      <c r="F767" s="36"/>
      <c r="G767" s="36"/>
      <c r="H767" s="36"/>
      <c r="I767" s="36"/>
      <c r="J767" s="36"/>
      <c r="K767" s="36"/>
    </row>
    <row r="768" ht="14.25" customHeight="1">
      <c r="D768" s="36"/>
      <c r="F768" s="36"/>
      <c r="G768" s="36"/>
      <c r="H768" s="36"/>
      <c r="I768" s="36"/>
      <c r="J768" s="36"/>
      <c r="K768" s="36"/>
    </row>
    <row r="769" ht="14.25" customHeight="1">
      <c r="D769" s="36"/>
      <c r="F769" s="36"/>
      <c r="G769" s="36"/>
      <c r="H769" s="36"/>
      <c r="I769" s="36"/>
      <c r="J769" s="36"/>
      <c r="K769" s="36"/>
    </row>
    <row r="770" ht="14.25" customHeight="1">
      <c r="D770" s="36"/>
      <c r="F770" s="36"/>
      <c r="G770" s="36"/>
      <c r="H770" s="36"/>
      <c r="I770" s="36"/>
      <c r="J770" s="36"/>
      <c r="K770" s="36"/>
    </row>
    <row r="771" ht="14.25" customHeight="1">
      <c r="D771" s="36"/>
      <c r="F771" s="36"/>
      <c r="G771" s="36"/>
      <c r="H771" s="36"/>
      <c r="I771" s="36"/>
      <c r="J771" s="36"/>
      <c r="K771" s="36"/>
    </row>
    <row r="772" ht="14.25" customHeight="1">
      <c r="D772" s="36"/>
      <c r="F772" s="36"/>
      <c r="G772" s="36"/>
      <c r="H772" s="36"/>
      <c r="I772" s="36"/>
      <c r="J772" s="36"/>
      <c r="K772" s="36"/>
    </row>
    <row r="773" ht="14.25" customHeight="1">
      <c r="D773" s="36"/>
      <c r="F773" s="36"/>
      <c r="G773" s="36"/>
      <c r="H773" s="36"/>
      <c r="I773" s="36"/>
      <c r="J773" s="36"/>
      <c r="K773" s="36"/>
    </row>
    <row r="774" ht="14.25" customHeight="1">
      <c r="D774" s="36"/>
      <c r="F774" s="36"/>
      <c r="G774" s="36"/>
      <c r="H774" s="36"/>
      <c r="I774" s="36"/>
      <c r="J774" s="36"/>
      <c r="K774" s="36"/>
    </row>
    <row r="775" ht="14.25" customHeight="1">
      <c r="D775" s="36"/>
      <c r="F775" s="36"/>
      <c r="G775" s="36"/>
      <c r="H775" s="36"/>
      <c r="I775" s="36"/>
      <c r="J775" s="36"/>
      <c r="K775" s="36"/>
    </row>
    <row r="776" ht="14.25" customHeight="1">
      <c r="D776" s="36"/>
      <c r="F776" s="36"/>
      <c r="G776" s="36"/>
      <c r="H776" s="36"/>
      <c r="I776" s="36"/>
      <c r="J776" s="36"/>
      <c r="K776" s="36"/>
    </row>
    <row r="777" ht="14.25" customHeight="1">
      <c r="D777" s="36"/>
      <c r="F777" s="36"/>
      <c r="G777" s="36"/>
      <c r="H777" s="36"/>
      <c r="I777" s="36"/>
      <c r="J777" s="36"/>
      <c r="K777" s="36"/>
    </row>
    <row r="778" ht="14.25" customHeight="1">
      <c r="D778" s="36"/>
      <c r="F778" s="36"/>
      <c r="G778" s="36"/>
      <c r="H778" s="36"/>
      <c r="I778" s="36"/>
      <c r="J778" s="36"/>
      <c r="K778" s="36"/>
    </row>
    <row r="779" ht="14.25" customHeight="1">
      <c r="D779" s="36"/>
      <c r="F779" s="36"/>
      <c r="G779" s="36"/>
      <c r="H779" s="36"/>
      <c r="I779" s="36"/>
      <c r="J779" s="36"/>
      <c r="K779" s="36"/>
    </row>
    <row r="780" ht="14.25" customHeight="1">
      <c r="D780" s="36"/>
      <c r="F780" s="36"/>
      <c r="G780" s="36"/>
      <c r="H780" s="36"/>
      <c r="I780" s="36"/>
      <c r="J780" s="36"/>
      <c r="K780" s="36"/>
    </row>
    <row r="781" ht="14.25" customHeight="1">
      <c r="D781" s="36"/>
      <c r="F781" s="36"/>
      <c r="G781" s="36"/>
      <c r="H781" s="36"/>
      <c r="I781" s="36"/>
      <c r="J781" s="36"/>
      <c r="K781" s="36"/>
    </row>
    <row r="782" ht="14.25" customHeight="1">
      <c r="D782" s="36"/>
      <c r="F782" s="36"/>
      <c r="G782" s="36"/>
      <c r="H782" s="36"/>
      <c r="I782" s="36"/>
      <c r="J782" s="36"/>
      <c r="K782" s="36"/>
    </row>
    <row r="783" ht="14.25" customHeight="1">
      <c r="D783" s="36"/>
      <c r="F783" s="36"/>
      <c r="G783" s="36"/>
      <c r="H783" s="36"/>
      <c r="I783" s="36"/>
      <c r="J783" s="36"/>
      <c r="K783" s="36"/>
    </row>
    <row r="784" ht="14.25" customHeight="1">
      <c r="D784" s="36"/>
      <c r="F784" s="36"/>
      <c r="G784" s="36"/>
      <c r="H784" s="36"/>
      <c r="I784" s="36"/>
      <c r="J784" s="36"/>
      <c r="K784" s="36"/>
    </row>
    <row r="785" ht="14.25" customHeight="1">
      <c r="D785" s="36"/>
      <c r="F785" s="36"/>
      <c r="G785" s="36"/>
      <c r="H785" s="36"/>
      <c r="I785" s="36"/>
      <c r="J785" s="36"/>
      <c r="K785" s="36"/>
    </row>
    <row r="786" ht="14.25" customHeight="1">
      <c r="D786" s="36"/>
      <c r="F786" s="36"/>
      <c r="G786" s="36"/>
      <c r="H786" s="36"/>
      <c r="I786" s="36"/>
      <c r="J786" s="36"/>
      <c r="K786" s="36"/>
    </row>
    <row r="787" ht="14.25" customHeight="1">
      <c r="D787" s="36"/>
      <c r="F787" s="36"/>
      <c r="G787" s="36"/>
      <c r="H787" s="36"/>
      <c r="I787" s="36"/>
      <c r="J787" s="36"/>
      <c r="K787" s="36"/>
    </row>
    <row r="788" ht="14.25" customHeight="1">
      <c r="D788" s="36"/>
      <c r="F788" s="36"/>
      <c r="G788" s="36"/>
      <c r="H788" s="36"/>
      <c r="I788" s="36"/>
      <c r="J788" s="36"/>
      <c r="K788" s="36"/>
    </row>
    <row r="789" ht="14.25" customHeight="1">
      <c r="D789" s="36"/>
      <c r="F789" s="36"/>
      <c r="G789" s="36"/>
      <c r="H789" s="36"/>
      <c r="I789" s="36"/>
      <c r="J789" s="36"/>
      <c r="K789" s="36"/>
    </row>
    <row r="790" ht="14.25" customHeight="1">
      <c r="D790" s="36"/>
      <c r="F790" s="36"/>
      <c r="G790" s="36"/>
      <c r="H790" s="36"/>
      <c r="I790" s="36"/>
      <c r="J790" s="36"/>
      <c r="K790" s="36"/>
    </row>
    <row r="791" ht="14.25" customHeight="1">
      <c r="D791" s="36"/>
      <c r="F791" s="36"/>
      <c r="G791" s="36"/>
      <c r="H791" s="36"/>
      <c r="I791" s="36"/>
      <c r="J791" s="36"/>
      <c r="K791" s="36"/>
    </row>
    <row r="792" ht="14.25" customHeight="1">
      <c r="D792" s="36"/>
      <c r="F792" s="36"/>
      <c r="G792" s="36"/>
      <c r="H792" s="36"/>
      <c r="I792" s="36"/>
      <c r="J792" s="36"/>
      <c r="K792" s="36"/>
    </row>
    <row r="793" ht="14.25" customHeight="1">
      <c r="D793" s="36"/>
      <c r="F793" s="36"/>
      <c r="G793" s="36"/>
      <c r="H793" s="36"/>
      <c r="I793" s="36"/>
      <c r="J793" s="36"/>
      <c r="K793" s="36"/>
    </row>
    <row r="794" ht="14.25" customHeight="1">
      <c r="D794" s="36"/>
      <c r="F794" s="36"/>
      <c r="G794" s="36"/>
      <c r="H794" s="36"/>
      <c r="I794" s="36"/>
      <c r="J794" s="36"/>
      <c r="K794" s="36"/>
    </row>
    <row r="795" ht="14.25" customHeight="1">
      <c r="D795" s="36"/>
      <c r="F795" s="36"/>
      <c r="G795" s="36"/>
      <c r="H795" s="36"/>
      <c r="I795" s="36"/>
      <c r="J795" s="36"/>
      <c r="K795" s="36"/>
    </row>
    <row r="796" ht="14.25" customHeight="1">
      <c r="D796" s="36"/>
      <c r="F796" s="36"/>
      <c r="G796" s="36"/>
      <c r="H796" s="36"/>
      <c r="I796" s="36"/>
      <c r="J796" s="36"/>
      <c r="K796" s="36"/>
    </row>
    <row r="797" ht="14.25" customHeight="1">
      <c r="D797" s="36"/>
      <c r="F797" s="36"/>
      <c r="G797" s="36"/>
      <c r="H797" s="36"/>
      <c r="I797" s="36"/>
      <c r="J797" s="36"/>
      <c r="K797" s="36"/>
    </row>
    <row r="798" ht="14.25" customHeight="1">
      <c r="D798" s="36"/>
      <c r="F798" s="36"/>
      <c r="G798" s="36"/>
      <c r="H798" s="36"/>
      <c r="I798" s="36"/>
      <c r="J798" s="36"/>
      <c r="K798" s="36"/>
    </row>
    <row r="799" ht="14.25" customHeight="1">
      <c r="D799" s="36"/>
      <c r="F799" s="36"/>
      <c r="G799" s="36"/>
      <c r="H799" s="36"/>
      <c r="I799" s="36"/>
      <c r="J799" s="36"/>
      <c r="K799" s="36"/>
    </row>
    <row r="800" ht="14.25" customHeight="1">
      <c r="D800" s="36"/>
      <c r="F800" s="36"/>
      <c r="G800" s="36"/>
      <c r="H800" s="36"/>
      <c r="I800" s="36"/>
      <c r="J800" s="36"/>
      <c r="K800" s="36"/>
    </row>
    <row r="801" ht="14.25" customHeight="1">
      <c r="D801" s="36"/>
      <c r="F801" s="36"/>
      <c r="G801" s="36"/>
      <c r="H801" s="36"/>
      <c r="I801" s="36"/>
      <c r="J801" s="36"/>
      <c r="K801" s="36"/>
    </row>
    <row r="802" ht="14.25" customHeight="1">
      <c r="D802" s="36"/>
      <c r="F802" s="36"/>
      <c r="G802" s="36"/>
      <c r="H802" s="36"/>
      <c r="I802" s="36"/>
      <c r="J802" s="36"/>
      <c r="K802" s="36"/>
    </row>
    <row r="803" ht="14.25" customHeight="1">
      <c r="D803" s="36"/>
      <c r="F803" s="36"/>
      <c r="G803" s="36"/>
      <c r="H803" s="36"/>
      <c r="I803" s="36"/>
      <c r="J803" s="36"/>
      <c r="K803" s="36"/>
    </row>
    <row r="804" ht="14.25" customHeight="1">
      <c r="D804" s="36"/>
      <c r="F804" s="36"/>
      <c r="G804" s="36"/>
      <c r="H804" s="36"/>
      <c r="I804" s="36"/>
      <c r="J804" s="36"/>
      <c r="K804" s="36"/>
    </row>
    <row r="805" ht="14.25" customHeight="1">
      <c r="D805" s="36"/>
      <c r="F805" s="36"/>
      <c r="G805" s="36"/>
      <c r="H805" s="36"/>
      <c r="I805" s="36"/>
      <c r="J805" s="36"/>
      <c r="K805" s="36"/>
    </row>
    <row r="806" ht="14.25" customHeight="1">
      <c r="D806" s="36"/>
      <c r="F806" s="36"/>
      <c r="G806" s="36"/>
      <c r="H806" s="36"/>
      <c r="I806" s="36"/>
      <c r="J806" s="36"/>
      <c r="K806" s="36"/>
    </row>
    <row r="807" ht="14.25" customHeight="1">
      <c r="D807" s="36"/>
      <c r="F807" s="36"/>
      <c r="G807" s="36"/>
      <c r="H807" s="36"/>
      <c r="I807" s="36"/>
      <c r="J807" s="36"/>
      <c r="K807" s="36"/>
    </row>
    <row r="808" ht="14.25" customHeight="1">
      <c r="D808" s="36"/>
      <c r="F808" s="36"/>
      <c r="G808" s="36"/>
      <c r="H808" s="36"/>
      <c r="I808" s="36"/>
      <c r="J808" s="36"/>
      <c r="K808" s="36"/>
    </row>
    <row r="809" ht="14.25" customHeight="1">
      <c r="D809" s="36"/>
      <c r="F809" s="36"/>
      <c r="G809" s="36"/>
      <c r="H809" s="36"/>
      <c r="I809" s="36"/>
      <c r="J809" s="36"/>
      <c r="K809" s="36"/>
    </row>
    <row r="810" ht="14.25" customHeight="1">
      <c r="D810" s="36"/>
      <c r="F810" s="36"/>
      <c r="G810" s="36"/>
      <c r="H810" s="36"/>
      <c r="I810" s="36"/>
      <c r="J810" s="36"/>
      <c r="K810" s="36"/>
    </row>
    <row r="811" ht="14.25" customHeight="1">
      <c r="D811" s="36"/>
      <c r="F811" s="36"/>
      <c r="G811" s="36"/>
      <c r="H811" s="36"/>
      <c r="I811" s="36"/>
      <c r="J811" s="36"/>
      <c r="K811" s="36"/>
    </row>
    <row r="812" ht="14.25" customHeight="1">
      <c r="D812" s="36"/>
      <c r="F812" s="36"/>
      <c r="G812" s="36"/>
      <c r="H812" s="36"/>
      <c r="I812" s="36"/>
      <c r="J812" s="36"/>
      <c r="K812" s="36"/>
    </row>
    <row r="813" ht="14.25" customHeight="1">
      <c r="D813" s="36"/>
      <c r="F813" s="36"/>
      <c r="G813" s="36"/>
      <c r="H813" s="36"/>
      <c r="I813" s="36"/>
      <c r="J813" s="36"/>
      <c r="K813" s="36"/>
    </row>
    <row r="814" ht="14.25" customHeight="1">
      <c r="D814" s="36"/>
      <c r="F814" s="36"/>
      <c r="G814" s="36"/>
      <c r="H814" s="36"/>
      <c r="I814" s="36"/>
      <c r="J814" s="36"/>
      <c r="K814" s="36"/>
    </row>
    <row r="815" ht="14.25" customHeight="1">
      <c r="D815" s="36"/>
      <c r="F815" s="36"/>
      <c r="G815" s="36"/>
      <c r="H815" s="36"/>
      <c r="I815" s="36"/>
      <c r="J815" s="36"/>
      <c r="K815" s="36"/>
    </row>
    <row r="816" ht="14.25" customHeight="1">
      <c r="D816" s="36"/>
      <c r="F816" s="36"/>
      <c r="G816" s="36"/>
      <c r="H816" s="36"/>
      <c r="I816" s="36"/>
      <c r="J816" s="36"/>
      <c r="K816" s="36"/>
    </row>
    <row r="817" ht="14.25" customHeight="1">
      <c r="D817" s="36"/>
      <c r="F817" s="36"/>
      <c r="G817" s="36"/>
      <c r="H817" s="36"/>
      <c r="I817" s="36"/>
      <c r="J817" s="36"/>
      <c r="K817" s="36"/>
    </row>
    <row r="818" ht="14.25" customHeight="1">
      <c r="D818" s="36"/>
      <c r="F818" s="36"/>
      <c r="G818" s="36"/>
      <c r="H818" s="36"/>
      <c r="I818" s="36"/>
      <c r="J818" s="36"/>
      <c r="K818" s="36"/>
    </row>
    <row r="819" ht="14.25" customHeight="1">
      <c r="D819" s="36"/>
      <c r="F819" s="36"/>
      <c r="G819" s="36"/>
      <c r="H819" s="36"/>
      <c r="I819" s="36"/>
      <c r="J819" s="36"/>
      <c r="K819" s="36"/>
    </row>
    <row r="820" ht="14.25" customHeight="1">
      <c r="D820" s="36"/>
      <c r="F820" s="36"/>
      <c r="G820" s="36"/>
      <c r="H820" s="36"/>
      <c r="I820" s="36"/>
      <c r="J820" s="36"/>
      <c r="K820" s="36"/>
    </row>
    <row r="821" ht="14.25" customHeight="1">
      <c r="D821" s="36"/>
      <c r="F821" s="36"/>
      <c r="G821" s="36"/>
      <c r="H821" s="36"/>
      <c r="I821" s="36"/>
      <c r="J821" s="36"/>
      <c r="K821" s="36"/>
    </row>
    <row r="822" ht="14.25" customHeight="1">
      <c r="D822" s="36"/>
      <c r="F822" s="36"/>
      <c r="G822" s="36"/>
      <c r="H822" s="36"/>
      <c r="I822" s="36"/>
      <c r="J822" s="36"/>
      <c r="K822" s="36"/>
    </row>
    <row r="823" ht="14.25" customHeight="1">
      <c r="D823" s="36"/>
      <c r="F823" s="36"/>
      <c r="G823" s="36"/>
      <c r="H823" s="36"/>
      <c r="I823" s="36"/>
      <c r="J823" s="36"/>
      <c r="K823" s="36"/>
    </row>
    <row r="824" ht="14.25" customHeight="1">
      <c r="D824" s="36"/>
      <c r="F824" s="36"/>
      <c r="G824" s="36"/>
      <c r="H824" s="36"/>
      <c r="I824" s="36"/>
      <c r="J824" s="36"/>
      <c r="K824" s="36"/>
    </row>
    <row r="825" ht="14.25" customHeight="1">
      <c r="D825" s="36"/>
      <c r="F825" s="36"/>
      <c r="G825" s="36"/>
      <c r="H825" s="36"/>
      <c r="I825" s="36"/>
      <c r="J825" s="36"/>
      <c r="K825" s="36"/>
    </row>
    <row r="826" ht="14.25" customHeight="1">
      <c r="D826" s="36"/>
      <c r="F826" s="36"/>
      <c r="G826" s="36"/>
      <c r="H826" s="36"/>
      <c r="I826" s="36"/>
      <c r="J826" s="36"/>
      <c r="K826" s="36"/>
    </row>
    <row r="827" ht="14.25" customHeight="1">
      <c r="D827" s="36"/>
      <c r="F827" s="36"/>
      <c r="G827" s="36"/>
      <c r="H827" s="36"/>
      <c r="I827" s="36"/>
      <c r="J827" s="36"/>
      <c r="K827" s="36"/>
    </row>
    <row r="828" ht="14.25" customHeight="1">
      <c r="D828" s="36"/>
      <c r="F828" s="36"/>
      <c r="G828" s="36"/>
      <c r="H828" s="36"/>
      <c r="I828" s="36"/>
      <c r="J828" s="36"/>
      <c r="K828" s="36"/>
    </row>
    <row r="829" ht="14.25" customHeight="1">
      <c r="D829" s="36"/>
      <c r="F829" s="36"/>
      <c r="G829" s="36"/>
      <c r="H829" s="36"/>
      <c r="I829" s="36"/>
      <c r="J829" s="36"/>
      <c r="K829" s="36"/>
    </row>
    <row r="830" ht="14.25" customHeight="1">
      <c r="D830" s="36"/>
      <c r="F830" s="36"/>
      <c r="G830" s="36"/>
      <c r="H830" s="36"/>
      <c r="I830" s="36"/>
      <c r="J830" s="36"/>
      <c r="K830" s="36"/>
    </row>
    <row r="831" ht="14.25" customHeight="1">
      <c r="D831" s="36"/>
      <c r="F831" s="36"/>
      <c r="G831" s="36"/>
      <c r="H831" s="36"/>
      <c r="I831" s="36"/>
      <c r="J831" s="36"/>
      <c r="K831" s="36"/>
    </row>
    <row r="832" ht="14.25" customHeight="1">
      <c r="D832" s="36"/>
      <c r="F832" s="36"/>
      <c r="G832" s="36"/>
      <c r="H832" s="36"/>
      <c r="I832" s="36"/>
      <c r="J832" s="36"/>
      <c r="K832" s="36"/>
    </row>
    <row r="833" ht="14.25" customHeight="1">
      <c r="D833" s="36"/>
      <c r="F833" s="36"/>
      <c r="G833" s="36"/>
      <c r="H833" s="36"/>
      <c r="I833" s="36"/>
      <c r="J833" s="36"/>
      <c r="K833" s="36"/>
    </row>
    <row r="834" ht="14.25" customHeight="1">
      <c r="D834" s="36"/>
      <c r="F834" s="36"/>
      <c r="G834" s="36"/>
      <c r="H834" s="36"/>
      <c r="I834" s="36"/>
      <c r="J834" s="36"/>
      <c r="K834" s="36"/>
    </row>
    <row r="835" ht="14.25" customHeight="1">
      <c r="D835" s="36"/>
      <c r="F835" s="36"/>
      <c r="G835" s="36"/>
      <c r="H835" s="36"/>
      <c r="I835" s="36"/>
      <c r="J835" s="36"/>
      <c r="K835" s="36"/>
    </row>
    <row r="836" ht="14.25" customHeight="1">
      <c r="D836" s="36"/>
      <c r="F836" s="36"/>
      <c r="G836" s="36"/>
      <c r="H836" s="36"/>
      <c r="I836" s="36"/>
      <c r="J836" s="36"/>
      <c r="K836" s="36"/>
    </row>
    <row r="837" ht="14.25" customHeight="1">
      <c r="D837" s="36"/>
      <c r="F837" s="36"/>
      <c r="G837" s="36"/>
      <c r="H837" s="36"/>
      <c r="I837" s="36"/>
      <c r="J837" s="36"/>
      <c r="K837" s="36"/>
    </row>
    <row r="838" ht="14.25" customHeight="1">
      <c r="D838" s="36"/>
      <c r="F838" s="36"/>
      <c r="G838" s="36"/>
      <c r="H838" s="36"/>
      <c r="I838" s="36"/>
      <c r="J838" s="36"/>
      <c r="K838" s="36"/>
    </row>
    <row r="839" ht="14.25" customHeight="1">
      <c r="D839" s="36"/>
      <c r="F839" s="36"/>
      <c r="G839" s="36"/>
      <c r="H839" s="36"/>
      <c r="I839" s="36"/>
      <c r="J839" s="36"/>
      <c r="K839" s="36"/>
    </row>
    <row r="840" ht="14.25" customHeight="1">
      <c r="D840" s="36"/>
      <c r="F840" s="36"/>
      <c r="G840" s="36"/>
      <c r="H840" s="36"/>
      <c r="I840" s="36"/>
      <c r="J840" s="36"/>
      <c r="K840" s="36"/>
    </row>
    <row r="841" ht="14.25" customHeight="1">
      <c r="D841" s="36"/>
      <c r="F841" s="36"/>
      <c r="G841" s="36"/>
      <c r="H841" s="36"/>
      <c r="I841" s="36"/>
      <c r="J841" s="36"/>
      <c r="K841" s="36"/>
    </row>
    <row r="842" ht="14.25" customHeight="1">
      <c r="D842" s="36"/>
      <c r="F842" s="36"/>
      <c r="G842" s="36"/>
      <c r="H842" s="36"/>
      <c r="I842" s="36"/>
      <c r="J842" s="36"/>
      <c r="K842" s="36"/>
    </row>
    <row r="843" ht="14.25" customHeight="1">
      <c r="D843" s="36"/>
      <c r="F843" s="36"/>
      <c r="G843" s="36"/>
      <c r="H843" s="36"/>
      <c r="I843" s="36"/>
      <c r="J843" s="36"/>
      <c r="K843" s="36"/>
    </row>
    <row r="844" ht="14.25" customHeight="1">
      <c r="D844" s="36"/>
      <c r="F844" s="36"/>
      <c r="G844" s="36"/>
      <c r="H844" s="36"/>
      <c r="I844" s="36"/>
      <c r="J844" s="36"/>
      <c r="K844" s="36"/>
    </row>
    <row r="845" ht="14.25" customHeight="1">
      <c r="D845" s="36"/>
      <c r="F845" s="36"/>
      <c r="G845" s="36"/>
      <c r="H845" s="36"/>
      <c r="I845" s="36"/>
      <c r="J845" s="36"/>
      <c r="K845" s="36"/>
    </row>
    <row r="846" ht="14.25" customHeight="1">
      <c r="D846" s="36"/>
      <c r="F846" s="36"/>
      <c r="G846" s="36"/>
      <c r="H846" s="36"/>
      <c r="I846" s="36"/>
      <c r="J846" s="36"/>
      <c r="K846" s="36"/>
    </row>
    <row r="847" ht="14.25" customHeight="1">
      <c r="D847" s="36"/>
      <c r="F847" s="36"/>
      <c r="G847" s="36"/>
      <c r="H847" s="36"/>
      <c r="I847" s="36"/>
      <c r="J847" s="36"/>
      <c r="K847" s="36"/>
    </row>
    <row r="848" ht="14.25" customHeight="1">
      <c r="D848" s="36"/>
      <c r="F848" s="36"/>
      <c r="G848" s="36"/>
      <c r="H848" s="36"/>
      <c r="I848" s="36"/>
      <c r="J848" s="36"/>
      <c r="K848" s="36"/>
    </row>
    <row r="849" ht="14.25" customHeight="1">
      <c r="D849" s="36"/>
      <c r="F849" s="36"/>
      <c r="G849" s="36"/>
      <c r="H849" s="36"/>
      <c r="I849" s="36"/>
      <c r="J849" s="36"/>
      <c r="K849" s="36"/>
    </row>
    <row r="850" ht="14.25" customHeight="1">
      <c r="D850" s="36"/>
      <c r="F850" s="36"/>
      <c r="G850" s="36"/>
      <c r="H850" s="36"/>
      <c r="I850" s="36"/>
      <c r="J850" s="36"/>
      <c r="K850" s="36"/>
    </row>
    <row r="851" ht="14.25" customHeight="1">
      <c r="D851" s="36"/>
      <c r="F851" s="36"/>
      <c r="G851" s="36"/>
      <c r="H851" s="36"/>
      <c r="I851" s="36"/>
      <c r="J851" s="36"/>
      <c r="K851" s="36"/>
    </row>
    <row r="852" ht="14.25" customHeight="1">
      <c r="D852" s="36"/>
      <c r="F852" s="36"/>
      <c r="G852" s="36"/>
      <c r="H852" s="36"/>
      <c r="I852" s="36"/>
      <c r="J852" s="36"/>
      <c r="K852" s="36"/>
    </row>
    <row r="853" ht="14.25" customHeight="1">
      <c r="D853" s="36"/>
      <c r="F853" s="36"/>
      <c r="G853" s="36"/>
      <c r="H853" s="36"/>
      <c r="I853" s="36"/>
      <c r="J853" s="36"/>
      <c r="K853" s="36"/>
    </row>
    <row r="854" ht="14.25" customHeight="1">
      <c r="D854" s="36"/>
      <c r="F854" s="36"/>
      <c r="G854" s="36"/>
      <c r="H854" s="36"/>
      <c r="I854" s="36"/>
      <c r="J854" s="36"/>
      <c r="K854" s="36"/>
    </row>
    <row r="855" ht="14.25" customHeight="1">
      <c r="D855" s="36"/>
      <c r="F855" s="36"/>
      <c r="G855" s="36"/>
      <c r="H855" s="36"/>
      <c r="I855" s="36"/>
      <c r="J855" s="36"/>
      <c r="K855" s="36"/>
    </row>
    <row r="856" ht="14.25" customHeight="1">
      <c r="D856" s="36"/>
      <c r="F856" s="36"/>
      <c r="G856" s="36"/>
      <c r="H856" s="36"/>
      <c r="I856" s="36"/>
      <c r="J856" s="36"/>
      <c r="K856" s="36"/>
    </row>
    <row r="857" ht="14.25" customHeight="1">
      <c r="D857" s="36"/>
      <c r="F857" s="36"/>
      <c r="G857" s="36"/>
      <c r="H857" s="36"/>
      <c r="I857" s="36"/>
      <c r="J857" s="36"/>
      <c r="K857" s="36"/>
    </row>
    <row r="858" ht="14.25" customHeight="1">
      <c r="D858" s="36"/>
      <c r="F858" s="36"/>
      <c r="G858" s="36"/>
      <c r="H858" s="36"/>
      <c r="I858" s="36"/>
      <c r="J858" s="36"/>
      <c r="K858" s="36"/>
    </row>
    <row r="859" ht="14.25" customHeight="1">
      <c r="D859" s="36"/>
      <c r="F859" s="36"/>
      <c r="G859" s="36"/>
      <c r="H859" s="36"/>
      <c r="I859" s="36"/>
      <c r="J859" s="36"/>
      <c r="K859" s="36"/>
    </row>
    <row r="860" ht="14.25" customHeight="1">
      <c r="D860" s="36"/>
      <c r="F860" s="36"/>
      <c r="G860" s="36"/>
      <c r="H860" s="36"/>
      <c r="I860" s="36"/>
      <c r="J860" s="36"/>
      <c r="K860" s="36"/>
    </row>
    <row r="861" ht="14.25" customHeight="1">
      <c r="D861" s="36"/>
      <c r="F861" s="36"/>
      <c r="G861" s="36"/>
      <c r="H861" s="36"/>
      <c r="I861" s="36"/>
      <c r="J861" s="36"/>
      <c r="K861" s="36"/>
    </row>
    <row r="862" ht="14.25" customHeight="1">
      <c r="D862" s="36"/>
      <c r="F862" s="36"/>
      <c r="G862" s="36"/>
      <c r="H862" s="36"/>
      <c r="I862" s="36"/>
      <c r="J862" s="36"/>
      <c r="K862" s="36"/>
    </row>
    <row r="863" ht="14.25" customHeight="1">
      <c r="D863" s="36"/>
      <c r="F863" s="36"/>
      <c r="G863" s="36"/>
      <c r="H863" s="36"/>
      <c r="I863" s="36"/>
      <c r="J863" s="36"/>
      <c r="K863" s="36"/>
    </row>
    <row r="864" ht="14.25" customHeight="1">
      <c r="D864" s="36"/>
      <c r="F864" s="36"/>
      <c r="G864" s="36"/>
      <c r="H864" s="36"/>
      <c r="I864" s="36"/>
      <c r="J864" s="36"/>
      <c r="K864" s="36"/>
    </row>
    <row r="865" ht="14.25" customHeight="1">
      <c r="D865" s="36"/>
      <c r="F865" s="36"/>
      <c r="G865" s="36"/>
      <c r="H865" s="36"/>
      <c r="I865" s="36"/>
      <c r="J865" s="36"/>
      <c r="K865" s="36"/>
    </row>
    <row r="866" ht="14.25" customHeight="1">
      <c r="D866" s="36"/>
      <c r="F866" s="36"/>
      <c r="G866" s="36"/>
      <c r="H866" s="36"/>
      <c r="I866" s="36"/>
      <c r="J866" s="36"/>
      <c r="K866" s="36"/>
    </row>
    <row r="867" ht="14.25" customHeight="1">
      <c r="D867" s="36"/>
      <c r="F867" s="36"/>
      <c r="G867" s="36"/>
      <c r="H867" s="36"/>
      <c r="I867" s="36"/>
      <c r="J867" s="36"/>
      <c r="K867" s="36"/>
    </row>
    <row r="868" ht="14.25" customHeight="1">
      <c r="D868" s="36"/>
      <c r="F868" s="36"/>
      <c r="G868" s="36"/>
      <c r="H868" s="36"/>
      <c r="I868" s="36"/>
      <c r="J868" s="36"/>
      <c r="K868" s="36"/>
    </row>
    <row r="869" ht="14.25" customHeight="1">
      <c r="D869" s="36"/>
      <c r="F869" s="36"/>
      <c r="G869" s="36"/>
      <c r="H869" s="36"/>
      <c r="I869" s="36"/>
      <c r="J869" s="36"/>
      <c r="K869" s="36"/>
    </row>
    <row r="870" ht="14.25" customHeight="1">
      <c r="D870" s="36"/>
      <c r="F870" s="36"/>
      <c r="G870" s="36"/>
      <c r="H870" s="36"/>
      <c r="I870" s="36"/>
      <c r="J870" s="36"/>
      <c r="K870" s="36"/>
    </row>
    <row r="871" ht="14.25" customHeight="1">
      <c r="D871" s="36"/>
      <c r="F871" s="36"/>
      <c r="G871" s="36"/>
      <c r="H871" s="36"/>
      <c r="I871" s="36"/>
      <c r="J871" s="36"/>
      <c r="K871" s="36"/>
    </row>
    <row r="872" ht="14.25" customHeight="1">
      <c r="D872" s="36"/>
      <c r="F872" s="36"/>
      <c r="G872" s="36"/>
      <c r="H872" s="36"/>
      <c r="I872" s="36"/>
      <c r="J872" s="36"/>
      <c r="K872" s="36"/>
    </row>
    <row r="873" ht="14.25" customHeight="1">
      <c r="D873" s="36"/>
      <c r="F873" s="36"/>
      <c r="G873" s="36"/>
      <c r="H873" s="36"/>
      <c r="I873" s="36"/>
      <c r="J873" s="36"/>
      <c r="K873" s="36"/>
    </row>
    <row r="874" ht="14.25" customHeight="1">
      <c r="D874" s="36"/>
      <c r="F874" s="36"/>
      <c r="G874" s="36"/>
      <c r="H874" s="36"/>
      <c r="I874" s="36"/>
      <c r="J874" s="36"/>
      <c r="K874" s="36"/>
    </row>
    <row r="875" ht="14.25" customHeight="1">
      <c r="D875" s="36"/>
      <c r="F875" s="36"/>
      <c r="G875" s="36"/>
      <c r="H875" s="36"/>
      <c r="I875" s="36"/>
      <c r="J875" s="36"/>
      <c r="K875" s="36"/>
    </row>
    <row r="876" ht="14.25" customHeight="1">
      <c r="D876" s="36"/>
      <c r="F876" s="36"/>
      <c r="G876" s="36"/>
      <c r="H876" s="36"/>
      <c r="I876" s="36"/>
      <c r="J876" s="36"/>
      <c r="K876" s="36"/>
    </row>
    <row r="877" ht="14.25" customHeight="1">
      <c r="D877" s="36"/>
      <c r="F877" s="36"/>
      <c r="G877" s="36"/>
      <c r="H877" s="36"/>
      <c r="I877" s="36"/>
      <c r="J877" s="36"/>
      <c r="K877" s="36"/>
    </row>
    <row r="878" ht="14.25" customHeight="1">
      <c r="D878" s="36"/>
      <c r="F878" s="36"/>
      <c r="G878" s="36"/>
      <c r="H878" s="36"/>
      <c r="I878" s="36"/>
      <c r="J878" s="36"/>
      <c r="K878" s="36"/>
    </row>
    <row r="879" ht="14.25" customHeight="1">
      <c r="D879" s="36"/>
      <c r="F879" s="36"/>
      <c r="G879" s="36"/>
      <c r="H879" s="36"/>
      <c r="I879" s="36"/>
      <c r="J879" s="36"/>
      <c r="K879" s="36"/>
    </row>
    <row r="880" ht="14.25" customHeight="1">
      <c r="D880" s="36"/>
      <c r="F880" s="36"/>
      <c r="G880" s="36"/>
      <c r="H880" s="36"/>
      <c r="I880" s="36"/>
      <c r="J880" s="36"/>
      <c r="K880" s="36"/>
    </row>
    <row r="881" ht="14.25" customHeight="1">
      <c r="D881" s="36"/>
      <c r="F881" s="36"/>
      <c r="G881" s="36"/>
      <c r="H881" s="36"/>
      <c r="I881" s="36"/>
      <c r="J881" s="36"/>
      <c r="K881" s="36"/>
    </row>
    <row r="882" ht="14.25" customHeight="1">
      <c r="D882" s="36"/>
      <c r="F882" s="36"/>
      <c r="G882" s="36"/>
      <c r="H882" s="36"/>
      <c r="I882" s="36"/>
      <c r="J882" s="36"/>
      <c r="K882" s="36"/>
    </row>
    <row r="883" ht="14.25" customHeight="1">
      <c r="D883" s="36"/>
      <c r="F883" s="36"/>
      <c r="G883" s="36"/>
      <c r="H883" s="36"/>
      <c r="I883" s="36"/>
      <c r="J883" s="36"/>
      <c r="K883" s="36"/>
    </row>
    <row r="884" ht="14.25" customHeight="1">
      <c r="D884" s="36"/>
      <c r="F884" s="36"/>
      <c r="G884" s="36"/>
      <c r="H884" s="36"/>
      <c r="I884" s="36"/>
      <c r="J884" s="36"/>
      <c r="K884" s="36"/>
    </row>
    <row r="885" ht="14.25" customHeight="1">
      <c r="D885" s="36"/>
      <c r="F885" s="36"/>
      <c r="G885" s="36"/>
      <c r="H885" s="36"/>
      <c r="I885" s="36"/>
      <c r="J885" s="36"/>
      <c r="K885" s="36"/>
    </row>
    <row r="886" ht="14.25" customHeight="1">
      <c r="D886" s="36"/>
      <c r="F886" s="36"/>
      <c r="G886" s="36"/>
      <c r="H886" s="36"/>
      <c r="I886" s="36"/>
      <c r="J886" s="36"/>
      <c r="K886" s="36"/>
    </row>
    <row r="887" ht="14.25" customHeight="1">
      <c r="D887" s="36"/>
      <c r="F887" s="36"/>
      <c r="G887" s="36"/>
      <c r="H887" s="36"/>
      <c r="I887" s="36"/>
      <c r="J887" s="36"/>
      <c r="K887" s="36"/>
    </row>
    <row r="888" ht="14.25" customHeight="1">
      <c r="D888" s="36"/>
      <c r="F888" s="36"/>
      <c r="G888" s="36"/>
      <c r="H888" s="36"/>
      <c r="I888" s="36"/>
      <c r="J888" s="36"/>
      <c r="K888" s="36"/>
    </row>
    <row r="889" ht="14.25" customHeight="1">
      <c r="D889" s="36"/>
      <c r="F889" s="36"/>
      <c r="G889" s="36"/>
      <c r="H889" s="36"/>
      <c r="I889" s="36"/>
      <c r="J889" s="36"/>
      <c r="K889" s="36"/>
    </row>
    <row r="890" ht="14.25" customHeight="1">
      <c r="D890" s="36"/>
      <c r="F890" s="36"/>
      <c r="G890" s="36"/>
      <c r="H890" s="36"/>
      <c r="I890" s="36"/>
      <c r="J890" s="36"/>
      <c r="K890" s="36"/>
    </row>
    <row r="891" ht="14.25" customHeight="1">
      <c r="D891" s="36"/>
      <c r="F891" s="36"/>
      <c r="G891" s="36"/>
      <c r="H891" s="36"/>
      <c r="I891" s="36"/>
      <c r="J891" s="36"/>
      <c r="K891" s="36"/>
    </row>
    <row r="892" ht="14.25" customHeight="1">
      <c r="D892" s="36"/>
      <c r="F892" s="36"/>
      <c r="G892" s="36"/>
      <c r="H892" s="36"/>
      <c r="I892" s="36"/>
      <c r="J892" s="36"/>
      <c r="K892" s="36"/>
    </row>
    <row r="893" ht="14.25" customHeight="1">
      <c r="D893" s="36"/>
      <c r="F893" s="36"/>
      <c r="G893" s="36"/>
      <c r="H893" s="36"/>
      <c r="I893" s="36"/>
      <c r="J893" s="36"/>
      <c r="K893" s="36"/>
    </row>
    <row r="894" ht="14.25" customHeight="1">
      <c r="D894" s="36"/>
      <c r="F894" s="36"/>
      <c r="G894" s="36"/>
      <c r="H894" s="36"/>
      <c r="I894" s="36"/>
      <c r="J894" s="36"/>
      <c r="K894" s="36"/>
    </row>
    <row r="895" ht="14.25" customHeight="1">
      <c r="D895" s="36"/>
      <c r="F895" s="36"/>
      <c r="G895" s="36"/>
      <c r="H895" s="36"/>
      <c r="I895" s="36"/>
      <c r="J895" s="36"/>
      <c r="K895" s="36"/>
    </row>
    <row r="896" ht="14.25" customHeight="1">
      <c r="D896" s="36"/>
      <c r="F896" s="36"/>
      <c r="G896" s="36"/>
      <c r="H896" s="36"/>
      <c r="I896" s="36"/>
      <c r="J896" s="36"/>
      <c r="K896" s="36"/>
    </row>
    <row r="897" ht="14.25" customHeight="1">
      <c r="D897" s="36"/>
      <c r="F897" s="36"/>
      <c r="G897" s="36"/>
      <c r="H897" s="36"/>
      <c r="I897" s="36"/>
      <c r="J897" s="36"/>
      <c r="K897" s="36"/>
    </row>
    <row r="898" ht="14.25" customHeight="1">
      <c r="D898" s="36"/>
      <c r="F898" s="36"/>
      <c r="G898" s="36"/>
      <c r="H898" s="36"/>
      <c r="I898" s="36"/>
      <c r="J898" s="36"/>
      <c r="K898" s="36"/>
    </row>
    <row r="899" ht="14.25" customHeight="1">
      <c r="D899" s="36"/>
      <c r="F899" s="36"/>
      <c r="G899" s="36"/>
      <c r="H899" s="36"/>
      <c r="I899" s="36"/>
      <c r="J899" s="36"/>
      <c r="K899" s="36"/>
    </row>
    <row r="900" ht="14.25" customHeight="1">
      <c r="D900" s="36"/>
      <c r="F900" s="36"/>
      <c r="G900" s="36"/>
      <c r="H900" s="36"/>
      <c r="I900" s="36"/>
      <c r="J900" s="36"/>
      <c r="K900" s="36"/>
    </row>
    <row r="901" ht="14.25" customHeight="1">
      <c r="D901" s="36"/>
      <c r="F901" s="36"/>
      <c r="G901" s="36"/>
      <c r="H901" s="36"/>
      <c r="I901" s="36"/>
      <c r="J901" s="36"/>
      <c r="K901" s="36"/>
    </row>
    <row r="902" ht="14.25" customHeight="1">
      <c r="D902" s="36"/>
      <c r="F902" s="36"/>
      <c r="G902" s="36"/>
      <c r="H902" s="36"/>
      <c r="I902" s="36"/>
      <c r="J902" s="36"/>
      <c r="K902" s="36"/>
    </row>
    <row r="903" ht="14.25" customHeight="1">
      <c r="D903" s="36"/>
      <c r="F903" s="36"/>
      <c r="G903" s="36"/>
      <c r="H903" s="36"/>
      <c r="I903" s="36"/>
      <c r="J903" s="36"/>
      <c r="K903" s="36"/>
    </row>
    <row r="904" ht="14.25" customHeight="1">
      <c r="D904" s="36"/>
      <c r="F904" s="36"/>
      <c r="G904" s="36"/>
      <c r="H904" s="36"/>
      <c r="I904" s="36"/>
      <c r="J904" s="36"/>
      <c r="K904" s="36"/>
    </row>
    <row r="905" ht="14.25" customHeight="1">
      <c r="D905" s="36"/>
      <c r="F905" s="36"/>
      <c r="G905" s="36"/>
      <c r="H905" s="36"/>
      <c r="I905" s="36"/>
      <c r="J905" s="36"/>
      <c r="K905" s="36"/>
    </row>
    <row r="906" ht="14.25" customHeight="1">
      <c r="D906" s="36"/>
      <c r="F906" s="36"/>
      <c r="G906" s="36"/>
      <c r="H906" s="36"/>
      <c r="I906" s="36"/>
      <c r="J906" s="36"/>
      <c r="K906" s="36"/>
    </row>
    <row r="907" ht="14.25" customHeight="1">
      <c r="D907" s="36"/>
      <c r="F907" s="36"/>
      <c r="G907" s="36"/>
      <c r="H907" s="36"/>
      <c r="I907" s="36"/>
      <c r="J907" s="36"/>
      <c r="K907" s="36"/>
    </row>
    <row r="908" ht="14.25" customHeight="1">
      <c r="D908" s="36"/>
      <c r="F908" s="36"/>
      <c r="G908" s="36"/>
      <c r="H908" s="36"/>
      <c r="I908" s="36"/>
      <c r="J908" s="36"/>
      <c r="K908" s="36"/>
    </row>
    <row r="909" ht="14.25" customHeight="1">
      <c r="D909" s="36"/>
      <c r="F909" s="36"/>
      <c r="G909" s="36"/>
      <c r="H909" s="36"/>
      <c r="I909" s="36"/>
      <c r="J909" s="36"/>
      <c r="K909" s="36"/>
    </row>
    <row r="910" ht="14.25" customHeight="1">
      <c r="D910" s="36"/>
      <c r="F910" s="36"/>
      <c r="G910" s="36"/>
      <c r="H910" s="36"/>
      <c r="I910" s="36"/>
      <c r="J910" s="36"/>
      <c r="K910" s="36"/>
    </row>
    <row r="911" ht="14.25" customHeight="1">
      <c r="D911" s="36"/>
      <c r="F911" s="36"/>
      <c r="G911" s="36"/>
      <c r="H911" s="36"/>
      <c r="I911" s="36"/>
      <c r="J911" s="36"/>
      <c r="K911" s="36"/>
    </row>
    <row r="912" ht="14.25" customHeight="1">
      <c r="D912" s="36"/>
      <c r="F912" s="36"/>
      <c r="G912" s="36"/>
      <c r="H912" s="36"/>
      <c r="I912" s="36"/>
      <c r="J912" s="36"/>
      <c r="K912" s="36"/>
    </row>
    <row r="913" ht="14.25" customHeight="1">
      <c r="D913" s="36"/>
      <c r="F913" s="36"/>
      <c r="G913" s="36"/>
      <c r="H913" s="36"/>
      <c r="I913" s="36"/>
      <c r="J913" s="36"/>
      <c r="K913" s="36"/>
    </row>
    <row r="914" ht="14.25" customHeight="1">
      <c r="D914" s="36"/>
      <c r="F914" s="36"/>
      <c r="G914" s="36"/>
      <c r="H914" s="36"/>
      <c r="I914" s="36"/>
      <c r="J914" s="36"/>
      <c r="K914" s="36"/>
    </row>
    <row r="915" ht="14.25" customHeight="1">
      <c r="D915" s="36"/>
      <c r="F915" s="36"/>
      <c r="G915" s="36"/>
      <c r="H915" s="36"/>
      <c r="I915" s="36"/>
      <c r="J915" s="36"/>
      <c r="K915" s="36"/>
    </row>
    <row r="916" ht="14.25" customHeight="1">
      <c r="D916" s="36"/>
      <c r="F916" s="36"/>
      <c r="G916" s="36"/>
      <c r="H916" s="36"/>
      <c r="I916" s="36"/>
      <c r="J916" s="36"/>
      <c r="K916" s="36"/>
    </row>
    <row r="917" ht="14.25" customHeight="1">
      <c r="D917" s="36"/>
      <c r="F917" s="36"/>
      <c r="G917" s="36"/>
      <c r="H917" s="36"/>
      <c r="I917" s="36"/>
      <c r="J917" s="36"/>
      <c r="K917" s="36"/>
    </row>
    <row r="918" ht="14.25" customHeight="1">
      <c r="D918" s="36"/>
      <c r="F918" s="36"/>
      <c r="G918" s="36"/>
      <c r="H918" s="36"/>
      <c r="I918" s="36"/>
      <c r="J918" s="36"/>
      <c r="K918" s="36"/>
    </row>
    <row r="919" ht="14.25" customHeight="1">
      <c r="D919" s="36"/>
      <c r="F919" s="36"/>
      <c r="G919" s="36"/>
      <c r="H919" s="36"/>
      <c r="I919" s="36"/>
      <c r="J919" s="36"/>
      <c r="K919" s="36"/>
    </row>
    <row r="920" ht="14.25" customHeight="1">
      <c r="D920" s="36"/>
      <c r="F920" s="36"/>
      <c r="G920" s="36"/>
      <c r="H920" s="36"/>
      <c r="I920" s="36"/>
      <c r="J920" s="36"/>
      <c r="K920" s="36"/>
    </row>
    <row r="921" ht="14.25" customHeight="1">
      <c r="D921" s="36"/>
      <c r="F921" s="36"/>
      <c r="G921" s="36"/>
      <c r="H921" s="36"/>
      <c r="I921" s="36"/>
      <c r="J921" s="36"/>
      <c r="K921" s="36"/>
    </row>
    <row r="922" ht="14.25" customHeight="1">
      <c r="D922" s="36"/>
      <c r="F922" s="36"/>
      <c r="G922" s="36"/>
      <c r="H922" s="36"/>
      <c r="I922" s="36"/>
      <c r="J922" s="36"/>
      <c r="K922" s="36"/>
    </row>
    <row r="923" ht="14.25" customHeight="1">
      <c r="D923" s="36"/>
      <c r="F923" s="36"/>
      <c r="G923" s="36"/>
      <c r="H923" s="36"/>
      <c r="I923" s="36"/>
      <c r="J923" s="36"/>
      <c r="K923" s="36"/>
    </row>
    <row r="924" ht="14.25" customHeight="1">
      <c r="D924" s="36"/>
      <c r="F924" s="36"/>
      <c r="G924" s="36"/>
      <c r="H924" s="36"/>
      <c r="I924" s="36"/>
      <c r="J924" s="36"/>
      <c r="K924" s="36"/>
    </row>
    <row r="925" ht="14.25" customHeight="1">
      <c r="D925" s="36"/>
      <c r="F925" s="36"/>
      <c r="G925" s="36"/>
      <c r="H925" s="36"/>
      <c r="I925" s="36"/>
      <c r="J925" s="36"/>
      <c r="K925" s="36"/>
    </row>
    <row r="926" ht="14.25" customHeight="1">
      <c r="D926" s="36"/>
      <c r="F926" s="36"/>
      <c r="G926" s="36"/>
      <c r="H926" s="36"/>
      <c r="I926" s="36"/>
      <c r="J926" s="36"/>
      <c r="K926" s="36"/>
    </row>
    <row r="927" ht="14.25" customHeight="1">
      <c r="D927" s="36"/>
      <c r="F927" s="36"/>
      <c r="G927" s="36"/>
      <c r="H927" s="36"/>
      <c r="I927" s="36"/>
      <c r="J927" s="36"/>
      <c r="K927" s="36"/>
    </row>
    <row r="928" ht="14.25" customHeight="1">
      <c r="D928" s="36"/>
      <c r="F928" s="36"/>
      <c r="G928" s="36"/>
      <c r="H928" s="36"/>
      <c r="I928" s="36"/>
      <c r="J928" s="36"/>
      <c r="K928" s="36"/>
    </row>
    <row r="929" ht="14.25" customHeight="1">
      <c r="D929" s="36"/>
      <c r="F929" s="36"/>
      <c r="G929" s="36"/>
      <c r="H929" s="36"/>
      <c r="I929" s="36"/>
      <c r="J929" s="36"/>
      <c r="K929" s="36"/>
    </row>
    <row r="930" ht="14.25" customHeight="1">
      <c r="D930" s="36"/>
      <c r="F930" s="36"/>
      <c r="G930" s="36"/>
      <c r="H930" s="36"/>
      <c r="I930" s="36"/>
      <c r="J930" s="36"/>
      <c r="K930" s="36"/>
    </row>
    <row r="931" ht="14.25" customHeight="1">
      <c r="D931" s="36"/>
      <c r="F931" s="36"/>
      <c r="G931" s="36"/>
      <c r="H931" s="36"/>
      <c r="I931" s="36"/>
      <c r="J931" s="36"/>
      <c r="K931" s="36"/>
    </row>
    <row r="932" ht="14.25" customHeight="1">
      <c r="D932" s="36"/>
      <c r="F932" s="36"/>
      <c r="G932" s="36"/>
      <c r="H932" s="36"/>
      <c r="I932" s="36"/>
      <c r="J932" s="36"/>
      <c r="K932" s="36"/>
    </row>
    <row r="933" ht="14.25" customHeight="1">
      <c r="D933" s="36"/>
      <c r="F933" s="36"/>
      <c r="G933" s="36"/>
      <c r="H933" s="36"/>
      <c r="I933" s="36"/>
      <c r="J933" s="36"/>
      <c r="K933" s="36"/>
    </row>
    <row r="934" ht="14.25" customHeight="1">
      <c r="D934" s="36"/>
      <c r="F934" s="36"/>
      <c r="G934" s="36"/>
      <c r="H934" s="36"/>
      <c r="I934" s="36"/>
      <c r="J934" s="36"/>
      <c r="K934" s="36"/>
    </row>
    <row r="935" ht="14.25" customHeight="1">
      <c r="D935" s="36"/>
      <c r="F935" s="36"/>
      <c r="G935" s="36"/>
      <c r="H935" s="36"/>
      <c r="I935" s="36"/>
      <c r="J935" s="36"/>
      <c r="K935" s="36"/>
    </row>
    <row r="936" ht="14.25" customHeight="1">
      <c r="D936" s="36"/>
      <c r="F936" s="36"/>
      <c r="G936" s="36"/>
      <c r="H936" s="36"/>
      <c r="I936" s="36"/>
      <c r="J936" s="36"/>
      <c r="K936" s="36"/>
    </row>
    <row r="937" ht="14.25" customHeight="1">
      <c r="D937" s="36"/>
      <c r="F937" s="36"/>
      <c r="G937" s="36"/>
      <c r="H937" s="36"/>
      <c r="I937" s="36"/>
      <c r="J937" s="36"/>
      <c r="K937" s="36"/>
    </row>
    <row r="938" ht="14.25" customHeight="1">
      <c r="D938" s="36"/>
      <c r="F938" s="36"/>
      <c r="G938" s="36"/>
      <c r="H938" s="36"/>
      <c r="I938" s="36"/>
      <c r="J938" s="36"/>
      <c r="K938" s="36"/>
    </row>
    <row r="939" ht="14.25" customHeight="1">
      <c r="D939" s="36"/>
      <c r="F939" s="36"/>
      <c r="G939" s="36"/>
      <c r="H939" s="36"/>
      <c r="I939" s="36"/>
      <c r="J939" s="36"/>
      <c r="K939" s="36"/>
    </row>
    <row r="940" ht="14.25" customHeight="1">
      <c r="D940" s="36"/>
      <c r="F940" s="36"/>
      <c r="G940" s="36"/>
      <c r="H940" s="36"/>
      <c r="I940" s="36"/>
      <c r="J940" s="36"/>
      <c r="K940" s="36"/>
    </row>
    <row r="941" ht="14.25" customHeight="1">
      <c r="D941" s="36"/>
      <c r="F941" s="36"/>
      <c r="G941" s="36"/>
      <c r="H941" s="36"/>
      <c r="I941" s="36"/>
      <c r="J941" s="36"/>
      <c r="K941" s="36"/>
    </row>
    <row r="942" ht="14.25" customHeight="1">
      <c r="D942" s="36"/>
      <c r="F942" s="36"/>
      <c r="G942" s="36"/>
      <c r="H942" s="36"/>
      <c r="I942" s="36"/>
      <c r="J942" s="36"/>
      <c r="K942" s="36"/>
    </row>
    <row r="943" ht="14.25" customHeight="1">
      <c r="D943" s="36"/>
      <c r="F943" s="36"/>
      <c r="G943" s="36"/>
      <c r="H943" s="36"/>
      <c r="I943" s="36"/>
      <c r="J943" s="36"/>
      <c r="K943" s="36"/>
    </row>
    <row r="944" ht="14.25" customHeight="1">
      <c r="D944" s="36"/>
      <c r="F944" s="36"/>
      <c r="G944" s="36"/>
      <c r="H944" s="36"/>
      <c r="I944" s="36"/>
      <c r="J944" s="36"/>
      <c r="K944" s="36"/>
    </row>
    <row r="945" ht="14.25" customHeight="1">
      <c r="D945" s="36"/>
      <c r="F945" s="36"/>
      <c r="G945" s="36"/>
      <c r="H945" s="36"/>
      <c r="I945" s="36"/>
      <c r="J945" s="36"/>
      <c r="K945" s="36"/>
    </row>
    <row r="946" ht="14.25" customHeight="1">
      <c r="D946" s="36"/>
      <c r="F946" s="36"/>
      <c r="G946" s="36"/>
      <c r="H946" s="36"/>
      <c r="I946" s="36"/>
      <c r="J946" s="36"/>
      <c r="K946" s="36"/>
    </row>
    <row r="947" ht="14.25" customHeight="1">
      <c r="D947" s="36"/>
      <c r="F947" s="36"/>
      <c r="G947" s="36"/>
      <c r="H947" s="36"/>
      <c r="I947" s="36"/>
      <c r="J947" s="36"/>
      <c r="K947" s="36"/>
    </row>
    <row r="948" ht="14.25" customHeight="1">
      <c r="D948" s="36"/>
      <c r="F948" s="36"/>
      <c r="G948" s="36"/>
      <c r="H948" s="36"/>
      <c r="I948" s="36"/>
      <c r="J948" s="36"/>
      <c r="K948" s="36"/>
    </row>
    <row r="949" ht="14.25" customHeight="1">
      <c r="D949" s="36"/>
      <c r="F949" s="36"/>
      <c r="G949" s="36"/>
      <c r="H949" s="36"/>
      <c r="I949" s="36"/>
      <c r="J949" s="36"/>
      <c r="K949" s="36"/>
    </row>
    <row r="950" ht="14.25" customHeight="1">
      <c r="D950" s="36"/>
      <c r="F950" s="36"/>
      <c r="G950" s="36"/>
      <c r="H950" s="36"/>
      <c r="I950" s="36"/>
      <c r="J950" s="36"/>
      <c r="K950" s="36"/>
    </row>
    <row r="951" ht="14.25" customHeight="1">
      <c r="D951" s="36"/>
      <c r="F951" s="36"/>
      <c r="G951" s="36"/>
      <c r="H951" s="36"/>
      <c r="I951" s="36"/>
      <c r="J951" s="36"/>
      <c r="K951" s="36"/>
    </row>
    <row r="952" ht="14.25" customHeight="1">
      <c r="D952" s="36"/>
      <c r="F952" s="36"/>
      <c r="G952" s="36"/>
      <c r="H952" s="36"/>
      <c r="I952" s="36"/>
      <c r="J952" s="36"/>
      <c r="K952" s="36"/>
    </row>
    <row r="953" ht="14.25" customHeight="1">
      <c r="D953" s="36"/>
      <c r="F953" s="36"/>
      <c r="G953" s="36"/>
      <c r="H953" s="36"/>
      <c r="I953" s="36"/>
      <c r="J953" s="36"/>
      <c r="K953" s="36"/>
    </row>
    <row r="954" ht="14.25" customHeight="1">
      <c r="D954" s="36"/>
      <c r="F954" s="36"/>
      <c r="G954" s="36"/>
      <c r="H954" s="36"/>
      <c r="I954" s="36"/>
      <c r="J954" s="36"/>
      <c r="K954" s="36"/>
    </row>
    <row r="955" ht="14.25" customHeight="1">
      <c r="D955" s="36"/>
      <c r="F955" s="36"/>
      <c r="G955" s="36"/>
      <c r="H955" s="36"/>
      <c r="I955" s="36"/>
      <c r="J955" s="36"/>
      <c r="K955" s="36"/>
    </row>
    <row r="956" ht="14.25" customHeight="1">
      <c r="D956" s="36"/>
      <c r="F956" s="36"/>
      <c r="G956" s="36"/>
      <c r="H956" s="36"/>
      <c r="I956" s="36"/>
      <c r="J956" s="36"/>
      <c r="K956" s="36"/>
    </row>
    <row r="957" ht="14.25" customHeight="1">
      <c r="D957" s="36"/>
      <c r="F957" s="36"/>
      <c r="G957" s="36"/>
      <c r="H957" s="36"/>
      <c r="I957" s="36"/>
      <c r="J957" s="36"/>
      <c r="K957" s="36"/>
    </row>
    <row r="958" ht="14.25" customHeight="1">
      <c r="D958" s="36"/>
      <c r="F958" s="36"/>
      <c r="G958" s="36"/>
      <c r="H958" s="36"/>
      <c r="I958" s="36"/>
      <c r="J958" s="36"/>
      <c r="K958" s="36"/>
    </row>
    <row r="959" ht="14.25" customHeight="1">
      <c r="D959" s="36"/>
      <c r="F959" s="36"/>
      <c r="G959" s="36"/>
      <c r="H959" s="36"/>
      <c r="I959" s="36"/>
      <c r="J959" s="36"/>
      <c r="K959" s="36"/>
    </row>
    <row r="960" ht="14.25" customHeight="1">
      <c r="D960" s="36"/>
      <c r="F960" s="36"/>
      <c r="G960" s="36"/>
      <c r="H960" s="36"/>
      <c r="I960" s="36"/>
      <c r="J960" s="36"/>
      <c r="K960" s="36"/>
    </row>
    <row r="961" ht="14.25" customHeight="1">
      <c r="D961" s="36"/>
      <c r="F961" s="36"/>
      <c r="G961" s="36"/>
      <c r="H961" s="36"/>
      <c r="I961" s="36"/>
      <c r="J961" s="36"/>
      <c r="K961" s="36"/>
    </row>
    <row r="962" ht="14.25" customHeight="1">
      <c r="D962" s="36"/>
      <c r="F962" s="36"/>
      <c r="G962" s="36"/>
      <c r="H962" s="36"/>
      <c r="I962" s="36"/>
      <c r="J962" s="36"/>
      <c r="K962" s="36"/>
    </row>
    <row r="963" ht="14.25" customHeight="1">
      <c r="D963" s="36"/>
      <c r="F963" s="36"/>
      <c r="G963" s="36"/>
      <c r="H963" s="36"/>
      <c r="I963" s="36"/>
      <c r="J963" s="36"/>
      <c r="K963" s="36"/>
    </row>
    <row r="964" ht="14.25" customHeight="1">
      <c r="D964" s="36"/>
      <c r="F964" s="36"/>
      <c r="G964" s="36"/>
      <c r="H964" s="36"/>
      <c r="I964" s="36"/>
      <c r="J964" s="36"/>
      <c r="K964" s="36"/>
    </row>
    <row r="965" ht="14.25" customHeight="1">
      <c r="D965" s="36"/>
      <c r="F965" s="36"/>
      <c r="G965" s="36"/>
      <c r="H965" s="36"/>
      <c r="I965" s="36"/>
      <c r="J965" s="36"/>
      <c r="K965" s="36"/>
    </row>
    <row r="966" ht="14.25" customHeight="1">
      <c r="D966" s="36"/>
      <c r="F966" s="36"/>
      <c r="G966" s="36"/>
      <c r="H966" s="36"/>
      <c r="I966" s="36"/>
      <c r="J966" s="36"/>
      <c r="K966" s="36"/>
    </row>
    <row r="967" ht="14.25" customHeight="1">
      <c r="D967" s="36"/>
      <c r="F967" s="36"/>
      <c r="G967" s="36"/>
      <c r="H967" s="36"/>
      <c r="I967" s="36"/>
      <c r="J967" s="36"/>
      <c r="K967" s="36"/>
    </row>
    <row r="968" ht="14.25" customHeight="1">
      <c r="D968" s="36"/>
      <c r="F968" s="36"/>
      <c r="G968" s="36"/>
      <c r="H968" s="36"/>
      <c r="I968" s="36"/>
      <c r="J968" s="36"/>
      <c r="K968" s="36"/>
    </row>
    <row r="969" ht="14.25" customHeight="1">
      <c r="D969" s="36"/>
      <c r="F969" s="36"/>
      <c r="G969" s="36"/>
      <c r="H969" s="36"/>
      <c r="I969" s="36"/>
      <c r="J969" s="36"/>
      <c r="K969" s="36"/>
    </row>
    <row r="970" ht="14.25" customHeight="1">
      <c r="D970" s="36"/>
      <c r="F970" s="36"/>
      <c r="G970" s="36"/>
      <c r="H970" s="36"/>
      <c r="I970" s="36"/>
      <c r="J970" s="36"/>
      <c r="K970" s="36"/>
    </row>
    <row r="971" ht="14.25" customHeight="1">
      <c r="D971" s="36"/>
      <c r="F971" s="36"/>
      <c r="G971" s="36"/>
      <c r="H971" s="36"/>
      <c r="I971" s="36"/>
      <c r="J971" s="36"/>
      <c r="K971" s="36"/>
    </row>
    <row r="972" ht="14.25" customHeight="1">
      <c r="D972" s="36"/>
      <c r="F972" s="36"/>
      <c r="G972" s="36"/>
      <c r="H972" s="36"/>
      <c r="I972" s="36"/>
      <c r="J972" s="36"/>
      <c r="K972" s="36"/>
    </row>
    <row r="973" ht="14.25" customHeight="1">
      <c r="D973" s="36"/>
      <c r="F973" s="36"/>
      <c r="G973" s="36"/>
      <c r="H973" s="36"/>
      <c r="I973" s="36"/>
      <c r="J973" s="36"/>
      <c r="K973" s="36"/>
    </row>
    <row r="974" ht="14.25" customHeight="1">
      <c r="D974" s="36"/>
      <c r="F974" s="36"/>
      <c r="G974" s="36"/>
      <c r="H974" s="36"/>
      <c r="I974" s="36"/>
      <c r="J974" s="36"/>
      <c r="K974" s="36"/>
    </row>
    <row r="975" ht="14.25" customHeight="1">
      <c r="D975" s="36"/>
      <c r="F975" s="36"/>
      <c r="G975" s="36"/>
      <c r="H975" s="36"/>
      <c r="I975" s="36"/>
      <c r="J975" s="36"/>
      <c r="K975" s="36"/>
    </row>
    <row r="976" ht="14.25" customHeight="1">
      <c r="D976" s="36"/>
      <c r="F976" s="36"/>
      <c r="G976" s="36"/>
      <c r="H976" s="36"/>
      <c r="I976" s="36"/>
      <c r="J976" s="36"/>
      <c r="K976" s="36"/>
    </row>
    <row r="977" ht="14.25" customHeight="1">
      <c r="D977" s="36"/>
      <c r="F977" s="36"/>
      <c r="G977" s="36"/>
      <c r="H977" s="36"/>
      <c r="I977" s="36"/>
      <c r="J977" s="36"/>
      <c r="K977" s="36"/>
    </row>
    <row r="978" ht="14.25" customHeight="1">
      <c r="D978" s="36"/>
      <c r="F978" s="36"/>
      <c r="G978" s="36"/>
      <c r="H978" s="36"/>
      <c r="I978" s="36"/>
      <c r="J978" s="36"/>
      <c r="K978" s="36"/>
    </row>
    <row r="979" ht="14.25" customHeight="1">
      <c r="D979" s="36"/>
      <c r="F979" s="36"/>
      <c r="G979" s="36"/>
      <c r="H979" s="36"/>
      <c r="I979" s="36"/>
      <c r="J979" s="36"/>
      <c r="K979" s="36"/>
    </row>
    <row r="980" ht="14.25" customHeight="1">
      <c r="D980" s="36"/>
      <c r="F980" s="36"/>
      <c r="G980" s="36"/>
      <c r="H980" s="36"/>
      <c r="I980" s="36"/>
      <c r="J980" s="36"/>
      <c r="K980" s="36"/>
    </row>
    <row r="981" ht="14.25" customHeight="1">
      <c r="D981" s="36"/>
      <c r="F981" s="36"/>
      <c r="G981" s="36"/>
      <c r="H981" s="36"/>
      <c r="I981" s="36"/>
      <c r="J981" s="36"/>
      <c r="K981" s="36"/>
    </row>
    <row r="982" ht="14.25" customHeight="1">
      <c r="D982" s="36"/>
      <c r="F982" s="36"/>
      <c r="G982" s="36"/>
      <c r="H982" s="36"/>
      <c r="I982" s="36"/>
      <c r="J982" s="36"/>
      <c r="K982" s="36"/>
    </row>
    <row r="983" ht="14.25" customHeight="1">
      <c r="D983" s="36"/>
      <c r="F983" s="36"/>
      <c r="G983" s="36"/>
      <c r="H983" s="36"/>
      <c r="I983" s="36"/>
      <c r="J983" s="36"/>
      <c r="K983" s="36"/>
    </row>
    <row r="984" ht="14.25" customHeight="1">
      <c r="D984" s="36"/>
      <c r="F984" s="36"/>
      <c r="G984" s="36"/>
      <c r="H984" s="36"/>
      <c r="I984" s="36"/>
      <c r="J984" s="36"/>
      <c r="K984" s="36"/>
    </row>
    <row r="985" ht="14.25" customHeight="1">
      <c r="D985" s="36"/>
      <c r="F985" s="36"/>
      <c r="G985" s="36"/>
      <c r="H985" s="36"/>
      <c r="I985" s="36"/>
      <c r="J985" s="36"/>
      <c r="K985" s="36"/>
    </row>
    <row r="986" ht="14.25" customHeight="1">
      <c r="D986" s="36"/>
      <c r="F986" s="36"/>
      <c r="G986" s="36"/>
      <c r="H986" s="36"/>
      <c r="I986" s="36"/>
      <c r="J986" s="36"/>
      <c r="K986" s="36"/>
    </row>
    <row r="987" ht="14.25" customHeight="1">
      <c r="D987" s="36"/>
      <c r="F987" s="36"/>
      <c r="G987" s="36"/>
      <c r="H987" s="36"/>
      <c r="I987" s="36"/>
      <c r="J987" s="36"/>
      <c r="K987" s="36"/>
    </row>
    <row r="988" ht="14.25" customHeight="1">
      <c r="D988" s="36"/>
      <c r="F988" s="36"/>
      <c r="G988" s="36"/>
      <c r="H988" s="36"/>
      <c r="I988" s="36"/>
      <c r="J988" s="36"/>
      <c r="K988" s="36"/>
    </row>
    <row r="989" ht="14.25" customHeight="1">
      <c r="D989" s="36"/>
      <c r="F989" s="36"/>
      <c r="G989" s="36"/>
      <c r="H989" s="36"/>
      <c r="I989" s="36"/>
      <c r="J989" s="36"/>
      <c r="K989" s="36"/>
    </row>
    <row r="990" ht="14.25" customHeight="1">
      <c r="D990" s="36"/>
      <c r="F990" s="36"/>
      <c r="G990" s="36"/>
      <c r="H990" s="36"/>
      <c r="I990" s="36"/>
      <c r="J990" s="36"/>
      <c r="K990" s="36"/>
    </row>
    <row r="991" ht="14.25" customHeight="1">
      <c r="D991" s="36"/>
      <c r="F991" s="36"/>
      <c r="G991" s="36"/>
      <c r="H991" s="36"/>
      <c r="I991" s="36"/>
      <c r="J991" s="36"/>
      <c r="K991" s="36"/>
    </row>
    <row r="992" ht="14.25" customHeight="1">
      <c r="D992" s="36"/>
      <c r="F992" s="36"/>
      <c r="G992" s="36"/>
      <c r="H992" s="36"/>
      <c r="I992" s="36"/>
      <c r="J992" s="36"/>
      <c r="K992" s="36"/>
    </row>
    <row r="993" ht="14.25" customHeight="1">
      <c r="D993" s="36"/>
      <c r="F993" s="36"/>
      <c r="G993" s="36"/>
      <c r="H993" s="36"/>
      <c r="I993" s="36"/>
      <c r="J993" s="36"/>
      <c r="K993" s="36"/>
    </row>
    <row r="994" ht="14.25" customHeight="1">
      <c r="D994" s="36"/>
      <c r="F994" s="36"/>
      <c r="G994" s="36"/>
      <c r="H994" s="36"/>
      <c r="I994" s="36"/>
      <c r="J994" s="36"/>
      <c r="K994" s="36"/>
    </row>
    <row r="995" ht="14.25" customHeight="1">
      <c r="D995" s="36"/>
      <c r="F995" s="36"/>
      <c r="G995" s="36"/>
      <c r="H995" s="36"/>
      <c r="I995" s="36"/>
      <c r="J995" s="36"/>
      <c r="K995" s="36"/>
    </row>
    <row r="996" ht="14.25" customHeight="1">
      <c r="D996" s="36"/>
      <c r="F996" s="36"/>
      <c r="G996" s="36"/>
      <c r="H996" s="36"/>
      <c r="I996" s="36"/>
      <c r="J996" s="36"/>
      <c r="K996" s="36"/>
    </row>
    <row r="997" ht="14.25" customHeight="1">
      <c r="D997" s="36"/>
      <c r="F997" s="36"/>
      <c r="G997" s="36"/>
      <c r="H997" s="36"/>
      <c r="I997" s="36"/>
      <c r="J997" s="36"/>
      <c r="K997" s="36"/>
    </row>
    <row r="998" ht="14.25" customHeight="1">
      <c r="D998" s="36"/>
      <c r="F998" s="36"/>
      <c r="G998" s="36"/>
      <c r="H998" s="36"/>
      <c r="I998" s="36"/>
      <c r="J998" s="36"/>
      <c r="K998" s="36"/>
    </row>
    <row r="999" ht="14.25" customHeight="1">
      <c r="D999" s="36"/>
      <c r="F999" s="36"/>
      <c r="G999" s="36"/>
      <c r="H999" s="36"/>
      <c r="I999" s="36"/>
      <c r="J999" s="36"/>
      <c r="K999" s="36"/>
    </row>
    <row r="1000" ht="14.25" customHeight="1">
      <c r="D1000" s="36"/>
      <c r="F1000" s="36"/>
      <c r="G1000" s="36"/>
      <c r="H1000" s="36"/>
      <c r="I1000" s="36"/>
      <c r="J1000" s="36"/>
      <c r="K1000" s="36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</cp:coreProperties>
</file>